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Nida\Data Analytics 37 11Aug 2026\Excel\Project\"/>
    </mc:Choice>
  </mc:AlternateContent>
  <xr:revisionPtr revIDLastSave="0" documentId="13_ncr:1_{5000B0BD-19B2-4FD4-8DC4-F06681277380}" xr6:coauthVersionLast="47" xr6:coauthVersionMax="47" xr10:uidLastSave="{00000000-0000-0000-0000-000000000000}"/>
  <bookViews>
    <workbookView xWindow="-108" yWindow="-108" windowWidth="23256" windowHeight="12456" activeTab="2" xr2:uid="{664976D8-2535-4FB1-95E7-E233A263AA5C}"/>
  </bookViews>
  <sheets>
    <sheet name="Sheet1" sheetId="1" r:id="rId1"/>
    <sheet name="PIVOT" sheetId="3" r:id="rId2"/>
    <sheet name="Dashboard" sheetId="7" r:id="rId3"/>
  </sheets>
  <definedNames>
    <definedName name="Slicer_PaymentMethod">#N/A</definedName>
    <definedName name="Slicer_ProductCategory">#N/A</definedName>
    <definedName name="Slicer_Quarter">#N/A</definedName>
  </definedNames>
  <calcPr calcId="191029"/>
  <pivotCaches>
    <pivotCache cacheId="0" r:id="rId4"/>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alcChain>
</file>

<file path=xl/sharedStrings.xml><?xml version="1.0" encoding="utf-8"?>
<sst xmlns="http://schemas.openxmlformats.org/spreadsheetml/2006/main" count="10845" uniqueCount="3333">
  <si>
    <t>CustomerID</t>
  </si>
  <si>
    <t>Product</t>
  </si>
  <si>
    <t>PurchaseDate</t>
  </si>
  <si>
    <t>Quantity</t>
  </si>
  <si>
    <t>UnitPrice</t>
  </si>
  <si>
    <t>CustomerName</t>
  </si>
  <si>
    <t>ProductCategory</t>
  </si>
  <si>
    <t>PaymentMethod</t>
  </si>
  <si>
    <t>ReviewRating</t>
  </si>
  <si>
    <t>TotalPrice</t>
  </si>
  <si>
    <t>C5361</t>
  </si>
  <si>
    <t>Phone</t>
  </si>
  <si>
    <t>Customer C5361</t>
  </si>
  <si>
    <t>Office Supplies</t>
  </si>
  <si>
    <t>Cash</t>
  </si>
  <si>
    <t>C6231</t>
  </si>
  <si>
    <t>Laptop</t>
  </si>
  <si>
    <t>Customer C6231</t>
  </si>
  <si>
    <t>Electronics</t>
  </si>
  <si>
    <t>Debit Card</t>
  </si>
  <si>
    <t>C7704</t>
  </si>
  <si>
    <t>Chair</t>
  </si>
  <si>
    <t>Customer C7704</t>
  </si>
  <si>
    <t>Credit Card</t>
  </si>
  <si>
    <t>C2923</t>
  </si>
  <si>
    <t>Printer</t>
  </si>
  <si>
    <t>Customer C2923</t>
  </si>
  <si>
    <t>Gift Card</t>
  </si>
  <si>
    <t>C4847</t>
  </si>
  <si>
    <t>Monitor</t>
  </si>
  <si>
    <t>Customer C4847</t>
  </si>
  <si>
    <t>C7317</t>
  </si>
  <si>
    <t>Customer C7317</t>
  </si>
  <si>
    <t>C5076</t>
  </si>
  <si>
    <t>Desk</t>
  </si>
  <si>
    <t>Customer C5076</t>
  </si>
  <si>
    <t>C5181</t>
  </si>
  <si>
    <t>Customer C5181</t>
  </si>
  <si>
    <t>Furniture</t>
  </si>
  <si>
    <t>C9564</t>
  </si>
  <si>
    <t>Customer C9564</t>
  </si>
  <si>
    <t>C7521</t>
  </si>
  <si>
    <t>Tablet</t>
  </si>
  <si>
    <t>Customer C7521</t>
  </si>
  <si>
    <t>C7713</t>
  </si>
  <si>
    <t>Customer C7713</t>
  </si>
  <si>
    <t>C3269</t>
  </si>
  <si>
    <t>Customer C3269</t>
  </si>
  <si>
    <t>C7058</t>
  </si>
  <si>
    <t>Customer C7058</t>
  </si>
  <si>
    <t>C8718</t>
  </si>
  <si>
    <t>Customer C8718</t>
  </si>
  <si>
    <t>C2966</t>
  </si>
  <si>
    <t>Customer C2966</t>
  </si>
  <si>
    <t>C7436</t>
  </si>
  <si>
    <t>Customer C7436</t>
  </si>
  <si>
    <t>C8827</t>
  </si>
  <si>
    <t>Customer C8827</t>
  </si>
  <si>
    <t>Online</t>
  </si>
  <si>
    <t>C1067</t>
  </si>
  <si>
    <t>Customer C1067</t>
  </si>
  <si>
    <t>C3719</t>
  </si>
  <si>
    <t>Customer C3719</t>
  </si>
  <si>
    <t>C8138</t>
  </si>
  <si>
    <t>Customer C8138</t>
  </si>
  <si>
    <t>C7824</t>
  </si>
  <si>
    <t>Customer C7824</t>
  </si>
  <si>
    <t>C4856</t>
  </si>
  <si>
    <t>Customer C4856</t>
  </si>
  <si>
    <t>C4788</t>
  </si>
  <si>
    <t>Customer C4788</t>
  </si>
  <si>
    <t>C4679</t>
  </si>
  <si>
    <t>Customer C4679</t>
  </si>
  <si>
    <t>C7284</t>
  </si>
  <si>
    <t>Customer C7284</t>
  </si>
  <si>
    <t>C2387</t>
  </si>
  <si>
    <t>Customer C2387</t>
  </si>
  <si>
    <t>C1661</t>
  </si>
  <si>
    <t>Customer C1661</t>
  </si>
  <si>
    <t>C7692</t>
  </si>
  <si>
    <t>Customer C7692</t>
  </si>
  <si>
    <t>C7789</t>
  </si>
  <si>
    <t>Customer C7789</t>
  </si>
  <si>
    <t>C7793</t>
  </si>
  <si>
    <t>Customer C7793</t>
  </si>
  <si>
    <t>C3454</t>
  </si>
  <si>
    <t>Customer C3454</t>
  </si>
  <si>
    <t>C5278</t>
  </si>
  <si>
    <t>Customer C5278</t>
  </si>
  <si>
    <t>C3802</t>
  </si>
  <si>
    <t>Customer C3802</t>
  </si>
  <si>
    <t>C7470</t>
  </si>
  <si>
    <t>Customer C7470</t>
  </si>
  <si>
    <t>C5254</t>
  </si>
  <si>
    <t>Customer C5254</t>
  </si>
  <si>
    <t>C7480</t>
  </si>
  <si>
    <t>Customer C7480</t>
  </si>
  <si>
    <t>C3130</t>
  </si>
  <si>
    <t>Customer C3130</t>
  </si>
  <si>
    <t>C3032</t>
  </si>
  <si>
    <t>Customer C3032</t>
  </si>
  <si>
    <t>C4007</t>
  </si>
  <si>
    <t>Customer C4007</t>
  </si>
  <si>
    <t>C9078</t>
  </si>
  <si>
    <t>Customer C9078</t>
  </si>
  <si>
    <t>C6015</t>
  </si>
  <si>
    <t>Customer C6015</t>
  </si>
  <si>
    <t>C6157</t>
  </si>
  <si>
    <t>Customer C6157</t>
  </si>
  <si>
    <t>C3763</t>
  </si>
  <si>
    <t>Customer C3763</t>
  </si>
  <si>
    <t>C8736</t>
  </si>
  <si>
    <t>Customer C8736</t>
  </si>
  <si>
    <t>C5592</t>
  </si>
  <si>
    <t>Customer C5592</t>
  </si>
  <si>
    <t>C3280</t>
  </si>
  <si>
    <t>Customer C3280</t>
  </si>
  <si>
    <t>C5151</t>
  </si>
  <si>
    <t>Customer C5151</t>
  </si>
  <si>
    <t>C6267</t>
  </si>
  <si>
    <t>Customer C6267</t>
  </si>
  <si>
    <t>C9907</t>
  </si>
  <si>
    <t>Customer C9907</t>
  </si>
  <si>
    <t>C1813</t>
  </si>
  <si>
    <t>Customer C1813</t>
  </si>
  <si>
    <t>C8036</t>
  </si>
  <si>
    <t>Customer C8036</t>
  </si>
  <si>
    <t>C4434</t>
  </si>
  <si>
    <t>Customer C4434</t>
  </si>
  <si>
    <t>C3557</t>
  </si>
  <si>
    <t>Customer C3557</t>
  </si>
  <si>
    <t>C4213</t>
  </si>
  <si>
    <t>Customer C4213</t>
  </si>
  <si>
    <t>C7988</t>
  </si>
  <si>
    <t>Customer C7988</t>
  </si>
  <si>
    <t>C2295</t>
  </si>
  <si>
    <t>Customer C2295</t>
  </si>
  <si>
    <t>C2463</t>
  </si>
  <si>
    <t>Customer C2463</t>
  </si>
  <si>
    <t>C6671</t>
  </si>
  <si>
    <t>Customer C6671</t>
  </si>
  <si>
    <t>C3039</t>
  </si>
  <si>
    <t>Customer C3039</t>
  </si>
  <si>
    <t>C1184</t>
  </si>
  <si>
    <t>Customer C1184</t>
  </si>
  <si>
    <t>C1509</t>
  </si>
  <si>
    <t>Customer C1509</t>
  </si>
  <si>
    <t>C8097</t>
  </si>
  <si>
    <t>Customer C8097</t>
  </si>
  <si>
    <t>C3739</t>
  </si>
  <si>
    <t>Customer C3739</t>
  </si>
  <si>
    <t>C7466</t>
  </si>
  <si>
    <t>Customer C7466</t>
  </si>
  <si>
    <t>C8446</t>
  </si>
  <si>
    <t>Customer C8446</t>
  </si>
  <si>
    <t>C5448</t>
  </si>
  <si>
    <t>Customer C5448</t>
  </si>
  <si>
    <t>C9577</t>
  </si>
  <si>
    <t>Customer C9577</t>
  </si>
  <si>
    <t>C2330</t>
  </si>
  <si>
    <t>Customer C2330</t>
  </si>
  <si>
    <t>C4020</t>
  </si>
  <si>
    <t>Customer C4020</t>
  </si>
  <si>
    <t>C9075</t>
  </si>
  <si>
    <t>Customer C9075</t>
  </si>
  <si>
    <t>C6286</t>
  </si>
  <si>
    <t>Customer C6286</t>
  </si>
  <si>
    <t>C7102</t>
  </si>
  <si>
    <t>Customer C7102</t>
  </si>
  <si>
    <t>C9618</t>
  </si>
  <si>
    <t>Customer C9618</t>
  </si>
  <si>
    <t>C1353</t>
  </si>
  <si>
    <t>Customer C1353</t>
  </si>
  <si>
    <t>C5180</t>
  </si>
  <si>
    <t>Customer C5180</t>
  </si>
  <si>
    <t>C1452</t>
  </si>
  <si>
    <t>Customer C1452</t>
  </si>
  <si>
    <t>C5649</t>
  </si>
  <si>
    <t>Customer C5649</t>
  </si>
  <si>
    <t>C4229</t>
  </si>
  <si>
    <t>Customer C4229</t>
  </si>
  <si>
    <t>C4760</t>
  </si>
  <si>
    <t>Customer C4760</t>
  </si>
  <si>
    <t>C3716</t>
  </si>
  <si>
    <t>Customer C3716</t>
  </si>
  <si>
    <t>C3704</t>
  </si>
  <si>
    <t>Customer C3704</t>
  </si>
  <si>
    <t>C4946</t>
  </si>
  <si>
    <t>Customer C4946</t>
  </si>
  <si>
    <t>C1241</t>
  </si>
  <si>
    <t>Customer C1241</t>
  </si>
  <si>
    <t>C1895</t>
  </si>
  <si>
    <t>Customer C1895</t>
  </si>
  <si>
    <t>C5586</t>
  </si>
  <si>
    <t>Customer C5586</t>
  </si>
  <si>
    <t>C3244</t>
  </si>
  <si>
    <t>Customer C3244</t>
  </si>
  <si>
    <t>C9710</t>
  </si>
  <si>
    <t>Customer C9710</t>
  </si>
  <si>
    <t>C6777</t>
  </si>
  <si>
    <t>Customer C6777</t>
  </si>
  <si>
    <t>C1583</t>
  </si>
  <si>
    <t>Customer C1583</t>
  </si>
  <si>
    <t>C3940</t>
  </si>
  <si>
    <t>Customer C3940</t>
  </si>
  <si>
    <t>C4033</t>
  </si>
  <si>
    <t>Customer C4033</t>
  </si>
  <si>
    <t>C5271</t>
  </si>
  <si>
    <t>Customer C5271</t>
  </si>
  <si>
    <t>C7071</t>
  </si>
  <si>
    <t>Customer C7071</t>
  </si>
  <si>
    <t>C2155</t>
  </si>
  <si>
    <t>Customer C2155</t>
  </si>
  <si>
    <t>C3770</t>
  </si>
  <si>
    <t>Customer C3770</t>
  </si>
  <si>
    <t>C7736</t>
  </si>
  <si>
    <t>Customer C7736</t>
  </si>
  <si>
    <t>C7641</t>
  </si>
  <si>
    <t>Customer C7641</t>
  </si>
  <si>
    <t>C2426</t>
  </si>
  <si>
    <t>Customer C2426</t>
  </si>
  <si>
    <t>C3756</t>
  </si>
  <si>
    <t>Customer C3756</t>
  </si>
  <si>
    <t>C6229</t>
  </si>
  <si>
    <t>Customer C6229</t>
  </si>
  <si>
    <t>C5058</t>
  </si>
  <si>
    <t>Customer C5058</t>
  </si>
  <si>
    <t>C5596</t>
  </si>
  <si>
    <t>Customer C5596</t>
  </si>
  <si>
    <t>C9332</t>
  </si>
  <si>
    <t>Customer C9332</t>
  </si>
  <si>
    <t>C7363</t>
  </si>
  <si>
    <t>Customer C7363</t>
  </si>
  <si>
    <t>C9590</t>
  </si>
  <si>
    <t>Customer C9590</t>
  </si>
  <si>
    <t>C8205</t>
  </si>
  <si>
    <t>Customer C8205</t>
  </si>
  <si>
    <t>C1099</t>
  </si>
  <si>
    <t>Customer C1099</t>
  </si>
  <si>
    <t>C1617</t>
  </si>
  <si>
    <t>Customer C1617</t>
  </si>
  <si>
    <t>C1936</t>
  </si>
  <si>
    <t>Customer C1936</t>
  </si>
  <si>
    <t>C8577</t>
  </si>
  <si>
    <t>Customer C8577</t>
  </si>
  <si>
    <t>C1708</t>
  </si>
  <si>
    <t>Customer C1708</t>
  </si>
  <si>
    <t>C5691</t>
  </si>
  <si>
    <t>Customer C5691</t>
  </si>
  <si>
    <t>C3265</t>
  </si>
  <si>
    <t>Customer C3265</t>
  </si>
  <si>
    <t>C7346</t>
  </si>
  <si>
    <t>Customer C7346</t>
  </si>
  <si>
    <t>C4849</t>
  </si>
  <si>
    <t>Customer C4849</t>
  </si>
  <si>
    <t>C6609</t>
  </si>
  <si>
    <t>Customer C6609</t>
  </si>
  <si>
    <t>C4090</t>
  </si>
  <si>
    <t>Customer C4090</t>
  </si>
  <si>
    <t>C8888</t>
  </si>
  <si>
    <t>Customer C8888</t>
  </si>
  <si>
    <t>C2946</t>
  </si>
  <si>
    <t>Customer C2946</t>
  </si>
  <si>
    <t>C7113</t>
  </si>
  <si>
    <t>Customer C7113</t>
  </si>
  <si>
    <t>C3783</t>
  </si>
  <si>
    <t>Customer C3783</t>
  </si>
  <si>
    <t>C1268</t>
  </si>
  <si>
    <t>Customer C1268</t>
  </si>
  <si>
    <t>C6425</t>
  </si>
  <si>
    <t>Customer C6425</t>
  </si>
  <si>
    <t>C7038</t>
  </si>
  <si>
    <t>Customer C7038</t>
  </si>
  <si>
    <t>C6599</t>
  </si>
  <si>
    <t>Customer C6599</t>
  </si>
  <si>
    <t>C6177</t>
  </si>
  <si>
    <t>Customer C6177</t>
  </si>
  <si>
    <t>C8133</t>
  </si>
  <si>
    <t>Customer C8133</t>
  </si>
  <si>
    <t>C8269</t>
  </si>
  <si>
    <t>Customer C8269</t>
  </si>
  <si>
    <t>C2652</t>
  </si>
  <si>
    <t>Customer C2652</t>
  </si>
  <si>
    <t>C4617</t>
  </si>
  <si>
    <t>Customer C4617</t>
  </si>
  <si>
    <t>C9640</t>
  </si>
  <si>
    <t>Customer C9640</t>
  </si>
  <si>
    <t>C8863</t>
  </si>
  <si>
    <t>Customer C8863</t>
  </si>
  <si>
    <t>C3242</t>
  </si>
  <si>
    <t>Customer C3242</t>
  </si>
  <si>
    <t>C3118</t>
  </si>
  <si>
    <t>Customer C3118</t>
  </si>
  <si>
    <t>C2847</t>
  </si>
  <si>
    <t>Customer C2847</t>
  </si>
  <si>
    <t>C7461</t>
  </si>
  <si>
    <t>Customer C7461</t>
  </si>
  <si>
    <t>C4070</t>
  </si>
  <si>
    <t>Customer C4070</t>
  </si>
  <si>
    <t>C5274</t>
  </si>
  <si>
    <t>Customer C5274</t>
  </si>
  <si>
    <t>C9800</t>
  </si>
  <si>
    <t>Customer C9800</t>
  </si>
  <si>
    <t>C5072</t>
  </si>
  <si>
    <t>Customer C5072</t>
  </si>
  <si>
    <t>C6415</t>
  </si>
  <si>
    <t>Customer C6415</t>
  </si>
  <si>
    <t>C3490</t>
  </si>
  <si>
    <t>Customer C3490</t>
  </si>
  <si>
    <t>C2872</t>
  </si>
  <si>
    <t>Customer C2872</t>
  </si>
  <si>
    <t>C5085</t>
  </si>
  <si>
    <t>Customer C5085</t>
  </si>
  <si>
    <t>C5020</t>
  </si>
  <si>
    <t>Customer C5020</t>
  </si>
  <si>
    <t>C1772</t>
  </si>
  <si>
    <t>Customer C1772</t>
  </si>
  <si>
    <t>C4437</t>
  </si>
  <si>
    <t>Customer C4437</t>
  </si>
  <si>
    <t>C7360</t>
  </si>
  <si>
    <t>Customer C7360</t>
  </si>
  <si>
    <t>C5402</t>
  </si>
  <si>
    <t>Customer C5402</t>
  </si>
  <si>
    <t>C7651</t>
  </si>
  <si>
    <t>Customer C7651</t>
  </si>
  <si>
    <t>C2341</t>
  </si>
  <si>
    <t>Customer C2341</t>
  </si>
  <si>
    <t>C8509</t>
  </si>
  <si>
    <t>Customer C8509</t>
  </si>
  <si>
    <t>C1528</t>
  </si>
  <si>
    <t>Customer C1528</t>
  </si>
  <si>
    <t>C5002</t>
  </si>
  <si>
    <t>Customer C5002</t>
  </si>
  <si>
    <t>C2323</t>
  </si>
  <si>
    <t>Customer C2323</t>
  </si>
  <si>
    <t>C1503</t>
  </si>
  <si>
    <t>Customer C1503</t>
  </si>
  <si>
    <t>C1785</t>
  </si>
  <si>
    <t>Customer C1785</t>
  </si>
  <si>
    <t>C2985</t>
  </si>
  <si>
    <t>Customer C2985</t>
  </si>
  <si>
    <t>C5925</t>
  </si>
  <si>
    <t>Customer C5925</t>
  </si>
  <si>
    <t>C6149</t>
  </si>
  <si>
    <t>Customer C6149</t>
  </si>
  <si>
    <t>C9706</t>
  </si>
  <si>
    <t>Customer C9706</t>
  </si>
  <si>
    <t>C7304</t>
  </si>
  <si>
    <t>Customer C7304</t>
  </si>
  <si>
    <t>C4001</t>
  </si>
  <si>
    <t>Customer C4001</t>
  </si>
  <si>
    <t>C7194</t>
  </si>
  <si>
    <t>Customer C7194</t>
  </si>
  <si>
    <t>C2973</t>
  </si>
  <si>
    <t>Customer C2973</t>
  </si>
  <si>
    <t>C4452</t>
  </si>
  <si>
    <t>Customer C4452</t>
  </si>
  <si>
    <t>C7045</t>
  </si>
  <si>
    <t>Customer C7045</t>
  </si>
  <si>
    <t>C1862</t>
  </si>
  <si>
    <t>Customer C1862</t>
  </si>
  <si>
    <t>C5282</t>
  </si>
  <si>
    <t>Customer C5282</t>
  </si>
  <si>
    <t>C5412</t>
  </si>
  <si>
    <t>Customer C5412</t>
  </si>
  <si>
    <t>C1835</t>
  </si>
  <si>
    <t>Customer C1835</t>
  </si>
  <si>
    <t>C3872</t>
  </si>
  <si>
    <t>Customer C3872</t>
  </si>
  <si>
    <t>C6147</t>
  </si>
  <si>
    <t>Customer C6147</t>
  </si>
  <si>
    <t>C3745</t>
  </si>
  <si>
    <t>Customer C3745</t>
  </si>
  <si>
    <t>C2613</t>
  </si>
  <si>
    <t>Customer C2613</t>
  </si>
  <si>
    <t>C5366</t>
  </si>
  <si>
    <t>Customer C5366</t>
  </si>
  <si>
    <t>C4219</t>
  </si>
  <si>
    <t>Customer C4219</t>
  </si>
  <si>
    <t>C2697</t>
  </si>
  <si>
    <t>Customer C2697</t>
  </si>
  <si>
    <t>C7994</t>
  </si>
  <si>
    <t>Customer C7994</t>
  </si>
  <si>
    <t>C7899</t>
  </si>
  <si>
    <t>Customer C7899</t>
  </si>
  <si>
    <t>C9893</t>
  </si>
  <si>
    <t>Customer C9893</t>
  </si>
  <si>
    <t>C9137</t>
  </si>
  <si>
    <t>Customer C9137</t>
  </si>
  <si>
    <t>C1312</t>
  </si>
  <si>
    <t>Customer C1312</t>
  </si>
  <si>
    <t>C3788</t>
  </si>
  <si>
    <t>Customer C3788</t>
  </si>
  <si>
    <t>C9625</t>
  </si>
  <si>
    <t>Customer C9625</t>
  </si>
  <si>
    <t>C2409</t>
  </si>
  <si>
    <t>Customer C2409</t>
  </si>
  <si>
    <t>C2593</t>
  </si>
  <si>
    <t>Customer C2593</t>
  </si>
  <si>
    <t>C3923</t>
  </si>
  <si>
    <t>Customer C3923</t>
  </si>
  <si>
    <t>C8877</t>
  </si>
  <si>
    <t>Customer C8877</t>
  </si>
  <si>
    <t>C2227</t>
  </si>
  <si>
    <t>Customer C2227</t>
  </si>
  <si>
    <t>C1427</t>
  </si>
  <si>
    <t>Customer C1427</t>
  </si>
  <si>
    <t>C9700</t>
  </si>
  <si>
    <t>Customer C9700</t>
  </si>
  <si>
    <t>C8203</t>
  </si>
  <si>
    <t>Customer C8203</t>
  </si>
  <si>
    <t>C7795</t>
  </si>
  <si>
    <t>Customer C7795</t>
  </si>
  <si>
    <t>C9797</t>
  </si>
  <si>
    <t>Customer C9797</t>
  </si>
  <si>
    <t>C7846</t>
  </si>
  <si>
    <t>Customer C7846</t>
  </si>
  <si>
    <t>C9244</t>
  </si>
  <si>
    <t>Customer C9244</t>
  </si>
  <si>
    <t>C3180</t>
  </si>
  <si>
    <t>Customer C3180</t>
  </si>
  <si>
    <t>C7195</t>
  </si>
  <si>
    <t>Customer C7195</t>
  </si>
  <si>
    <t>C9074</t>
  </si>
  <si>
    <t>Customer C9074</t>
  </si>
  <si>
    <t>C7784</t>
  </si>
  <si>
    <t>Customer C7784</t>
  </si>
  <si>
    <t>C3231</t>
  </si>
  <si>
    <t>Customer C3231</t>
  </si>
  <si>
    <t>C9011</t>
  </si>
  <si>
    <t>Customer C9011</t>
  </si>
  <si>
    <t>C6503</t>
  </si>
  <si>
    <t>Customer C6503</t>
  </si>
  <si>
    <t>C8981</t>
  </si>
  <si>
    <t>Customer C8981</t>
  </si>
  <si>
    <t>C9541</t>
  </si>
  <si>
    <t>Customer C9541</t>
  </si>
  <si>
    <t>C5728</t>
  </si>
  <si>
    <t>Customer C5728</t>
  </si>
  <si>
    <t>C1596</t>
  </si>
  <si>
    <t>Customer C1596</t>
  </si>
  <si>
    <t>C9965</t>
  </si>
  <si>
    <t>Customer C9965</t>
  </si>
  <si>
    <t>C1151</t>
  </si>
  <si>
    <t>Customer C1151</t>
  </si>
  <si>
    <t>C8480</t>
  </si>
  <si>
    <t>Customer C8480</t>
  </si>
  <si>
    <t>C7031</t>
  </si>
  <si>
    <t>Customer C7031</t>
  </si>
  <si>
    <t>C1623</t>
  </si>
  <si>
    <t>Customer C1623</t>
  </si>
  <si>
    <t>C4512</t>
  </si>
  <si>
    <t>Customer C4512</t>
  </si>
  <si>
    <t>C6145</t>
  </si>
  <si>
    <t>Customer C6145</t>
  </si>
  <si>
    <t>C8469</t>
  </si>
  <si>
    <t>Customer C8469</t>
  </si>
  <si>
    <t>C9947</t>
  </si>
  <si>
    <t>Customer C9947</t>
  </si>
  <si>
    <t>C6780</t>
  </si>
  <si>
    <t>Customer C6780</t>
  </si>
  <si>
    <t>C5216</t>
  </si>
  <si>
    <t>Customer C5216</t>
  </si>
  <si>
    <t>C5813</t>
  </si>
  <si>
    <t>Customer C5813</t>
  </si>
  <si>
    <t>C8001</t>
  </si>
  <si>
    <t>Customer C8001</t>
  </si>
  <si>
    <t>C5687</t>
  </si>
  <si>
    <t>Customer C5687</t>
  </si>
  <si>
    <t>C9094</t>
  </si>
  <si>
    <t>Customer C9094</t>
  </si>
  <si>
    <t>C8246</t>
  </si>
  <si>
    <t>Customer C8246</t>
  </si>
  <si>
    <t>C4402</t>
  </si>
  <si>
    <t>Customer C4402</t>
  </si>
  <si>
    <t>C5598</t>
  </si>
  <si>
    <t>Customer C5598</t>
  </si>
  <si>
    <t>C8220</t>
  </si>
  <si>
    <t>Customer C8220</t>
  </si>
  <si>
    <t>C1634</t>
  </si>
  <si>
    <t>Customer C1634</t>
  </si>
  <si>
    <t>C8085</t>
  </si>
  <si>
    <t>Customer C8085</t>
  </si>
  <si>
    <t>C2241</t>
  </si>
  <si>
    <t>Customer C2241</t>
  </si>
  <si>
    <t>C9756</t>
  </si>
  <si>
    <t>Customer C9756</t>
  </si>
  <si>
    <t>C9667</t>
  </si>
  <si>
    <t>Customer C9667</t>
  </si>
  <si>
    <t>C8104</t>
  </si>
  <si>
    <t>Customer C8104</t>
  </si>
  <si>
    <t>C1770</t>
  </si>
  <si>
    <t>Customer C1770</t>
  </si>
  <si>
    <t>C4858</t>
  </si>
  <si>
    <t>Customer C4858</t>
  </si>
  <si>
    <t>C7785</t>
  </si>
  <si>
    <t>Customer C7785</t>
  </si>
  <si>
    <t>C2751</t>
  </si>
  <si>
    <t>Customer C2751</t>
  </si>
  <si>
    <t>C5410</t>
  </si>
  <si>
    <t>Customer C5410</t>
  </si>
  <si>
    <t>C5007</t>
  </si>
  <si>
    <t>Customer C5007</t>
  </si>
  <si>
    <t>C2704</t>
  </si>
  <si>
    <t>Customer C2704</t>
  </si>
  <si>
    <t>C3900</t>
  </si>
  <si>
    <t>Customer C3900</t>
  </si>
  <si>
    <t>C9033</t>
  </si>
  <si>
    <t>Customer C9033</t>
  </si>
  <si>
    <t>C9760</t>
  </si>
  <si>
    <t>Customer C9760</t>
  </si>
  <si>
    <t>C6239</t>
  </si>
  <si>
    <t>Customer C6239</t>
  </si>
  <si>
    <t>C5759</t>
  </si>
  <si>
    <t>Customer C5759</t>
  </si>
  <si>
    <t>C5745</t>
  </si>
  <si>
    <t>Customer C5745</t>
  </si>
  <si>
    <t>C2077</t>
  </si>
  <si>
    <t>Customer C2077</t>
  </si>
  <si>
    <t>C3656</t>
  </si>
  <si>
    <t>Customer C3656</t>
  </si>
  <si>
    <t>C8210</t>
  </si>
  <si>
    <t>Customer C8210</t>
  </si>
  <si>
    <t>C3765</t>
  </si>
  <si>
    <t>Customer C3765</t>
  </si>
  <si>
    <t>C7357</t>
  </si>
  <si>
    <t>Customer C7357</t>
  </si>
  <si>
    <t>C8311</t>
  </si>
  <si>
    <t>Customer C8311</t>
  </si>
  <si>
    <t>C5639</t>
  </si>
  <si>
    <t>Customer C5639</t>
  </si>
  <si>
    <t>C3144</t>
  </si>
  <si>
    <t>Customer C3144</t>
  </si>
  <si>
    <t>C2491</t>
  </si>
  <si>
    <t>Customer C2491</t>
  </si>
  <si>
    <t>C9693</t>
  </si>
  <si>
    <t>Customer C9693</t>
  </si>
  <si>
    <t>C5579</t>
  </si>
  <si>
    <t>Customer C5579</t>
  </si>
  <si>
    <t>C7878</t>
  </si>
  <si>
    <t>Customer C7878</t>
  </si>
  <si>
    <t>C3285</t>
  </si>
  <si>
    <t>Customer C3285</t>
  </si>
  <si>
    <t>C4549</t>
  </si>
  <si>
    <t>Customer C4549</t>
  </si>
  <si>
    <t>C8109</t>
  </si>
  <si>
    <t>Customer C8109</t>
  </si>
  <si>
    <t>C7438</t>
  </si>
  <si>
    <t>Customer C7438</t>
  </si>
  <si>
    <t>C7645</t>
  </si>
  <si>
    <t>Customer C7645</t>
  </si>
  <si>
    <t>C1009</t>
  </si>
  <si>
    <t>Customer C1009</t>
  </si>
  <si>
    <t>C5543</t>
  </si>
  <si>
    <t>Customer C5543</t>
  </si>
  <si>
    <t>C9464</t>
  </si>
  <si>
    <t>Customer C9464</t>
  </si>
  <si>
    <t>C5096</t>
  </si>
  <si>
    <t>Customer C5096</t>
  </si>
  <si>
    <t>C9620</t>
  </si>
  <si>
    <t>Customer C9620</t>
  </si>
  <si>
    <t>C3505</t>
  </si>
  <si>
    <t>Customer C3505</t>
  </si>
  <si>
    <t>C1675</t>
  </si>
  <si>
    <t>Customer C1675</t>
  </si>
  <si>
    <t>C4446</t>
  </si>
  <si>
    <t>Customer C4446</t>
  </si>
  <si>
    <t>C8856</t>
  </si>
  <si>
    <t>Customer C8856</t>
  </si>
  <si>
    <t>C9678</t>
  </si>
  <si>
    <t>Customer C9678</t>
  </si>
  <si>
    <t>C6018</t>
  </si>
  <si>
    <t>Customer C6018</t>
  </si>
  <si>
    <t>C6753</t>
  </si>
  <si>
    <t>Customer C6753</t>
  </si>
  <si>
    <t>C8997</t>
  </si>
  <si>
    <t>Customer C8997</t>
  </si>
  <si>
    <t>C4715</t>
  </si>
  <si>
    <t>Customer C4715</t>
  </si>
  <si>
    <t>C9337</t>
  </si>
  <si>
    <t>Customer C9337</t>
  </si>
  <si>
    <t>C3006</t>
  </si>
  <si>
    <t>Customer C3006</t>
  </si>
  <si>
    <t>C1166</t>
  </si>
  <si>
    <t>Customer C1166</t>
  </si>
  <si>
    <t>C5993</t>
  </si>
  <si>
    <t>Customer C5993</t>
  </si>
  <si>
    <t>C4133</t>
  </si>
  <si>
    <t>Customer C4133</t>
  </si>
  <si>
    <t>C3385</t>
  </si>
  <si>
    <t>Customer C3385</t>
  </si>
  <si>
    <t>C8322</t>
  </si>
  <si>
    <t>Customer C8322</t>
  </si>
  <si>
    <t>C8169</t>
  </si>
  <si>
    <t>Customer C8169</t>
  </si>
  <si>
    <t>C1840</t>
  </si>
  <si>
    <t>Customer C1840</t>
  </si>
  <si>
    <t>C3356</t>
  </si>
  <si>
    <t>Customer C3356</t>
  </si>
  <si>
    <t>C1631</t>
  </si>
  <si>
    <t>Customer C1631</t>
  </si>
  <si>
    <t>C7535</t>
  </si>
  <si>
    <t>Customer C7535</t>
  </si>
  <si>
    <t>C5803</t>
  </si>
  <si>
    <t>Customer C5803</t>
  </si>
  <si>
    <t>C3288</t>
  </si>
  <si>
    <t>Customer C3288</t>
  </si>
  <si>
    <t>C5332</t>
  </si>
  <si>
    <t>Customer C5332</t>
  </si>
  <si>
    <t>C1988</t>
  </si>
  <si>
    <t>Customer C1988</t>
  </si>
  <si>
    <t>C8966</t>
  </si>
  <si>
    <t>Customer C8966</t>
  </si>
  <si>
    <t>C5882</t>
  </si>
  <si>
    <t>Customer C5882</t>
  </si>
  <si>
    <t>C8648</t>
  </si>
  <si>
    <t>Customer C8648</t>
  </si>
  <si>
    <t>C4705</t>
  </si>
  <si>
    <t>Customer C4705</t>
  </si>
  <si>
    <t>C2312</t>
  </si>
  <si>
    <t>Customer C2312</t>
  </si>
  <si>
    <t>C9511</t>
  </si>
  <si>
    <t>Customer C9511</t>
  </si>
  <si>
    <t>C1059</t>
  </si>
  <si>
    <t>Customer C1059</t>
  </si>
  <si>
    <t>C2215</t>
  </si>
  <si>
    <t>Customer C2215</t>
  </si>
  <si>
    <t>C5169</t>
  </si>
  <si>
    <t>Customer C5169</t>
  </si>
  <si>
    <t>C9312</t>
  </si>
  <si>
    <t>Customer C9312</t>
  </si>
  <si>
    <t>C5929</t>
  </si>
  <si>
    <t>Customer C5929</t>
  </si>
  <si>
    <t>C5964</t>
  </si>
  <si>
    <t>Customer C5964</t>
  </si>
  <si>
    <t>C2172</t>
  </si>
  <si>
    <t>Customer C2172</t>
  </si>
  <si>
    <t>C9209</t>
  </si>
  <si>
    <t>Customer C9209</t>
  </si>
  <si>
    <t>C4639</t>
  </si>
  <si>
    <t>Customer C4639</t>
  </si>
  <si>
    <t>C2263</t>
  </si>
  <si>
    <t>Customer C2263</t>
  </si>
  <si>
    <t>C1786</t>
  </si>
  <si>
    <t>Customer C1786</t>
  </si>
  <si>
    <t>C7487</t>
  </si>
  <si>
    <t>Customer C7487</t>
  </si>
  <si>
    <t>C7107</t>
  </si>
  <si>
    <t>Customer C7107</t>
  </si>
  <si>
    <t>C1645</t>
  </si>
  <si>
    <t>Customer C1645</t>
  </si>
  <si>
    <t>C9039</t>
  </si>
  <si>
    <t>Customer C9039</t>
  </si>
  <si>
    <t>C5776</t>
  </si>
  <si>
    <t>Customer C5776</t>
  </si>
  <si>
    <t>C1118</t>
  </si>
  <si>
    <t>Customer C1118</t>
  </si>
  <si>
    <t>C8933</t>
  </si>
  <si>
    <t>Customer C8933</t>
  </si>
  <si>
    <t>C4037</t>
  </si>
  <si>
    <t>Customer C4037</t>
  </si>
  <si>
    <t>C8440</t>
  </si>
  <si>
    <t>Customer C8440</t>
  </si>
  <si>
    <t>C5267</t>
  </si>
  <si>
    <t>Customer C5267</t>
  </si>
  <si>
    <t>C3772</t>
  </si>
  <si>
    <t>Customer C3772</t>
  </si>
  <si>
    <t>C3428</t>
  </si>
  <si>
    <t>Customer C3428</t>
  </si>
  <si>
    <t>C4745</t>
  </si>
  <si>
    <t>Customer C4745</t>
  </si>
  <si>
    <t>C3659</t>
  </si>
  <si>
    <t>Customer C3659</t>
  </si>
  <si>
    <t>C6647</t>
  </si>
  <si>
    <t>Customer C6647</t>
  </si>
  <si>
    <t>C8156</t>
  </si>
  <si>
    <t>Customer C8156</t>
  </si>
  <si>
    <t>C8988</t>
  </si>
  <si>
    <t>Customer C8988</t>
  </si>
  <si>
    <t>C2026</t>
  </si>
  <si>
    <t>Customer C2026</t>
  </si>
  <si>
    <t>C6070</t>
  </si>
  <si>
    <t>Customer C6070</t>
  </si>
  <si>
    <t>C3658</t>
  </si>
  <si>
    <t>Customer C3658</t>
  </si>
  <si>
    <t>C9771</t>
  </si>
  <si>
    <t>Customer C9771</t>
  </si>
  <si>
    <t>C1280</t>
  </si>
  <si>
    <t>Customer C1280</t>
  </si>
  <si>
    <t>C9237</t>
  </si>
  <si>
    <t>Customer C9237</t>
  </si>
  <si>
    <t>C6759</t>
  </si>
  <si>
    <t>Customer C6759</t>
  </si>
  <si>
    <t>C3839</t>
  </si>
  <si>
    <t>Customer C3839</t>
  </si>
  <si>
    <t>C5898</t>
  </si>
  <si>
    <t>Customer C5898</t>
  </si>
  <si>
    <t>C1170</t>
  </si>
  <si>
    <t>Customer C1170</t>
  </si>
  <si>
    <t>C4953</t>
  </si>
  <si>
    <t>Customer C4953</t>
  </si>
  <si>
    <t>C3439</t>
  </si>
  <si>
    <t>Customer C3439</t>
  </si>
  <si>
    <t>C9101</t>
  </si>
  <si>
    <t>Customer C9101</t>
  </si>
  <si>
    <t>C5797</t>
  </si>
  <si>
    <t>Customer C5797</t>
  </si>
  <si>
    <t>C4785</t>
  </si>
  <si>
    <t>Customer C4785</t>
  </si>
  <si>
    <t>C3124</t>
  </si>
  <si>
    <t>Customer C3124</t>
  </si>
  <si>
    <t>C9009</t>
  </si>
  <si>
    <t>Customer C9009</t>
  </si>
  <si>
    <t>C6024</t>
  </si>
  <si>
    <t>Customer C6024</t>
  </si>
  <si>
    <t>C9175</t>
  </si>
  <si>
    <t>Customer C9175</t>
  </si>
  <si>
    <t>C1529</t>
  </si>
  <si>
    <t>Customer C1529</t>
  </si>
  <si>
    <t>C4199</t>
  </si>
  <si>
    <t>Customer C4199</t>
  </si>
  <si>
    <t>C2981</t>
  </si>
  <si>
    <t>Customer C2981</t>
  </si>
  <si>
    <t>C6560</t>
  </si>
  <si>
    <t>Customer C6560</t>
  </si>
  <si>
    <t>C8333</t>
  </si>
  <si>
    <t>Customer C8333</t>
  </si>
  <si>
    <t>C7291</t>
  </si>
  <si>
    <t>Customer C7291</t>
  </si>
  <si>
    <t>C9606</t>
  </si>
  <si>
    <t>Customer C9606</t>
  </si>
  <si>
    <t>C8236</t>
  </si>
  <si>
    <t>Customer C8236</t>
  </si>
  <si>
    <t>C8417</t>
  </si>
  <si>
    <t>Customer C8417</t>
  </si>
  <si>
    <t>C8293</t>
  </si>
  <si>
    <t>Customer C8293</t>
  </si>
  <si>
    <t>C9484</t>
  </si>
  <si>
    <t>Customer C9484</t>
  </si>
  <si>
    <t>C1086</t>
  </si>
  <si>
    <t>Customer C1086</t>
  </si>
  <si>
    <t>C6063</t>
  </si>
  <si>
    <t>Customer C6063</t>
  </si>
  <si>
    <t>C5842</t>
  </si>
  <si>
    <t>Customer C5842</t>
  </si>
  <si>
    <t>C9925</t>
  </si>
  <si>
    <t>Customer C9925</t>
  </si>
  <si>
    <t>C6458</t>
  </si>
  <si>
    <t>Customer C6458</t>
  </si>
  <si>
    <t>C8476</t>
  </si>
  <si>
    <t>Customer C8476</t>
  </si>
  <si>
    <t>C7530</t>
  </si>
  <si>
    <t>Customer C7530</t>
  </si>
  <si>
    <t>C6776</t>
  </si>
  <si>
    <t>Customer C6776</t>
  </si>
  <si>
    <t>C2636</t>
  </si>
  <si>
    <t>Customer C2636</t>
  </si>
  <si>
    <t>C4543</t>
  </si>
  <si>
    <t>Customer C4543</t>
  </si>
  <si>
    <t>C1706</t>
  </si>
  <si>
    <t>Customer C1706</t>
  </si>
  <si>
    <t>C8067</t>
  </si>
  <si>
    <t>Customer C8067</t>
  </si>
  <si>
    <t>C8455</t>
  </si>
  <si>
    <t>Customer C8455</t>
  </si>
  <si>
    <t>C6758</t>
  </si>
  <si>
    <t>Customer C6758</t>
  </si>
  <si>
    <t>C6524</t>
  </si>
  <si>
    <t>Customer C6524</t>
  </si>
  <si>
    <t>C5336</t>
  </si>
  <si>
    <t>Customer C5336</t>
  </si>
  <si>
    <t>C8986</t>
  </si>
  <si>
    <t>Customer C8986</t>
  </si>
  <si>
    <t>C3214</t>
  </si>
  <si>
    <t>Customer C3214</t>
  </si>
  <si>
    <t>C2708</t>
  </si>
  <si>
    <t>Customer C2708</t>
  </si>
  <si>
    <t>C8272</t>
  </si>
  <si>
    <t>Customer C8272</t>
  </si>
  <si>
    <t>C2499</t>
  </si>
  <si>
    <t>Customer C2499</t>
  </si>
  <si>
    <t>C4272</t>
  </si>
  <si>
    <t>Customer C4272</t>
  </si>
  <si>
    <t>C8795</t>
  </si>
  <si>
    <t>Customer C8795</t>
  </si>
  <si>
    <t>C7896</t>
  </si>
  <si>
    <t>Customer C7896</t>
  </si>
  <si>
    <t>C7132</t>
  </si>
  <si>
    <t>Customer C7132</t>
  </si>
  <si>
    <t>C8813</t>
  </si>
  <si>
    <t>Customer C8813</t>
  </si>
  <si>
    <t>C7147</t>
  </si>
  <si>
    <t>Customer C7147</t>
  </si>
  <si>
    <t>C7122</t>
  </si>
  <si>
    <t>Customer C7122</t>
  </si>
  <si>
    <t>C9835</t>
  </si>
  <si>
    <t>Customer C9835</t>
  </si>
  <si>
    <t>C8158</t>
  </si>
  <si>
    <t>Customer C8158</t>
  </si>
  <si>
    <t>C5614</t>
  </si>
  <si>
    <t>Customer C5614</t>
  </si>
  <si>
    <t>C4820</t>
  </si>
  <si>
    <t>Customer C4820</t>
  </si>
  <si>
    <t>C8245</t>
  </si>
  <si>
    <t>Customer C8245</t>
  </si>
  <si>
    <t>C6469</t>
  </si>
  <si>
    <t>Customer C6469</t>
  </si>
  <si>
    <t>C4237</t>
  </si>
  <si>
    <t>Customer C4237</t>
  </si>
  <si>
    <t>C8124</t>
  </si>
  <si>
    <t>Customer C8124</t>
  </si>
  <si>
    <t>C5971</t>
  </si>
  <si>
    <t>Customer C5971</t>
  </si>
  <si>
    <t>C6316</t>
  </si>
  <si>
    <t>Customer C6316</t>
  </si>
  <si>
    <t>C3487</t>
  </si>
  <si>
    <t>Customer C3487</t>
  </si>
  <si>
    <t>C4025</t>
  </si>
  <si>
    <t>Customer C4025</t>
  </si>
  <si>
    <t>C2772</t>
  </si>
  <si>
    <t>Customer C2772</t>
  </si>
  <si>
    <t>C5690</t>
  </si>
  <si>
    <t>Customer C5690</t>
  </si>
  <si>
    <t>C9173</t>
  </si>
  <si>
    <t>Customer C9173</t>
  </si>
  <si>
    <t>C1014</t>
  </si>
  <si>
    <t>Customer C1014</t>
  </si>
  <si>
    <t>C5804</t>
  </si>
  <si>
    <t>Customer C5804</t>
  </si>
  <si>
    <t>C9650</t>
  </si>
  <si>
    <t>Customer C9650</t>
  </si>
  <si>
    <t>C2095</t>
  </si>
  <si>
    <t>Customer C2095</t>
  </si>
  <si>
    <t>C3267</t>
  </si>
  <si>
    <t>Customer C3267</t>
  </si>
  <si>
    <t>C4793</t>
  </si>
  <si>
    <t>Customer C4793</t>
  </si>
  <si>
    <t>C3925</t>
  </si>
  <si>
    <t>Customer C3925</t>
  </si>
  <si>
    <t>C8628</t>
  </si>
  <si>
    <t>Customer C8628</t>
  </si>
  <si>
    <t>C2436</t>
  </si>
  <si>
    <t>Customer C2436</t>
  </si>
  <si>
    <t>C3426</t>
  </si>
  <si>
    <t>Customer C3426</t>
  </si>
  <si>
    <t>C2313</t>
  </si>
  <si>
    <t>Customer C2313</t>
  </si>
  <si>
    <t>C2768</t>
  </si>
  <si>
    <t>Customer C2768</t>
  </si>
  <si>
    <t>C1728</t>
  </si>
  <si>
    <t>Customer C1728</t>
  </si>
  <si>
    <t>C8563</t>
  </si>
  <si>
    <t>Customer C8563</t>
  </si>
  <si>
    <t>C3492</t>
  </si>
  <si>
    <t>Customer C3492</t>
  </si>
  <si>
    <t>C8229</t>
  </si>
  <si>
    <t>Customer C8229</t>
  </si>
  <si>
    <t>C3316</t>
  </si>
  <si>
    <t>Customer C3316</t>
  </si>
  <si>
    <t>C9986</t>
  </si>
  <si>
    <t>Customer C9986</t>
  </si>
  <si>
    <t>C6942</t>
  </si>
  <si>
    <t>Customer C6942</t>
  </si>
  <si>
    <t>C1186</t>
  </si>
  <si>
    <t>Customer C1186</t>
  </si>
  <si>
    <t>C2125</t>
  </si>
  <si>
    <t>Customer C2125</t>
  </si>
  <si>
    <t>C3190</t>
  </si>
  <si>
    <t>Customer C3190</t>
  </si>
  <si>
    <t>C4896</t>
  </si>
  <si>
    <t>Customer C4896</t>
  </si>
  <si>
    <t>C5037</t>
  </si>
  <si>
    <t>Customer C5037</t>
  </si>
  <si>
    <t>C7760</t>
  </si>
  <si>
    <t>Customer C7760</t>
  </si>
  <si>
    <t>C7989</t>
  </si>
  <si>
    <t>Customer C7989</t>
  </si>
  <si>
    <t>C8121</t>
  </si>
  <si>
    <t>Customer C8121</t>
  </si>
  <si>
    <t>C7185</t>
  </si>
  <si>
    <t>Customer C7185</t>
  </si>
  <si>
    <t>C6442</t>
  </si>
  <si>
    <t>Customer C6442</t>
  </si>
  <si>
    <t>C3732</t>
  </si>
  <si>
    <t>Customer C3732</t>
  </si>
  <si>
    <t>C4082</t>
  </si>
  <si>
    <t>Customer C4082</t>
  </si>
  <si>
    <t>C9524</t>
  </si>
  <si>
    <t>Customer C9524</t>
  </si>
  <si>
    <t>C9958</t>
  </si>
  <si>
    <t>Customer C9958</t>
  </si>
  <si>
    <t>C1036</t>
  </si>
  <si>
    <t>Customer C1036</t>
  </si>
  <si>
    <t>C9702</t>
  </si>
  <si>
    <t>Customer C9702</t>
  </si>
  <si>
    <t>C8406</t>
  </si>
  <si>
    <t>Customer C8406</t>
  </si>
  <si>
    <t>C7673</t>
  </si>
  <si>
    <t>Customer C7673</t>
  </si>
  <si>
    <t>C2860</t>
  </si>
  <si>
    <t>Customer C2860</t>
  </si>
  <si>
    <t>C7108</t>
  </si>
  <si>
    <t>Customer C7108</t>
  </si>
  <si>
    <t>C5298</t>
  </si>
  <si>
    <t>Customer C5298</t>
  </si>
  <si>
    <t>C7523</t>
  </si>
  <si>
    <t>Customer C7523</t>
  </si>
  <si>
    <t>C6372</t>
  </si>
  <si>
    <t>Customer C6372</t>
  </si>
  <si>
    <t>C6156</t>
  </si>
  <si>
    <t>Customer C6156</t>
  </si>
  <si>
    <t>C4169</t>
  </si>
  <si>
    <t>Customer C4169</t>
  </si>
  <si>
    <t>C9957</t>
  </si>
  <si>
    <t>Customer C9957</t>
  </si>
  <si>
    <t>C4648</t>
  </si>
  <si>
    <t>Customer C4648</t>
  </si>
  <si>
    <t>C4859</t>
  </si>
  <si>
    <t>Customer C4859</t>
  </si>
  <si>
    <t>C9037</t>
  </si>
  <si>
    <t>Customer C9037</t>
  </si>
  <si>
    <t>C7621</t>
  </si>
  <si>
    <t>Customer C7621</t>
  </si>
  <si>
    <t>C9034</t>
  </si>
  <si>
    <t>Customer C9034</t>
  </si>
  <si>
    <t>C6584</t>
  </si>
  <si>
    <t>Customer C6584</t>
  </si>
  <si>
    <t>C2696</t>
  </si>
  <si>
    <t>Customer C2696</t>
  </si>
  <si>
    <t>C6170</t>
  </si>
  <si>
    <t>Customer C6170</t>
  </si>
  <si>
    <t>C5535</t>
  </si>
  <si>
    <t>Customer C5535</t>
  </si>
  <si>
    <t>C3960</t>
  </si>
  <si>
    <t>Customer C3960</t>
  </si>
  <si>
    <t>C4333</t>
  </si>
  <si>
    <t>Customer C4333</t>
  </si>
  <si>
    <t>C9581</t>
  </si>
  <si>
    <t>Customer C9581</t>
  </si>
  <si>
    <t>C1765</t>
  </si>
  <si>
    <t>Customer C1765</t>
  </si>
  <si>
    <t>C8796</t>
  </si>
  <si>
    <t>Customer C8796</t>
  </si>
  <si>
    <t>C7799</t>
  </si>
  <si>
    <t>Customer C7799</t>
  </si>
  <si>
    <t>C1587</t>
  </si>
  <si>
    <t>Customer C1587</t>
  </si>
  <si>
    <t>C3056</t>
  </si>
  <si>
    <t>Customer C3056</t>
  </si>
  <si>
    <t>C7457</t>
  </si>
  <si>
    <t>Customer C7457</t>
  </si>
  <si>
    <t>C4413</t>
  </si>
  <si>
    <t>Customer C4413</t>
  </si>
  <si>
    <t>C7999</t>
  </si>
  <si>
    <t>Customer C7999</t>
  </si>
  <si>
    <t>C6627</t>
  </si>
  <si>
    <t>Customer C6627</t>
  </si>
  <si>
    <t>C4690</t>
  </si>
  <si>
    <t>Customer C4690</t>
  </si>
  <si>
    <t>C8727</t>
  </si>
  <si>
    <t>Customer C8727</t>
  </si>
  <si>
    <t>C7462</t>
  </si>
  <si>
    <t>Customer C7462</t>
  </si>
  <si>
    <t>C1296</t>
  </si>
  <si>
    <t>Customer C1296</t>
  </si>
  <si>
    <t>C8751</t>
  </si>
  <si>
    <t>Customer C8751</t>
  </si>
  <si>
    <t>C6278</t>
  </si>
  <si>
    <t>Customer C6278</t>
  </si>
  <si>
    <t>C5514</t>
  </si>
  <si>
    <t>Customer C5514</t>
  </si>
  <si>
    <t>C5504</t>
  </si>
  <si>
    <t>Customer C5504</t>
  </si>
  <si>
    <t>C2865</t>
  </si>
  <si>
    <t>Customer C2865</t>
  </si>
  <si>
    <t>C3364</t>
  </si>
  <si>
    <t>Customer C3364</t>
  </si>
  <si>
    <t>C4755</t>
  </si>
  <si>
    <t>Customer C4755</t>
  </si>
  <si>
    <t>C4013</t>
  </si>
  <si>
    <t>Customer C4013</t>
  </si>
  <si>
    <t>C6614</t>
  </si>
  <si>
    <t>Customer C6614</t>
  </si>
  <si>
    <t>C5482</t>
  </si>
  <si>
    <t>Customer C5482</t>
  </si>
  <si>
    <t>C3677</t>
  </si>
  <si>
    <t>Customer C3677</t>
  </si>
  <si>
    <t>C5933</t>
  </si>
  <si>
    <t>Customer C5933</t>
  </si>
  <si>
    <t>C5348</t>
  </si>
  <si>
    <t>Customer C5348</t>
  </si>
  <si>
    <t>C1470</t>
  </si>
  <si>
    <t>Customer C1470</t>
  </si>
  <si>
    <t>C4479</t>
  </si>
  <si>
    <t>Customer C4479</t>
  </si>
  <si>
    <t>C2379</t>
  </si>
  <si>
    <t>Customer C2379</t>
  </si>
  <si>
    <t>C2401</t>
  </si>
  <si>
    <t>Customer C2401</t>
  </si>
  <si>
    <t>C6079</t>
  </si>
  <si>
    <t>Customer C6079</t>
  </si>
  <si>
    <t>C3498</t>
  </si>
  <si>
    <t>Customer C3498</t>
  </si>
  <si>
    <t>C8741</t>
  </si>
  <si>
    <t>Customer C8741</t>
  </si>
  <si>
    <t>C4069</t>
  </si>
  <si>
    <t>Customer C4069</t>
  </si>
  <si>
    <t>C4451</t>
  </si>
  <si>
    <t>Customer C4451</t>
  </si>
  <si>
    <t>C7544</t>
  </si>
  <si>
    <t>Customer C7544</t>
  </si>
  <si>
    <t>C7004</t>
  </si>
  <si>
    <t>Customer C7004</t>
  </si>
  <si>
    <t>C4822</t>
  </si>
  <si>
    <t>Customer C4822</t>
  </si>
  <si>
    <t>C6424</t>
  </si>
  <si>
    <t>Customer C6424</t>
  </si>
  <si>
    <t>C2011</t>
  </si>
  <si>
    <t>Customer C2011</t>
  </si>
  <si>
    <t>C1482</t>
  </si>
  <si>
    <t>Customer C1482</t>
  </si>
  <si>
    <t>C9229</t>
  </si>
  <si>
    <t>Customer C9229</t>
  </si>
  <si>
    <t>C6441</t>
  </si>
  <si>
    <t>Customer C6441</t>
  </si>
  <si>
    <t>C5066</t>
  </si>
  <si>
    <t>Customer C5066</t>
  </si>
  <si>
    <t>C8642</t>
  </si>
  <si>
    <t>Customer C8642</t>
  </si>
  <si>
    <t>C7510</t>
  </si>
  <si>
    <t>Customer C7510</t>
  </si>
  <si>
    <t>C5975</t>
  </si>
  <si>
    <t>Customer C5975</t>
  </si>
  <si>
    <t>C2406</t>
  </si>
  <si>
    <t>Customer C2406</t>
  </si>
  <si>
    <t>C9248</t>
  </si>
  <si>
    <t>Customer C9248</t>
  </si>
  <si>
    <t>C2232</t>
  </si>
  <si>
    <t>Customer C2232</t>
  </si>
  <si>
    <t>C3932</t>
  </si>
  <si>
    <t>Customer C3932</t>
  </si>
  <si>
    <t>C2191</t>
  </si>
  <si>
    <t>Customer C2191</t>
  </si>
  <si>
    <t>C4901</t>
  </si>
  <si>
    <t>Customer C4901</t>
  </si>
  <si>
    <t>C5830</t>
  </si>
  <si>
    <t>Customer C5830</t>
  </si>
  <si>
    <t>C7526</t>
  </si>
  <si>
    <t>Customer C7526</t>
  </si>
  <si>
    <t>C6632</t>
  </si>
  <si>
    <t>Customer C6632</t>
  </si>
  <si>
    <t>C4118</t>
  </si>
  <si>
    <t>Customer C4118</t>
  </si>
  <si>
    <t>C7661</t>
  </si>
  <si>
    <t>Customer C7661</t>
  </si>
  <si>
    <t>C6873</t>
  </si>
  <si>
    <t>Customer C6873</t>
  </si>
  <si>
    <t>C1570</t>
  </si>
  <si>
    <t>Customer C1570</t>
  </si>
  <si>
    <t>C3533</t>
  </si>
  <si>
    <t>Customer C3533</t>
  </si>
  <si>
    <t>C9318</t>
  </si>
  <si>
    <t>Customer C9318</t>
  </si>
  <si>
    <t>C7243</t>
  </si>
  <si>
    <t>Customer C7243</t>
  </si>
  <si>
    <t>C2378</t>
  </si>
  <si>
    <t>Customer C2378</t>
  </si>
  <si>
    <t>C4604</t>
  </si>
  <si>
    <t>Customer C4604</t>
  </si>
  <si>
    <t>C2969</t>
  </si>
  <si>
    <t>Customer C2969</t>
  </si>
  <si>
    <t>C1544</t>
  </si>
  <si>
    <t>Customer C1544</t>
  </si>
  <si>
    <t>C5779</t>
  </si>
  <si>
    <t>Customer C5779</t>
  </si>
  <si>
    <t>C9206</t>
  </si>
  <si>
    <t>Customer C9206</t>
  </si>
  <si>
    <t>C7331</t>
  </si>
  <si>
    <t>Customer C7331</t>
  </si>
  <si>
    <t>C4370</t>
  </si>
  <si>
    <t>Customer C4370</t>
  </si>
  <si>
    <t>C4980</t>
  </si>
  <si>
    <t>Customer C4980</t>
  </si>
  <si>
    <t>C7617</t>
  </si>
  <si>
    <t>Customer C7617</t>
  </si>
  <si>
    <t>C5265</t>
  </si>
  <si>
    <t>Customer C5265</t>
  </si>
  <si>
    <t>C4790</t>
  </si>
  <si>
    <t>Customer C4790</t>
  </si>
  <si>
    <t>C3579</t>
  </si>
  <si>
    <t>Customer C3579</t>
  </si>
  <si>
    <t>C3663</t>
  </si>
  <si>
    <t>Customer C3663</t>
  </si>
  <si>
    <t>C9000</t>
  </si>
  <si>
    <t>Customer C9000</t>
  </si>
  <si>
    <t>C5617</t>
  </si>
  <si>
    <t>Customer C5617</t>
  </si>
  <si>
    <t>C1030</t>
  </si>
  <si>
    <t>Customer C1030</t>
  </si>
  <si>
    <t>C5417</t>
  </si>
  <si>
    <t>Customer C5417</t>
  </si>
  <si>
    <t>C1334</t>
  </si>
  <si>
    <t>Customer C1334</t>
  </si>
  <si>
    <t>C4231</t>
  </si>
  <si>
    <t>Customer C4231</t>
  </si>
  <si>
    <t>C7830</t>
  </si>
  <si>
    <t>Customer C7830</t>
  </si>
  <si>
    <t>C5571</t>
  </si>
  <si>
    <t>Customer C5571</t>
  </si>
  <si>
    <t>C7250</t>
  </si>
  <si>
    <t>Customer C7250</t>
  </si>
  <si>
    <t>C1694</t>
  </si>
  <si>
    <t>Customer C1694</t>
  </si>
  <si>
    <t>C8327</t>
  </si>
  <si>
    <t>Customer C8327</t>
  </si>
  <si>
    <t>C2471</t>
  </si>
  <si>
    <t>Customer C2471</t>
  </si>
  <si>
    <t>C8263</t>
  </si>
  <si>
    <t>Customer C8263</t>
  </si>
  <si>
    <t>C8851</t>
  </si>
  <si>
    <t>Customer C8851</t>
  </si>
  <si>
    <t>C3555</t>
  </si>
  <si>
    <t>Customer C3555</t>
  </si>
  <si>
    <t>C3759</t>
  </si>
  <si>
    <t>Customer C3759</t>
  </si>
  <si>
    <t>C2461</t>
  </si>
  <si>
    <t>Customer C2461</t>
  </si>
  <si>
    <t>C3383</t>
  </si>
  <si>
    <t>Customer C3383</t>
  </si>
  <si>
    <t>C1517</t>
  </si>
  <si>
    <t>Customer C1517</t>
  </si>
  <si>
    <t>C9130</t>
  </si>
  <si>
    <t>Customer C9130</t>
  </si>
  <si>
    <t>C5091</t>
  </si>
  <si>
    <t>Customer C5091</t>
  </si>
  <si>
    <t>C4311</t>
  </si>
  <si>
    <t>Customer C4311</t>
  </si>
  <si>
    <t>C2228</t>
  </si>
  <si>
    <t>Customer C2228</t>
  </si>
  <si>
    <t>C1113</t>
  </si>
  <si>
    <t>Customer C1113</t>
  </si>
  <si>
    <t>C9614</t>
  </si>
  <si>
    <t>Customer C9614</t>
  </si>
  <si>
    <t>C8292</t>
  </si>
  <si>
    <t>Customer C8292</t>
  </si>
  <si>
    <t>C1325</t>
  </si>
  <si>
    <t>Customer C1325</t>
  </si>
  <si>
    <t>C7413</t>
  </si>
  <si>
    <t>Customer C7413</t>
  </si>
  <si>
    <t>C6218</t>
  </si>
  <si>
    <t>Customer C6218</t>
  </si>
  <si>
    <t>C1200</t>
  </si>
  <si>
    <t>Customer C1200</t>
  </si>
  <si>
    <t>C5204</t>
  </si>
  <si>
    <t>Customer C5204</t>
  </si>
  <si>
    <t>C2823</t>
  </si>
  <si>
    <t>Customer C2823</t>
  </si>
  <si>
    <t>C3217</t>
  </si>
  <si>
    <t>Customer C3217</t>
  </si>
  <si>
    <t>C1362</t>
  </si>
  <si>
    <t>Customer C1362</t>
  </si>
  <si>
    <t>C9739</t>
  </si>
  <si>
    <t>Customer C9739</t>
  </si>
  <si>
    <t>C6029</t>
  </si>
  <si>
    <t>Customer C6029</t>
  </si>
  <si>
    <t>C7231</t>
  </si>
  <si>
    <t>Customer C7231</t>
  </si>
  <si>
    <t>C2930</t>
  </si>
  <si>
    <t>Customer C2930</t>
  </si>
  <si>
    <t>C1391</t>
  </si>
  <si>
    <t>Customer C1391</t>
  </si>
  <si>
    <t>C2102</t>
  </si>
  <si>
    <t>Customer C2102</t>
  </si>
  <si>
    <t>C2945</t>
  </si>
  <si>
    <t>Customer C2945</t>
  </si>
  <si>
    <t>C4597</t>
  </si>
  <si>
    <t>Customer C4597</t>
  </si>
  <si>
    <t>C9636</t>
  </si>
  <si>
    <t>Customer C9636</t>
  </si>
  <si>
    <t>C5185</t>
  </si>
  <si>
    <t>Customer C5185</t>
  </si>
  <si>
    <t>C5039</t>
  </si>
  <si>
    <t>Customer C5039</t>
  </si>
  <si>
    <t>C4979</t>
  </si>
  <si>
    <t>Customer C4979</t>
  </si>
  <si>
    <t>C7052</t>
  </si>
  <si>
    <t>Customer C7052</t>
  </si>
  <si>
    <t>C8507</t>
  </si>
  <si>
    <t>Customer C8507</t>
  </si>
  <si>
    <t>C3679</t>
  </si>
  <si>
    <t>Customer C3679</t>
  </si>
  <si>
    <t>C8869</t>
  </si>
  <si>
    <t>Customer C8869</t>
  </si>
  <si>
    <t>C7298</t>
  </si>
  <si>
    <t>Customer C7298</t>
  </si>
  <si>
    <t>C1301</t>
  </si>
  <si>
    <t>Customer C1301</t>
  </si>
  <si>
    <t>C4465</t>
  </si>
  <si>
    <t>Customer C4465</t>
  </si>
  <si>
    <t>C1326</t>
  </si>
  <si>
    <t>Customer C1326</t>
  </si>
  <si>
    <t>C8555</t>
  </si>
  <si>
    <t>Customer C8555</t>
  </si>
  <si>
    <t>C2443</t>
  </si>
  <si>
    <t>Customer C2443</t>
  </si>
  <si>
    <t>C3311</t>
  </si>
  <si>
    <t>Customer C3311</t>
  </si>
  <si>
    <t>C8299</t>
  </si>
  <si>
    <t>Customer C8299</t>
  </si>
  <si>
    <t>C5708</t>
  </si>
  <si>
    <t>Customer C5708</t>
  </si>
  <si>
    <t>C5981</t>
  </si>
  <si>
    <t>Customer C5981</t>
  </si>
  <si>
    <t>C3313</t>
  </si>
  <si>
    <t>Customer C3313</t>
  </si>
  <si>
    <t>C9021</t>
  </si>
  <si>
    <t>Customer C9021</t>
  </si>
  <si>
    <t>C7242</t>
  </si>
  <si>
    <t>Customer C7242</t>
  </si>
  <si>
    <t>C3440</t>
  </si>
  <si>
    <t>Customer C3440</t>
  </si>
  <si>
    <t>C6498</t>
  </si>
  <si>
    <t>Customer C6498</t>
  </si>
  <si>
    <t>C2873</t>
  </si>
  <si>
    <t>Customer C2873</t>
  </si>
  <si>
    <t>C5968</t>
  </si>
  <si>
    <t>Customer C5968</t>
  </si>
  <si>
    <t>C3723</t>
  </si>
  <si>
    <t>Customer C3723</t>
  </si>
  <si>
    <t>C3647</t>
  </si>
  <si>
    <t>Customer C3647</t>
  </si>
  <si>
    <t>C5102</t>
  </si>
  <si>
    <t>Customer C5102</t>
  </si>
  <si>
    <t>C9225</t>
  </si>
  <si>
    <t>Customer C9225</t>
  </si>
  <si>
    <t>C9517</t>
  </si>
  <si>
    <t>Customer C9517</t>
  </si>
  <si>
    <t>C1078</t>
  </si>
  <si>
    <t>Customer C1078</t>
  </si>
  <si>
    <t>C2029</t>
  </si>
  <si>
    <t>Customer C2029</t>
  </si>
  <si>
    <t>C6985</t>
  </si>
  <si>
    <t>Customer C6985</t>
  </si>
  <si>
    <t>C7782</t>
  </si>
  <si>
    <t>Customer C7782</t>
  </si>
  <si>
    <t>C6215</t>
  </si>
  <si>
    <t>Customer C6215</t>
  </si>
  <si>
    <t>C6373</t>
  </si>
  <si>
    <t>Customer C6373</t>
  </si>
  <si>
    <t>C6526</t>
  </si>
  <si>
    <t>Customer C6526</t>
  </si>
  <si>
    <t>C7287</t>
  </si>
  <si>
    <t>Customer C7287</t>
  </si>
  <si>
    <t>C6228</t>
  </si>
  <si>
    <t>Customer C6228</t>
  </si>
  <si>
    <t>C3497</t>
  </si>
  <si>
    <t>Customer C3497</t>
  </si>
  <si>
    <t>C6164</t>
  </si>
  <si>
    <t>Customer C6164</t>
  </si>
  <si>
    <t>C4588</t>
  </si>
  <si>
    <t>Customer C4588</t>
  </si>
  <si>
    <t>C1232</t>
  </si>
  <si>
    <t>Customer C1232</t>
  </si>
  <si>
    <t>C3714</t>
  </si>
  <si>
    <t>Customer C3714</t>
  </si>
  <si>
    <t>C3236</t>
  </si>
  <si>
    <t>Customer C3236</t>
  </si>
  <si>
    <t>C2411</t>
  </si>
  <si>
    <t>Customer C2411</t>
  </si>
  <si>
    <t>C8622</t>
  </si>
  <si>
    <t>Customer C8622</t>
  </si>
  <si>
    <t>C6020</t>
  </si>
  <si>
    <t>Customer C6020</t>
  </si>
  <si>
    <t>C5481</t>
  </si>
  <si>
    <t>Customer C5481</t>
  </si>
  <si>
    <t>C4136</t>
  </si>
  <si>
    <t>Customer C4136</t>
  </si>
  <si>
    <t>C8065</t>
  </si>
  <si>
    <t>Customer C8065</t>
  </si>
  <si>
    <t>C6729</t>
  </si>
  <si>
    <t>Customer C6729</t>
  </si>
  <si>
    <t>C4225</t>
  </si>
  <si>
    <t>Customer C4225</t>
  </si>
  <si>
    <t>C8230</t>
  </si>
  <si>
    <t>Customer C8230</t>
  </si>
  <si>
    <t>C2687</t>
  </si>
  <si>
    <t>Customer C2687</t>
  </si>
  <si>
    <t>C5595</t>
  </si>
  <si>
    <t>Customer C5595</t>
  </si>
  <si>
    <t>C6203</t>
  </si>
  <si>
    <t>Customer C6203</t>
  </si>
  <si>
    <t>C8789</t>
  </si>
  <si>
    <t>Customer C8789</t>
  </si>
  <si>
    <t>C1927</t>
  </si>
  <si>
    <t>Customer C1927</t>
  </si>
  <si>
    <t>C4332</t>
  </si>
  <si>
    <t>Customer C4332</t>
  </si>
  <si>
    <t>C3979</t>
  </si>
  <si>
    <t>Customer C3979</t>
  </si>
  <si>
    <t>C7557</t>
  </si>
  <si>
    <t>Customer C7557</t>
  </si>
  <si>
    <t>C5240</t>
  </si>
  <si>
    <t>Customer C5240</t>
  </si>
  <si>
    <t>C8884</t>
  </si>
  <si>
    <t>Customer C8884</t>
  </si>
  <si>
    <t>C5572</t>
  </si>
  <si>
    <t>Customer C5572</t>
  </si>
  <si>
    <t>C6341</t>
  </si>
  <si>
    <t>Customer C6341</t>
  </si>
  <si>
    <t>C5568</t>
  </si>
  <si>
    <t>Customer C5568</t>
  </si>
  <si>
    <t>C1216</t>
  </si>
  <si>
    <t>Customer C1216</t>
  </si>
  <si>
    <t>C3137</t>
  </si>
  <si>
    <t>Customer C3137</t>
  </si>
  <si>
    <t>C8372</t>
  </si>
  <si>
    <t>Customer C8372</t>
  </si>
  <si>
    <t>C4042</t>
  </si>
  <si>
    <t>Customer C4042</t>
  </si>
  <si>
    <t>C3920</t>
  </si>
  <si>
    <t>Customer C3920</t>
  </si>
  <si>
    <t>C2573</t>
  </si>
  <si>
    <t>Customer C2573</t>
  </si>
  <si>
    <t>C8303</t>
  </si>
  <si>
    <t>Customer C8303</t>
  </si>
  <si>
    <t>C3636</t>
  </si>
  <si>
    <t>Customer C3636</t>
  </si>
  <si>
    <t>C2802</t>
  </si>
  <si>
    <t>Customer C2802</t>
  </si>
  <si>
    <t>C8923</t>
  </si>
  <si>
    <t>Customer C8923</t>
  </si>
  <si>
    <t>C1003</t>
  </si>
  <si>
    <t>Customer C1003</t>
  </si>
  <si>
    <t>C1946</t>
  </si>
  <si>
    <t>Customer C1946</t>
  </si>
  <si>
    <t>C7163</t>
  </si>
  <si>
    <t>Customer C7163</t>
  </si>
  <si>
    <t>C3257</t>
  </si>
  <si>
    <t>Customer C3257</t>
  </si>
  <si>
    <t>C3519</t>
  </si>
  <si>
    <t>Customer C3519</t>
  </si>
  <si>
    <t>C6676</t>
  </si>
  <si>
    <t>Customer C6676</t>
  </si>
  <si>
    <t>C4998</t>
  </si>
  <si>
    <t>Customer C4998</t>
  </si>
  <si>
    <t>C7027</t>
  </si>
  <si>
    <t>Customer C7027</t>
  </si>
  <si>
    <t>C2203</t>
  </si>
  <si>
    <t>Customer C2203</t>
  </si>
  <si>
    <t>C8328</t>
  </si>
  <si>
    <t>Customer C8328</t>
  </si>
  <si>
    <t>C3976</t>
  </si>
  <si>
    <t>Customer C3976</t>
  </si>
  <si>
    <t>C7680</t>
  </si>
  <si>
    <t>Customer C7680</t>
  </si>
  <si>
    <t>C8829</t>
  </si>
  <si>
    <t>Customer C8829</t>
  </si>
  <si>
    <t>C3251</t>
  </si>
  <si>
    <t>Customer C3251</t>
  </si>
  <si>
    <t>C9750</t>
  </si>
  <si>
    <t>Customer C9750</t>
  </si>
  <si>
    <t>C9428</t>
  </si>
  <si>
    <t>Customer C9428</t>
  </si>
  <si>
    <t>C7405</t>
  </si>
  <si>
    <t>Customer C7405</t>
  </si>
  <si>
    <t>C3458</t>
  </si>
  <si>
    <t>Customer C3458</t>
  </si>
  <si>
    <t>C8746</t>
  </si>
  <si>
    <t>Customer C8746</t>
  </si>
  <si>
    <t>C6607</t>
  </si>
  <si>
    <t>Customer C6607</t>
  </si>
  <si>
    <t>C5320</t>
  </si>
  <si>
    <t>Customer C5320</t>
  </si>
  <si>
    <t>C3845</t>
  </si>
  <si>
    <t>Customer C3845</t>
  </si>
  <si>
    <t>C4839</t>
  </si>
  <si>
    <t>Customer C4839</t>
  </si>
  <si>
    <t>C6350</t>
  </si>
  <si>
    <t>Customer C6350</t>
  </si>
  <si>
    <t>C3527</t>
  </si>
  <si>
    <t>Customer C3527</t>
  </si>
  <si>
    <t>C5506</t>
  </si>
  <si>
    <t>Customer C5506</t>
  </si>
  <si>
    <t>C4024</t>
  </si>
  <si>
    <t>Customer C4024</t>
  </si>
  <si>
    <t>C9717</t>
  </si>
  <si>
    <t>Customer C9717</t>
  </si>
  <si>
    <t>C7816</t>
  </si>
  <si>
    <t>Customer C7816</t>
  </si>
  <si>
    <t>C6871</t>
  </si>
  <si>
    <t>Customer C6871</t>
  </si>
  <si>
    <t>C1180</t>
  </si>
  <si>
    <t>Customer C1180</t>
  </si>
  <si>
    <t>C9079</t>
  </si>
  <si>
    <t>Customer C9079</t>
  </si>
  <si>
    <t>C5178</t>
  </si>
  <si>
    <t>Customer C5178</t>
  </si>
  <si>
    <t>C8449</t>
  </si>
  <si>
    <t>Customer C8449</t>
  </si>
  <si>
    <t>C4161</t>
  </si>
  <si>
    <t>Customer C4161</t>
  </si>
  <si>
    <t>C8260</t>
  </si>
  <si>
    <t>Customer C8260</t>
  </si>
  <si>
    <t>C5877</t>
  </si>
  <si>
    <t>Customer C5877</t>
  </si>
  <si>
    <t>C5935</t>
  </si>
  <si>
    <t>Customer C5935</t>
  </si>
  <si>
    <t>C1822</t>
  </si>
  <si>
    <t>Customer C1822</t>
  </si>
  <si>
    <t>C1338</t>
  </si>
  <si>
    <t>Customer C1338</t>
  </si>
  <si>
    <t>C7009</t>
  </si>
  <si>
    <t>Customer C7009</t>
  </si>
  <si>
    <t>C8077</t>
  </si>
  <si>
    <t>Customer C8077</t>
  </si>
  <si>
    <t>C3641</t>
  </si>
  <si>
    <t>Customer C3641</t>
  </si>
  <si>
    <t>C5544</t>
  </si>
  <si>
    <t>Customer C5544</t>
  </si>
  <si>
    <t>C9446</t>
  </si>
  <si>
    <t>Customer C9446</t>
  </si>
  <si>
    <t>C3722</t>
  </si>
  <si>
    <t>Customer C3722</t>
  </si>
  <si>
    <t>C1319</t>
  </si>
  <si>
    <t>Customer C1319</t>
  </si>
  <si>
    <t>C5922</t>
  </si>
  <si>
    <t>Customer C5922</t>
  </si>
  <si>
    <t>C6723</t>
  </si>
  <si>
    <t>Customer C6723</t>
  </si>
  <si>
    <t>C7409</t>
  </si>
  <si>
    <t>Customer C7409</t>
  </si>
  <si>
    <t>C5331</t>
  </si>
  <si>
    <t>Customer C5331</t>
  </si>
  <si>
    <t>C1483</t>
  </si>
  <si>
    <t>Customer C1483</t>
  </si>
  <si>
    <t>C1248</t>
  </si>
  <si>
    <t>Customer C1248</t>
  </si>
  <si>
    <t>C3477</t>
  </si>
  <si>
    <t>Customer C3477</t>
  </si>
  <si>
    <t>C9443</t>
  </si>
  <si>
    <t>Customer C9443</t>
  </si>
  <si>
    <t>C4274</t>
  </si>
  <si>
    <t>Customer C4274</t>
  </si>
  <si>
    <t>C4699</t>
  </si>
  <si>
    <t>Customer C4699</t>
  </si>
  <si>
    <t>C4034</t>
  </si>
  <si>
    <t>Customer C4034</t>
  </si>
  <si>
    <t>C3926</t>
  </si>
  <si>
    <t>Customer C3926</t>
  </si>
  <si>
    <t>C4445</t>
  </si>
  <si>
    <t>Customer C4445</t>
  </si>
  <si>
    <t>C1588</t>
  </si>
  <si>
    <t>Customer C1588</t>
  </si>
  <si>
    <t>C3970</t>
  </si>
  <si>
    <t>Customer C3970</t>
  </si>
  <si>
    <t>C8554</t>
  </si>
  <si>
    <t>Customer C8554</t>
  </si>
  <si>
    <t>C3081</t>
  </si>
  <si>
    <t>Customer C3081</t>
  </si>
  <si>
    <t>C6559</t>
  </si>
  <si>
    <t>Customer C6559</t>
  </si>
  <si>
    <t>C4367</t>
  </si>
  <si>
    <t>Customer C4367</t>
  </si>
  <si>
    <t>C6028</t>
  </si>
  <si>
    <t>Customer C6028</t>
  </si>
  <si>
    <t>C2063</t>
  </si>
  <si>
    <t>Customer C2063</t>
  </si>
  <si>
    <t>C3076</t>
  </si>
  <si>
    <t>Customer C3076</t>
  </si>
  <si>
    <t>C8618</t>
  </si>
  <si>
    <t>Customer C8618</t>
  </si>
  <si>
    <t>C3381</t>
  </si>
  <si>
    <t>Customer C3381</t>
  </si>
  <si>
    <t>C2881</t>
  </si>
  <si>
    <t>Customer C2881</t>
  </si>
  <si>
    <t>C4730</t>
  </si>
  <si>
    <t>Customer C4730</t>
  </si>
  <si>
    <t>C4685</t>
  </si>
  <si>
    <t>Customer C4685</t>
  </si>
  <si>
    <t>C9159</t>
  </si>
  <si>
    <t>Customer C9159</t>
  </si>
  <si>
    <t>C1854</t>
  </si>
  <si>
    <t>Customer C1854</t>
  </si>
  <si>
    <t>C1366</t>
  </si>
  <si>
    <t>Customer C1366</t>
  </si>
  <si>
    <t>C6636</t>
  </si>
  <si>
    <t>Customer C6636</t>
  </si>
  <si>
    <t>C7330</t>
  </si>
  <si>
    <t>Customer C7330</t>
  </si>
  <si>
    <t>C7613</t>
  </si>
  <si>
    <t>Customer C7613</t>
  </si>
  <si>
    <t>C2719</t>
  </si>
  <si>
    <t>Customer C2719</t>
  </si>
  <si>
    <t>C3888</t>
  </si>
  <si>
    <t>Customer C3888</t>
  </si>
  <si>
    <t>C5790</t>
  </si>
  <si>
    <t>Customer C5790</t>
  </si>
  <si>
    <t>C6826</t>
  </si>
  <si>
    <t>Customer C6826</t>
  </si>
  <si>
    <t>C7531</t>
  </si>
  <si>
    <t>Customer C7531</t>
  </si>
  <si>
    <t>C8257</t>
  </si>
  <si>
    <t>Customer C8257</t>
  </si>
  <si>
    <t>C4000</t>
  </si>
  <si>
    <t>Customer C4000</t>
  </si>
  <si>
    <t>C1757</t>
  </si>
  <si>
    <t>Customer C1757</t>
  </si>
  <si>
    <t>C9093</t>
  </si>
  <si>
    <t>Customer C9093</t>
  </si>
  <si>
    <t>C4917</t>
  </si>
  <si>
    <t>Customer C4917</t>
  </si>
  <si>
    <t>C2967</t>
  </si>
  <si>
    <t>Customer C2967</t>
  </si>
  <si>
    <t>C8428</t>
  </si>
  <si>
    <t>Customer C8428</t>
  </si>
  <si>
    <t>C9984</t>
  </si>
  <si>
    <t>Customer C9984</t>
  </si>
  <si>
    <t>C8940</t>
  </si>
  <si>
    <t>Customer C8940</t>
  </si>
  <si>
    <t>C2090</t>
  </si>
  <si>
    <t>Customer C2090</t>
  </si>
  <si>
    <t>C1187</t>
  </si>
  <si>
    <t>Customer C1187</t>
  </si>
  <si>
    <t>C6011</t>
  </si>
  <si>
    <t>Customer C6011</t>
  </si>
  <si>
    <t>C1215</t>
  </si>
  <si>
    <t>Customer C1215</t>
  </si>
  <si>
    <t>C4992</t>
  </si>
  <si>
    <t>Customer C4992</t>
  </si>
  <si>
    <t>C6835</t>
  </si>
  <si>
    <t>Customer C6835</t>
  </si>
  <si>
    <t>C4686</t>
  </si>
  <si>
    <t>Customer C4686</t>
  </si>
  <si>
    <t>C9570</t>
  </si>
  <si>
    <t>Customer C9570</t>
  </si>
  <si>
    <t>C5000</t>
  </si>
  <si>
    <t>Customer C5000</t>
  </si>
  <si>
    <t>C1179</t>
  </si>
  <si>
    <t>Customer C1179</t>
  </si>
  <si>
    <t>C7631</t>
  </si>
  <si>
    <t>Customer C7631</t>
  </si>
  <si>
    <t>C1909</t>
  </si>
  <si>
    <t>Customer C1909</t>
  </si>
  <si>
    <t>C9857</t>
  </si>
  <si>
    <t>Customer C9857</t>
  </si>
  <si>
    <t>C5591</t>
  </si>
  <si>
    <t>Customer C5591</t>
  </si>
  <si>
    <t>C1023</t>
  </si>
  <si>
    <t>Customer C1023</t>
  </si>
  <si>
    <t>C7655</t>
  </si>
  <si>
    <t>Customer C7655</t>
  </si>
  <si>
    <t>C8711</t>
  </si>
  <si>
    <t>Customer C8711</t>
  </si>
  <si>
    <t>C5032</t>
  </si>
  <si>
    <t>Customer C5032</t>
  </si>
  <si>
    <t>C1091</t>
  </si>
  <si>
    <t>Customer C1091</t>
  </si>
  <si>
    <t>C9749</t>
  </si>
  <si>
    <t>Customer C9749</t>
  </si>
  <si>
    <t>C4348</t>
  </si>
  <si>
    <t>Customer C4348</t>
  </si>
  <si>
    <t>C3161</t>
  </si>
  <si>
    <t>Customer C3161</t>
  </si>
  <si>
    <t>C3059</t>
  </si>
  <si>
    <t>Customer C3059</t>
  </si>
  <si>
    <t>C3402</t>
  </si>
  <si>
    <t>Customer C3402</t>
  </si>
  <si>
    <t>C6737</t>
  </si>
  <si>
    <t>Customer C6737</t>
  </si>
  <si>
    <t>C7118</t>
  </si>
  <si>
    <t>Customer C7118</t>
  </si>
  <si>
    <t>C7167</t>
  </si>
  <si>
    <t>Customer C7167</t>
  </si>
  <si>
    <t>C9098</t>
  </si>
  <si>
    <t>Customer C9098</t>
  </si>
  <si>
    <t>C5311</t>
  </si>
  <si>
    <t>Customer C5311</t>
  </si>
  <si>
    <t>C8605</t>
  </si>
  <si>
    <t>Customer C8605</t>
  </si>
  <si>
    <t>C2161</t>
  </si>
  <si>
    <t>Customer C2161</t>
  </si>
  <si>
    <t>C7444</t>
  </si>
  <si>
    <t>Customer C7444</t>
  </si>
  <si>
    <t>C6953</t>
  </si>
  <si>
    <t>Customer C6953</t>
  </si>
  <si>
    <t>C1683</t>
  </si>
  <si>
    <t>Customer C1683</t>
  </si>
  <si>
    <t>C7925</t>
  </si>
  <si>
    <t>Customer C7925</t>
  </si>
  <si>
    <t>C7628</t>
  </si>
  <si>
    <t>Customer C7628</t>
  </si>
  <si>
    <t>C7382</t>
  </si>
  <si>
    <t>Customer C7382</t>
  </si>
  <si>
    <t>C4501</t>
  </si>
  <si>
    <t>Customer C4501</t>
  </si>
  <si>
    <t>C1657</t>
  </si>
  <si>
    <t>Customer C1657</t>
  </si>
  <si>
    <t>C4226</t>
  </si>
  <si>
    <t>Customer C4226</t>
  </si>
  <si>
    <t>C5999</t>
  </si>
  <si>
    <t>Customer C5999</t>
  </si>
  <si>
    <t>C1157</t>
  </si>
  <si>
    <t>Customer C1157</t>
  </si>
  <si>
    <t>C3472</t>
  </si>
  <si>
    <t>Customer C3472</t>
  </si>
  <si>
    <t>C3201</t>
  </si>
  <si>
    <t>Customer C3201</t>
  </si>
  <si>
    <t>C4475</t>
  </si>
  <si>
    <t>Customer C4475</t>
  </si>
  <si>
    <t>C3988</t>
  </si>
  <si>
    <t>Customer C3988</t>
  </si>
  <si>
    <t>C9194</t>
  </si>
  <si>
    <t>Customer C9194</t>
  </si>
  <si>
    <t>C7496</t>
  </si>
  <si>
    <t>Customer C7496</t>
  </si>
  <si>
    <t>C1230</t>
  </si>
  <si>
    <t>Customer C1230</t>
  </si>
  <si>
    <t>C3160</t>
  </si>
  <si>
    <t>Customer C3160</t>
  </si>
  <si>
    <t>C2626</t>
  </si>
  <si>
    <t>Customer C2626</t>
  </si>
  <si>
    <t>C1080</t>
  </si>
  <si>
    <t>Customer C1080</t>
  </si>
  <si>
    <t>C9913</t>
  </si>
  <si>
    <t>Customer C9913</t>
  </si>
  <si>
    <t>C9608</t>
  </si>
  <si>
    <t>Customer C9608</t>
  </si>
  <si>
    <t>C5413</t>
  </si>
  <si>
    <t>Customer C5413</t>
  </si>
  <si>
    <t>C6520</t>
  </si>
  <si>
    <t>Customer C6520</t>
  </si>
  <si>
    <t>C9150</t>
  </si>
  <si>
    <t>Customer C9150</t>
  </si>
  <si>
    <t>C9593</t>
  </si>
  <si>
    <t>Customer C9593</t>
  </si>
  <si>
    <t>C4651</t>
  </si>
  <si>
    <t>Customer C4651</t>
  </si>
  <si>
    <t>C9254</t>
  </si>
  <si>
    <t>Customer C9254</t>
  </si>
  <si>
    <t>C9453</t>
  </si>
  <si>
    <t>Customer C9453</t>
  </si>
  <si>
    <t>C7152</t>
  </si>
  <si>
    <t>Customer C7152</t>
  </si>
  <si>
    <t>C3826</t>
  </si>
  <si>
    <t>Customer C3826</t>
  </si>
  <si>
    <t>C5324</t>
  </si>
  <si>
    <t>Customer C5324</t>
  </si>
  <si>
    <t>C4737</t>
  </si>
  <si>
    <t>Customer C4737</t>
  </si>
  <si>
    <t>C1146</t>
  </si>
  <si>
    <t>Customer C1146</t>
  </si>
  <si>
    <t>C8871</t>
  </si>
  <si>
    <t>Customer C8871</t>
  </si>
  <si>
    <t>C3684</t>
  </si>
  <si>
    <t>Customer C3684</t>
  </si>
  <si>
    <t>C1161</t>
  </si>
  <si>
    <t>Customer C1161</t>
  </si>
  <si>
    <t>C5846</t>
  </si>
  <si>
    <t>Customer C5846</t>
  </si>
  <si>
    <t>C3460</t>
  </si>
  <si>
    <t>Customer C3460</t>
  </si>
  <si>
    <t>C7931</t>
  </si>
  <si>
    <t>Customer C7931</t>
  </si>
  <si>
    <t>C5980</t>
  </si>
  <si>
    <t>Customer C5980</t>
  </si>
  <si>
    <t>C6022</t>
  </si>
  <si>
    <t>Customer C6022</t>
  </si>
  <si>
    <t>C3817</t>
  </si>
  <si>
    <t>Customer C3817</t>
  </si>
  <si>
    <t>C8639</t>
  </si>
  <si>
    <t>Customer C8639</t>
  </si>
  <si>
    <t>C5623</t>
  </si>
  <si>
    <t>Customer C5623</t>
  </si>
  <si>
    <t>C5978</t>
  </si>
  <si>
    <t>Customer C5978</t>
  </si>
  <si>
    <t>C2279</t>
  </si>
  <si>
    <t>Customer C2279</t>
  </si>
  <si>
    <t>C4160</t>
  </si>
  <si>
    <t>Customer C4160</t>
  </si>
  <si>
    <t>C1045</t>
  </si>
  <si>
    <t>Customer C1045</t>
  </si>
  <si>
    <t>C7551</t>
  </si>
  <si>
    <t>Customer C7551</t>
  </si>
  <si>
    <t>C8730</t>
  </si>
  <si>
    <t>Customer C8730</t>
  </si>
  <si>
    <t>C5902</t>
  </si>
  <si>
    <t>Customer C5902</t>
  </si>
  <si>
    <t>C5027</t>
  </si>
  <si>
    <t>Customer C5027</t>
  </si>
  <si>
    <t>C8912</t>
  </si>
  <si>
    <t>Customer C8912</t>
  </si>
  <si>
    <t>C3897</t>
  </si>
  <si>
    <t>Customer C3897</t>
  </si>
  <si>
    <t>C9345</t>
  </si>
  <si>
    <t>Customer C9345</t>
  </si>
  <si>
    <t>C2932</t>
  </si>
  <si>
    <t>Customer C2932</t>
  </si>
  <si>
    <t>C1555</t>
  </si>
  <si>
    <t>Customer C1555</t>
  </si>
  <si>
    <t>C2483</t>
  </si>
  <si>
    <t>Customer C2483</t>
  </si>
  <si>
    <t>C6318</t>
  </si>
  <si>
    <t>Customer C6318</t>
  </si>
  <si>
    <t>C7603</t>
  </si>
  <si>
    <t>Customer C7603</t>
  </si>
  <si>
    <t>C4865</t>
  </si>
  <si>
    <t>Customer C4865</t>
  </si>
  <si>
    <t>C6695</t>
  </si>
  <si>
    <t>Customer C6695</t>
  </si>
  <si>
    <t>C8360</t>
  </si>
  <si>
    <t>Customer C8360</t>
  </si>
  <si>
    <t>C7459</t>
  </si>
  <si>
    <t>Customer C7459</t>
  </si>
  <si>
    <t>C8794</t>
  </si>
  <si>
    <t>Customer C8794</t>
  </si>
  <si>
    <t>C1271</t>
  </si>
  <si>
    <t>Customer C1271</t>
  </si>
  <si>
    <t>C7576</t>
  </si>
  <si>
    <t>Customer C7576</t>
  </si>
  <si>
    <t>C3743</t>
  </si>
  <si>
    <t>Customer C3743</t>
  </si>
  <si>
    <t>C6727</t>
  </si>
  <si>
    <t>Customer C6727</t>
  </si>
  <si>
    <t>C7602</t>
  </si>
  <si>
    <t>Customer C7602</t>
  </si>
  <si>
    <t>C8777</t>
  </si>
  <si>
    <t>Customer C8777</t>
  </si>
  <si>
    <t>C3787</t>
  </si>
  <si>
    <t>Customer C3787</t>
  </si>
  <si>
    <t>C1292</t>
  </si>
  <si>
    <t>Customer C1292</t>
  </si>
  <si>
    <t>C9554</t>
  </si>
  <si>
    <t>Customer C9554</t>
  </si>
  <si>
    <t>C2013</t>
  </si>
  <si>
    <t>Customer C2013</t>
  </si>
  <si>
    <t>C8970</t>
  </si>
  <si>
    <t>Customer C8970</t>
  </si>
  <si>
    <t>C9822</t>
  </si>
  <si>
    <t>Customer C9822</t>
  </si>
  <si>
    <t>C3141</t>
  </si>
  <si>
    <t>Customer C3141</t>
  </si>
  <si>
    <t>C5168</t>
  </si>
  <si>
    <t>Customer C5168</t>
  </si>
  <si>
    <t>C4598</t>
  </si>
  <si>
    <t>Customer C4598</t>
  </si>
  <si>
    <t>C3331</t>
  </si>
  <si>
    <t>Customer C3331</t>
  </si>
  <si>
    <t>C8030</t>
  </si>
  <si>
    <t>Customer C8030</t>
  </si>
  <si>
    <t>C8217</t>
  </si>
  <si>
    <t>Customer C8217</t>
  </si>
  <si>
    <t>C3669</t>
  </si>
  <si>
    <t>Customer C3669</t>
  </si>
  <si>
    <t>C9097</t>
  </si>
  <si>
    <t>Customer C9097</t>
  </si>
  <si>
    <t>C1957</t>
  </si>
  <si>
    <t>Customer C1957</t>
  </si>
  <si>
    <t>C1228</t>
  </si>
  <si>
    <t>Customer C1228</t>
  </si>
  <si>
    <t>C3455</t>
  </si>
  <si>
    <t>Customer C3455</t>
  </si>
  <si>
    <t>C4260</t>
  </si>
  <si>
    <t>Customer C4260</t>
  </si>
  <si>
    <t>C6184</t>
  </si>
  <si>
    <t>Customer C6184</t>
  </si>
  <si>
    <t>C9880</t>
  </si>
  <si>
    <t>Customer C9880</t>
  </si>
  <si>
    <t>C5119</t>
  </si>
  <si>
    <t>Customer C5119</t>
  </si>
  <si>
    <t>C2194</t>
  </si>
  <si>
    <t>Customer C2194</t>
  </si>
  <si>
    <t>C4011</t>
  </si>
  <si>
    <t>Customer C4011</t>
  </si>
  <si>
    <t>C2801</t>
  </si>
  <si>
    <t>Customer C2801</t>
  </si>
  <si>
    <t>C3162</t>
  </si>
  <si>
    <t>Customer C3162</t>
  </si>
  <si>
    <t>C3096</t>
  </si>
  <si>
    <t>Customer C3096</t>
  </si>
  <si>
    <t>C3589</t>
  </si>
  <si>
    <t>Customer C3589</t>
  </si>
  <si>
    <t>C8523</t>
  </si>
  <si>
    <t>Customer C8523</t>
  </si>
  <si>
    <t>C4507</t>
  </si>
  <si>
    <t>Customer C4507</t>
  </si>
  <si>
    <t>C1349</t>
  </si>
  <si>
    <t>Customer C1349</t>
  </si>
  <si>
    <t>C2910</t>
  </si>
  <si>
    <t>Customer C2910</t>
  </si>
  <si>
    <t>C8338</t>
  </si>
  <si>
    <t>Customer C8338</t>
  </si>
  <si>
    <t>C9578</t>
  </si>
  <si>
    <t>Customer C9578</t>
  </si>
  <si>
    <t>C2645</t>
  </si>
  <si>
    <t>Customer C2645</t>
  </si>
  <si>
    <t>C7332</t>
  </si>
  <si>
    <t>Customer C7332</t>
  </si>
  <si>
    <t>C7272</t>
  </si>
  <si>
    <t>Customer C7272</t>
  </si>
  <si>
    <t>C9841</t>
  </si>
  <si>
    <t>Customer C9841</t>
  </si>
  <si>
    <t>C9328</t>
  </si>
  <si>
    <t>Customer C9328</t>
  </si>
  <si>
    <t>C9505</t>
  </si>
  <si>
    <t>Customer C9505</t>
  </si>
  <si>
    <t>C2357</t>
  </si>
  <si>
    <t>Customer C2357</t>
  </si>
  <si>
    <t>C8176</t>
  </si>
  <si>
    <t>Customer C8176</t>
  </si>
  <si>
    <t>C7633</t>
  </si>
  <si>
    <t>Customer C7633</t>
  </si>
  <si>
    <t>C6165</t>
  </si>
  <si>
    <t>Customer C6165</t>
  </si>
  <si>
    <t>C6377</t>
  </si>
  <si>
    <t>Customer C6377</t>
  </si>
  <si>
    <t>C1172</t>
  </si>
  <si>
    <t>Customer C1172</t>
  </si>
  <si>
    <t>C7580</t>
  </si>
  <si>
    <t>Customer C7580</t>
  </si>
  <si>
    <t>C2642</t>
  </si>
  <si>
    <t>Customer C2642</t>
  </si>
  <si>
    <t>C4576</t>
  </si>
  <si>
    <t>Customer C4576</t>
  </si>
  <si>
    <t>C3626</t>
  </si>
  <si>
    <t>Customer C3626</t>
  </si>
  <si>
    <t>C7227</t>
  </si>
  <si>
    <t>Customer C7227</t>
  </si>
  <si>
    <t>C9723</t>
  </si>
  <si>
    <t>Customer C9723</t>
  </si>
  <si>
    <t>C9307</t>
  </si>
  <si>
    <t>Customer C9307</t>
  </si>
  <si>
    <t>C7581</t>
  </si>
  <si>
    <t>Customer C7581</t>
  </si>
  <si>
    <t>C4693</t>
  </si>
  <si>
    <t>Customer C4693</t>
  </si>
  <si>
    <t>C9163</t>
  </si>
  <si>
    <t>Customer C9163</t>
  </si>
  <si>
    <t>C7433</t>
  </si>
  <si>
    <t>Customer C7433</t>
  </si>
  <si>
    <t>C6992</t>
  </si>
  <si>
    <t>Customer C6992</t>
  </si>
  <si>
    <t>C7426</t>
  </si>
  <si>
    <t>Customer C7426</t>
  </si>
  <si>
    <t>C6431</t>
  </si>
  <si>
    <t>Customer C6431</t>
  </si>
  <si>
    <t>C5194</t>
  </si>
  <si>
    <t>Customer C5194</t>
  </si>
  <si>
    <t>C8964</t>
  </si>
  <si>
    <t>Customer C8964</t>
  </si>
  <si>
    <t>C7564</t>
  </si>
  <si>
    <t>Customer C7564</t>
  </si>
  <si>
    <t>C9019</t>
  </si>
  <si>
    <t>Customer C9019</t>
  </si>
  <si>
    <t>C4324</t>
  </si>
  <si>
    <t>Customer C4324</t>
  </si>
  <si>
    <t>C4399</t>
  </si>
  <si>
    <t>Customer C4399</t>
  </si>
  <si>
    <t>C9533</t>
  </si>
  <si>
    <t>Customer C9533</t>
  </si>
  <si>
    <t>C6629</t>
  </si>
  <si>
    <t>Customer C6629</t>
  </si>
  <si>
    <t>C2179</t>
  </si>
  <si>
    <t>Customer C2179</t>
  </si>
  <si>
    <t>C7838</t>
  </si>
  <si>
    <t>Customer C7838</t>
  </si>
  <si>
    <t>C2462</t>
  </si>
  <si>
    <t>Customer C2462</t>
  </si>
  <si>
    <t>C3708</t>
  </si>
  <si>
    <t>Customer C3708</t>
  </si>
  <si>
    <t>C2550</t>
  </si>
  <si>
    <t>Customer C2550</t>
  </si>
  <si>
    <t>C9725</t>
  </si>
  <si>
    <t>Customer C9725</t>
  </si>
  <si>
    <t>C5158</t>
  </si>
  <si>
    <t>Customer C5158</t>
  </si>
  <si>
    <t>C7916</t>
  </si>
  <si>
    <t>Customer C7916</t>
  </si>
  <si>
    <t>C8723</t>
  </si>
  <si>
    <t>Customer C8723</t>
  </si>
  <si>
    <t>C8670</t>
  </si>
  <si>
    <t>Customer C8670</t>
  </si>
  <si>
    <t>C2734</t>
  </si>
  <si>
    <t>Customer C2734</t>
  </si>
  <si>
    <t>C1589</t>
  </si>
  <si>
    <t>Customer C1589</t>
  </si>
  <si>
    <t>C4771</t>
  </si>
  <si>
    <t>Customer C4771</t>
  </si>
  <si>
    <t>C2958</t>
  </si>
  <si>
    <t>Customer C2958</t>
  </si>
  <si>
    <t>C3828</t>
  </si>
  <si>
    <t>Customer C3828</t>
  </si>
  <si>
    <t>C3903</t>
  </si>
  <si>
    <t>Customer C3903</t>
  </si>
  <si>
    <t>C4863</t>
  </si>
  <si>
    <t>Customer C4863</t>
  </si>
  <si>
    <t>C9813</t>
  </si>
  <si>
    <t>Customer C9813</t>
  </si>
  <si>
    <t>C2931</t>
  </si>
  <si>
    <t>Customer C2931</t>
  </si>
  <si>
    <t>C1887</t>
  </si>
  <si>
    <t>Customer C1887</t>
  </si>
  <si>
    <t>C4343</t>
  </si>
  <si>
    <t>Customer C4343</t>
  </si>
  <si>
    <t>C1688</t>
  </si>
  <si>
    <t>Customer C1688</t>
  </si>
  <si>
    <t>C5554</t>
  </si>
  <si>
    <t>Customer C5554</t>
  </si>
  <si>
    <t>C6697</t>
  </si>
  <si>
    <t>Customer C6697</t>
  </si>
  <si>
    <t>C9488</t>
  </si>
  <si>
    <t>Customer C9488</t>
  </si>
  <si>
    <t>C9641</t>
  </si>
  <si>
    <t>Customer C9641</t>
  </si>
  <si>
    <t>C3666</t>
  </si>
  <si>
    <t>Customer C3666</t>
  </si>
  <si>
    <t>C5342</t>
  </si>
  <si>
    <t>Customer C5342</t>
  </si>
  <si>
    <t>C3773</t>
  </si>
  <si>
    <t>Customer C3773</t>
  </si>
  <si>
    <t>C4488</t>
  </si>
  <si>
    <t>Customer C4488</t>
  </si>
  <si>
    <t>C7586</t>
  </si>
  <si>
    <t>Customer C7586</t>
  </si>
  <si>
    <t>C5784</t>
  </si>
  <si>
    <t>Customer C5784</t>
  </si>
  <si>
    <t>C3222</t>
  </si>
  <si>
    <t>Customer C3222</t>
  </si>
  <si>
    <t>C4409</t>
  </si>
  <si>
    <t>Customer C4409</t>
  </si>
  <si>
    <t>C3334</t>
  </si>
  <si>
    <t>Customer C3334</t>
  </si>
  <si>
    <t>C3207</t>
  </si>
  <si>
    <t>Customer C3207</t>
  </si>
  <si>
    <t>C5890</t>
  </si>
  <si>
    <t>Customer C5890</t>
  </si>
  <si>
    <t>C1425</t>
  </si>
  <si>
    <t>Customer C1425</t>
  </si>
  <si>
    <t>C6903</t>
  </si>
  <si>
    <t>Customer C6903</t>
  </si>
  <si>
    <t>C3696</t>
  </si>
  <si>
    <t>Customer C3696</t>
  </si>
  <si>
    <t>C2057</t>
  </si>
  <si>
    <t>Customer C2057</t>
  </si>
  <si>
    <t>C8267</t>
  </si>
  <si>
    <t>Customer C8267</t>
  </si>
  <si>
    <t>C9579</t>
  </si>
  <si>
    <t>Customer C9579</t>
  </si>
  <si>
    <t>C3699</t>
  </si>
  <si>
    <t>Customer C3699</t>
  </si>
  <si>
    <t>C6085</t>
  </si>
  <si>
    <t>Customer C6085</t>
  </si>
  <si>
    <t>C8574</t>
  </si>
  <si>
    <t>Customer C8574</t>
  </si>
  <si>
    <t>C8044</t>
  </si>
  <si>
    <t>Customer C8044</t>
  </si>
  <si>
    <t>C9559</t>
  </si>
  <si>
    <t>Customer C9559</t>
  </si>
  <si>
    <t>C6600</t>
  </si>
  <si>
    <t>Customer C6600</t>
  </si>
  <si>
    <t>C5140</t>
  </si>
  <si>
    <t>Customer C5140</t>
  </si>
  <si>
    <t>C2690</t>
  </si>
  <si>
    <t>Customer C2690</t>
  </si>
  <si>
    <t>C1626</t>
  </si>
  <si>
    <t>Customer C1626</t>
  </si>
  <si>
    <t>C6843</t>
  </si>
  <si>
    <t>Customer C6843</t>
  </si>
  <si>
    <t>C8283</t>
  </si>
  <si>
    <t>Customer C8283</t>
  </si>
  <si>
    <t>C8697</t>
  </si>
  <si>
    <t>Customer C8697</t>
  </si>
  <si>
    <t>C4666</t>
  </si>
  <si>
    <t>Customer C4666</t>
  </si>
  <si>
    <t>C2904</t>
  </si>
  <si>
    <t>Customer C2904</t>
  </si>
  <si>
    <t>C3239</t>
  </si>
  <si>
    <t>Customer C3239</t>
  </si>
  <si>
    <t>C9006</t>
  </si>
  <si>
    <t>Customer C9006</t>
  </si>
  <si>
    <t>C6166</t>
  </si>
  <si>
    <t>Customer C6166</t>
  </si>
  <si>
    <t>C3152</t>
  </si>
  <si>
    <t>Customer C3152</t>
  </si>
  <si>
    <t>C6688</t>
  </si>
  <si>
    <t>Customer C6688</t>
  </si>
  <si>
    <t>C8366</t>
  </si>
  <si>
    <t>Customer C8366</t>
  </si>
  <si>
    <t>C8444</t>
  </si>
  <si>
    <t>Customer C8444</t>
  </si>
  <si>
    <t>C6539</t>
  </si>
  <si>
    <t>Customer C6539</t>
  </si>
  <si>
    <t>C5620</t>
  </si>
  <si>
    <t>Customer C5620</t>
  </si>
  <si>
    <t>C6296</t>
  </si>
  <si>
    <t>Customer C6296</t>
  </si>
  <si>
    <t>C5989</t>
  </si>
  <si>
    <t>Customer C5989</t>
  </si>
  <si>
    <t>C3571</t>
  </si>
  <si>
    <t>Customer C3571</t>
  </si>
  <si>
    <t>C3416</t>
  </si>
  <si>
    <t>Customer C3416</t>
  </si>
  <si>
    <t>C2023</t>
  </si>
  <si>
    <t>Customer C2023</t>
  </si>
  <si>
    <t>C6504</t>
  </si>
  <si>
    <t>Customer C6504</t>
  </si>
  <si>
    <t>C4155</t>
  </si>
  <si>
    <t>Customer C4155</t>
  </si>
  <si>
    <t>C4702</t>
  </si>
  <si>
    <t>Customer C4702</t>
  </si>
  <si>
    <t>C7696</t>
  </si>
  <si>
    <t>Customer C7696</t>
  </si>
  <si>
    <t>C1433</t>
  </si>
  <si>
    <t>Customer C1433</t>
  </si>
  <si>
    <t>C2487</t>
  </si>
  <si>
    <t>Customer C2487</t>
  </si>
  <si>
    <t>C5607</t>
  </si>
  <si>
    <t>Customer C5607</t>
  </si>
  <si>
    <t>C7891</t>
  </si>
  <si>
    <t>Customer C7891</t>
  </si>
  <si>
    <t>C8247</t>
  </si>
  <si>
    <t>Customer C8247</t>
  </si>
  <si>
    <t>C8392</t>
  </si>
  <si>
    <t>Customer C8392</t>
  </si>
  <si>
    <t>C8117</t>
  </si>
  <si>
    <t>Customer C8117</t>
  </si>
  <si>
    <t>C2777</t>
  </si>
  <si>
    <t>Customer C2777</t>
  </si>
  <si>
    <t>C4384</t>
  </si>
  <si>
    <t>Customer C4384</t>
  </si>
  <si>
    <t>C7855</t>
  </si>
  <si>
    <t>Customer C7855</t>
  </si>
  <si>
    <t>C3463</t>
  </si>
  <si>
    <t>Customer C3463</t>
  </si>
  <si>
    <t>C6550</t>
  </si>
  <si>
    <t>Customer C6550</t>
  </si>
  <si>
    <t>C9356</t>
  </si>
  <si>
    <t>Customer C9356</t>
  </si>
  <si>
    <t>C5435</t>
  </si>
  <si>
    <t>Customer C5435</t>
  </si>
  <si>
    <t>C7532</t>
  </si>
  <si>
    <t>Customer C7532</t>
  </si>
  <si>
    <t>C1717</t>
  </si>
  <si>
    <t>Customer C1717</t>
  </si>
  <si>
    <t>C9767</t>
  </si>
  <si>
    <t>Customer C9767</t>
  </si>
  <si>
    <t>C2564</t>
  </si>
  <si>
    <t>Customer C2564</t>
  </si>
  <si>
    <t>C9901</t>
  </si>
  <si>
    <t>Customer C9901</t>
  </si>
  <si>
    <t>C2101</t>
  </si>
  <si>
    <t>Customer C2101</t>
  </si>
  <si>
    <t>C9814</t>
  </si>
  <si>
    <t>Customer C9814</t>
  </si>
  <si>
    <t>C5003</t>
  </si>
  <si>
    <t>Customer C5003</t>
  </si>
  <si>
    <t>C6675</t>
  </si>
  <si>
    <t>Customer C6675</t>
  </si>
  <si>
    <t>C2195</t>
  </si>
  <si>
    <t>Customer C2195</t>
  </si>
  <si>
    <t>C6181</t>
  </si>
  <si>
    <t>Customer C6181</t>
  </si>
  <si>
    <t>C2109</t>
  </si>
  <si>
    <t>Customer C2109</t>
  </si>
  <si>
    <t>C2718</t>
  </si>
  <si>
    <t>Customer C2718</t>
  </si>
  <si>
    <t>C8088</t>
  </si>
  <si>
    <t>Customer C8088</t>
  </si>
  <si>
    <t>C6918</t>
  </si>
  <si>
    <t>Customer C6918</t>
  </si>
  <si>
    <t>C3400</t>
  </si>
  <si>
    <t>Customer C3400</t>
  </si>
  <si>
    <t>C2782</t>
  </si>
  <si>
    <t>Customer C2782</t>
  </si>
  <si>
    <t>C4103</t>
  </si>
  <si>
    <t>Customer C4103</t>
  </si>
  <si>
    <t>C7183</t>
  </si>
  <si>
    <t>Customer C7183</t>
  </si>
  <si>
    <t>C1844</t>
  </si>
  <si>
    <t>Customer C1844</t>
  </si>
  <si>
    <t>C2326</t>
  </si>
  <si>
    <t>Customer C2326</t>
  </si>
  <si>
    <t>C9916</t>
  </si>
  <si>
    <t>Customer C9916</t>
  </si>
  <si>
    <t>C3205</t>
  </si>
  <si>
    <t>Customer C3205</t>
  </si>
  <si>
    <t>C4222</t>
  </si>
  <si>
    <t>Customer C4222</t>
  </si>
  <si>
    <t>C6781</t>
  </si>
  <si>
    <t>Customer C6781</t>
  </si>
  <si>
    <t>C4770</t>
  </si>
  <si>
    <t>Customer C4770</t>
  </si>
  <si>
    <t>C4338</t>
  </si>
  <si>
    <t>Customer C4338</t>
  </si>
  <si>
    <t>C5170</t>
  </si>
  <si>
    <t>Customer C5170</t>
  </si>
  <si>
    <t>C5855</t>
  </si>
  <si>
    <t>Customer C5855</t>
  </si>
  <si>
    <t>C3417</t>
  </si>
  <si>
    <t>Customer C3417</t>
  </si>
  <si>
    <t>C4720</t>
  </si>
  <si>
    <t>Customer C4720</t>
  </si>
  <si>
    <t>C8590</t>
  </si>
  <si>
    <t>Customer C8590</t>
  </si>
  <si>
    <t>C1337</t>
  </si>
  <si>
    <t>Customer C1337</t>
  </si>
  <si>
    <t>C6921</t>
  </si>
  <si>
    <t>Customer C6921</t>
  </si>
  <si>
    <t>C5612</t>
  </si>
  <si>
    <t>Customer C5612</t>
  </si>
  <si>
    <t>C1359</t>
  </si>
  <si>
    <t>Customer C1359</t>
  </si>
  <si>
    <t>C7016</t>
  </si>
  <si>
    <t>Customer C7016</t>
  </si>
  <si>
    <t>C1619</t>
  </si>
  <si>
    <t>Customer C1619</t>
  </si>
  <si>
    <t>C3499</t>
  </si>
  <si>
    <t>Customer C3499</t>
  </si>
  <si>
    <t>C7659</t>
  </si>
  <si>
    <t>Customer C7659</t>
  </si>
  <si>
    <t>C6547</t>
  </si>
  <si>
    <t>Customer C6547</t>
  </si>
  <si>
    <t>C9376</t>
  </si>
  <si>
    <t>Customer C9376</t>
  </si>
  <si>
    <t>C1156</t>
  </si>
  <si>
    <t>Customer C1156</t>
  </si>
  <si>
    <t>C3010</t>
  </si>
  <si>
    <t>Customer C3010</t>
  </si>
  <si>
    <t>C2105</t>
  </si>
  <si>
    <t>Customer C2105</t>
  </si>
  <si>
    <t>C5042</t>
  </si>
  <si>
    <t>Customer C5042</t>
  </si>
  <si>
    <t>C1524</t>
  </si>
  <si>
    <t>Customer C1524</t>
  </si>
  <si>
    <t>C2867</t>
  </si>
  <si>
    <t>Customer C2867</t>
  </si>
  <si>
    <t>C3516</t>
  </si>
  <si>
    <t>Customer C3516</t>
  </si>
  <si>
    <t>C8296</t>
  </si>
  <si>
    <t>Customer C8296</t>
  </si>
  <si>
    <t>C9251</t>
  </si>
  <si>
    <t>Customer C9251</t>
  </si>
  <si>
    <t>C4623</t>
  </si>
  <si>
    <t>Customer C4623</t>
  </si>
  <si>
    <t>C5834</t>
  </si>
  <si>
    <t>Customer C5834</t>
  </si>
  <si>
    <t>C8484</t>
  </si>
  <si>
    <t>Customer C8484</t>
  </si>
  <si>
    <t>C8496</t>
  </si>
  <si>
    <t>Customer C8496</t>
  </si>
  <si>
    <t>C2307</t>
  </si>
  <si>
    <t>Customer C2307</t>
  </si>
  <si>
    <t>C7339</t>
  </si>
  <si>
    <t>Customer C7339</t>
  </si>
  <si>
    <t>C3501</t>
  </si>
  <si>
    <t>Customer C3501</t>
  </si>
  <si>
    <t>C6288</t>
  </si>
  <si>
    <t>Customer C6288</t>
  </si>
  <si>
    <t>C1886</t>
  </si>
  <si>
    <t>Customer C1886</t>
  </si>
  <si>
    <t>C5314</t>
  </si>
  <si>
    <t>Customer C5314</t>
  </si>
  <si>
    <t>C9222</t>
  </si>
  <si>
    <t>Customer C9222</t>
  </si>
  <si>
    <t>C1267</t>
  </si>
  <si>
    <t>Customer C1267</t>
  </si>
  <si>
    <t>C3026</t>
  </si>
  <si>
    <t>Customer C3026</t>
  </si>
  <si>
    <t>C7333</t>
  </si>
  <si>
    <t>Customer C7333</t>
  </si>
  <si>
    <t>C3509</t>
  </si>
  <si>
    <t>Customer C3509</t>
  </si>
  <si>
    <t>C6408</t>
  </si>
  <si>
    <t>Customer C6408</t>
  </si>
  <si>
    <t>C5338</t>
  </si>
  <si>
    <t>Customer C5338</t>
  </si>
  <si>
    <t>C8946</t>
  </si>
  <si>
    <t>Customer C8946</t>
  </si>
  <si>
    <t>C9324</t>
  </si>
  <si>
    <t>Customer C9324</t>
  </si>
  <si>
    <t>C6174</t>
  </si>
  <si>
    <t>Customer C6174</t>
  </si>
  <si>
    <t>C4515</t>
  </si>
  <si>
    <t>Customer C4515</t>
  </si>
  <si>
    <t>C7210</t>
  </si>
  <si>
    <t>Customer C7210</t>
  </si>
  <si>
    <t>C9176</t>
  </si>
  <si>
    <t>Customer C9176</t>
  </si>
  <si>
    <t>C3254</t>
  </si>
  <si>
    <t>Customer C3254</t>
  </si>
  <si>
    <t>C4315</t>
  </si>
  <si>
    <t>Customer C4315</t>
  </si>
  <si>
    <t>C9709</t>
  </si>
  <si>
    <t>Customer C9709</t>
  </si>
  <si>
    <t>C8780</t>
  </si>
  <si>
    <t>Customer C8780</t>
  </si>
  <si>
    <t>C4962</t>
  </si>
  <si>
    <t>Customer C4962</t>
  </si>
  <si>
    <t>C5041</t>
  </si>
  <si>
    <t>Customer C5041</t>
  </si>
  <si>
    <t>C3726</t>
  </si>
  <si>
    <t>Customer C3726</t>
  </si>
  <si>
    <t>C3536</t>
  </si>
  <si>
    <t>Customer C3536</t>
  </si>
  <si>
    <t>C5469</t>
  </si>
  <si>
    <t>Customer C5469</t>
  </si>
  <si>
    <t>C9904</t>
  </si>
  <si>
    <t>Customer C9904</t>
  </si>
  <si>
    <t>C2792</t>
  </si>
  <si>
    <t>Customer C2792</t>
  </si>
  <si>
    <t>C5083</t>
  </si>
  <si>
    <t>Customer C5083</t>
  </si>
  <si>
    <t>C8228</t>
  </si>
  <si>
    <t>Customer C8228</t>
  </si>
  <si>
    <t>C3842</t>
  </si>
  <si>
    <t>Customer C3842</t>
  </si>
  <si>
    <t>C2225</t>
  </si>
  <si>
    <t>Customer C2225</t>
  </si>
  <si>
    <t>C3312</t>
  </si>
  <si>
    <t>Customer C3312</t>
  </si>
  <si>
    <t>C2565</t>
  </si>
  <si>
    <t>Customer C2565</t>
  </si>
  <si>
    <t>C9275</t>
  </si>
  <si>
    <t>Customer C9275</t>
  </si>
  <si>
    <t>C8571</t>
  </si>
  <si>
    <t>Customer C8571</t>
  </si>
  <si>
    <t>C6744</t>
  </si>
  <si>
    <t>Customer C6744</t>
  </si>
  <si>
    <t>C5171</t>
  </si>
  <si>
    <t>Customer C5171</t>
  </si>
  <si>
    <t>C8694</t>
  </si>
  <si>
    <t>Customer C8694</t>
  </si>
  <si>
    <t>C5385</t>
  </si>
  <si>
    <t>Customer C5385</t>
  </si>
  <si>
    <t>C3690</t>
  </si>
  <si>
    <t>Customer C3690</t>
  </si>
  <si>
    <t>C5934</t>
  </si>
  <si>
    <t>Customer C5934</t>
  </si>
  <si>
    <t>C4818</t>
  </si>
  <si>
    <t>Customer C4818</t>
  </si>
  <si>
    <t>C3336</t>
  </si>
  <si>
    <t>Customer C3336</t>
  </si>
  <si>
    <t>C2984</t>
  </si>
  <si>
    <t>Customer C2984</t>
  </si>
  <si>
    <t>C8098</t>
  </si>
  <si>
    <t>Customer C8098</t>
  </si>
  <si>
    <t>C4040</t>
  </si>
  <si>
    <t>Customer C4040</t>
  </si>
  <si>
    <t>C5608</t>
  </si>
  <si>
    <t>Customer C5608</t>
  </si>
  <si>
    <t>C5017</t>
  </si>
  <si>
    <t>Customer C5017</t>
  </si>
  <si>
    <t>C2393</t>
  </si>
  <si>
    <t>Customer C2393</t>
  </si>
  <si>
    <t>C4157</t>
  </si>
  <si>
    <t>Customer C4157</t>
  </si>
  <si>
    <t>C6620</t>
  </si>
  <si>
    <t>Customer C6620</t>
  </si>
  <si>
    <t>C4773</t>
  </si>
  <si>
    <t>Customer C4773</t>
  </si>
  <si>
    <t>C3593</t>
  </si>
  <si>
    <t>Customer C3593</t>
  </si>
  <si>
    <t>C4707</t>
  </si>
  <si>
    <t>Customer C4707</t>
  </si>
  <si>
    <t>C1579</t>
  </si>
  <si>
    <t>Customer C1579</t>
  </si>
  <si>
    <t>C5431</t>
  </si>
  <si>
    <t>Customer C5431</t>
  </si>
  <si>
    <t>C1315</t>
  </si>
  <si>
    <t>Customer C1315</t>
  </si>
  <si>
    <t>C1563</t>
  </si>
  <si>
    <t>Customer C1563</t>
  </si>
  <si>
    <t>C4425</t>
  </si>
  <si>
    <t>Customer C4425</t>
  </si>
  <si>
    <t>C7721</t>
  </si>
  <si>
    <t>Customer C7721</t>
  </si>
  <si>
    <t>C5232</t>
  </si>
  <si>
    <t>Customer C5232</t>
  </si>
  <si>
    <t>C4628</t>
  </si>
  <si>
    <t>Customer C4628</t>
  </si>
  <si>
    <t>C7220</t>
  </si>
  <si>
    <t>Customer C7220</t>
  </si>
  <si>
    <t>C4184</t>
  </si>
  <si>
    <t>Customer C4184</t>
  </si>
  <si>
    <t>C5739</t>
  </si>
  <si>
    <t>Customer C5739</t>
  </si>
  <si>
    <t>C2392</t>
  </si>
  <si>
    <t>Customer C2392</t>
  </si>
  <si>
    <t>C9269</t>
  </si>
  <si>
    <t>Customer C9269</t>
  </si>
  <si>
    <t>C5111</t>
  </si>
  <si>
    <t>Customer C5111</t>
  </si>
  <si>
    <t>C6982</t>
  </si>
  <si>
    <t>Customer C6982</t>
  </si>
  <si>
    <t>C5346</t>
  </si>
  <si>
    <t>Customer C5346</t>
  </si>
  <si>
    <t>C1088</t>
  </si>
  <si>
    <t>Customer C1088</t>
  </si>
  <si>
    <t>C3577</t>
  </si>
  <si>
    <t>Customer C3577</t>
  </si>
  <si>
    <t>C8072</t>
  </si>
  <si>
    <t>Customer C8072</t>
  </si>
  <si>
    <t>C1110</t>
  </si>
  <si>
    <t>Customer C1110</t>
  </si>
  <si>
    <t>C2509</t>
  </si>
  <si>
    <t>Customer C2509</t>
  </si>
  <si>
    <t>C5663</t>
  </si>
  <si>
    <t>Customer C5663</t>
  </si>
  <si>
    <t>C2933</t>
  </si>
  <si>
    <t>Customer C2933</t>
  </si>
  <si>
    <t>C9595</t>
  </si>
  <si>
    <t>Customer C9595</t>
  </si>
  <si>
    <t>C2364</t>
  </si>
  <si>
    <t>Customer C2364</t>
  </si>
  <si>
    <t>C6805</t>
  </si>
  <si>
    <t>Customer C6805</t>
  </si>
  <si>
    <t>C1418</t>
  </si>
  <si>
    <t>Customer C1418</t>
  </si>
  <si>
    <t>C4706</t>
  </si>
  <si>
    <t>Customer C4706</t>
  </si>
  <si>
    <t>C4347</t>
  </si>
  <si>
    <t>Customer C4347</t>
  </si>
  <si>
    <t>C1671</t>
  </si>
  <si>
    <t>Customer C1671</t>
  </si>
  <si>
    <t>C6730</t>
  </si>
  <si>
    <t>Customer C6730</t>
  </si>
  <si>
    <t>C5809</t>
  </si>
  <si>
    <t>Customer C5809</t>
  </si>
  <si>
    <t>C6812</t>
  </si>
  <si>
    <t>Customer C6812</t>
  </si>
  <si>
    <t>C2143</t>
  </si>
  <si>
    <t>Customer C2143</t>
  </si>
  <si>
    <t>C1885</t>
  </si>
  <si>
    <t>Customer C1885</t>
  </si>
  <si>
    <t>C2037</t>
  </si>
  <si>
    <t>Customer C2037</t>
  </si>
  <si>
    <t>C5049</t>
  </si>
  <si>
    <t>Customer C5049</t>
  </si>
  <si>
    <t>C8382</t>
  </si>
  <si>
    <t>Customer C8382</t>
  </si>
  <si>
    <t>C2728</t>
  </si>
  <si>
    <t>Customer C2728</t>
  </si>
  <si>
    <t>C7319</t>
  </si>
  <si>
    <t>Customer C7319</t>
  </si>
  <si>
    <t>C1837</t>
  </si>
  <si>
    <t>Customer C1837</t>
  </si>
  <si>
    <t>C9898</t>
  </si>
  <si>
    <t>Customer C9898</t>
  </si>
  <si>
    <t>C8814</t>
  </si>
  <si>
    <t>Customer C8814</t>
  </si>
  <si>
    <t>C4385</t>
  </si>
  <si>
    <t>Customer C4385</t>
  </si>
  <si>
    <t>C5225</t>
  </si>
  <si>
    <t>Customer C5225</t>
  </si>
  <si>
    <t>C7411</t>
  </si>
  <si>
    <t>Customer C7411</t>
  </si>
  <si>
    <t>C8750</t>
  </si>
  <si>
    <t>Customer C8750</t>
  </si>
  <si>
    <t>C2776</t>
  </si>
  <si>
    <t>Customer C2776</t>
  </si>
  <si>
    <t>C2562</t>
  </si>
  <si>
    <t>Customer C2562</t>
  </si>
  <si>
    <t>C3354</t>
  </si>
  <si>
    <t>Customer C3354</t>
  </si>
  <si>
    <t>C5421</t>
  </si>
  <si>
    <t>Customer C5421</t>
  </si>
  <si>
    <t>C9622</t>
  </si>
  <si>
    <t>Customer C9622</t>
  </si>
  <si>
    <t>C3333</t>
  </si>
  <si>
    <t>Customer C3333</t>
  </si>
  <si>
    <t>C7286</t>
  </si>
  <si>
    <t>Customer C7286</t>
  </si>
  <si>
    <t>C9401</t>
  </si>
  <si>
    <t>Customer C9401</t>
  </si>
  <si>
    <t>C2727</t>
  </si>
  <si>
    <t>Customer C2727</t>
  </si>
  <si>
    <t>C2130</t>
  </si>
  <si>
    <t>Customer C2130</t>
  </si>
  <si>
    <t>C4420</t>
  </si>
  <si>
    <t>Customer C4420</t>
  </si>
  <si>
    <t>C7115</t>
  </si>
  <si>
    <t>Customer C7115</t>
  </si>
  <si>
    <t>C6807</t>
  </si>
  <si>
    <t>Customer C6807</t>
  </si>
  <si>
    <t>C4862</t>
  </si>
  <si>
    <t>Customer C4862</t>
  </si>
  <si>
    <t>C2255</t>
  </si>
  <si>
    <t>Customer C2255</t>
  </si>
  <si>
    <t>C4369</t>
  </si>
  <si>
    <t>Customer C4369</t>
  </si>
  <si>
    <t>C1814</t>
  </si>
  <si>
    <t>Customer C1814</t>
  </si>
  <si>
    <t>C8788</t>
  </si>
  <si>
    <t>Customer C8788</t>
  </si>
  <si>
    <t>C3761</t>
  </si>
  <si>
    <t>Customer C3761</t>
  </si>
  <si>
    <t>C2659</t>
  </si>
  <si>
    <t>Customer C2659</t>
  </si>
  <si>
    <t>C4055</t>
  </si>
  <si>
    <t>Customer C4055</t>
  </si>
  <si>
    <t>C6270</t>
  </si>
  <si>
    <t>Customer C6270</t>
  </si>
  <si>
    <t>C5457</t>
  </si>
  <si>
    <t>Customer C5457</t>
  </si>
  <si>
    <t>C2882</t>
  </si>
  <si>
    <t>Customer C2882</t>
  </si>
  <si>
    <t>C6426</t>
  </si>
  <si>
    <t>Customer C6426</t>
  </si>
  <si>
    <t>C7600</t>
  </si>
  <si>
    <t>Customer C7600</t>
  </si>
  <si>
    <t>C4731</t>
  </si>
  <si>
    <t>Customer C4731</t>
  </si>
  <si>
    <t>C8199</t>
  </si>
  <si>
    <t>Customer C8199</t>
  </si>
  <si>
    <t>C4991</t>
  </si>
  <si>
    <t>Customer C4991</t>
  </si>
  <si>
    <t>C1972</t>
  </si>
  <si>
    <t>Customer C1972</t>
  </si>
  <si>
    <t>C8799</t>
  </si>
  <si>
    <t>Customer C8799</t>
  </si>
  <si>
    <t>C6200</t>
  </si>
  <si>
    <t>Customer C6200</t>
  </si>
  <si>
    <t>C5983</t>
  </si>
  <si>
    <t>Customer C5983</t>
  </si>
  <si>
    <t>C6809</t>
  </si>
  <si>
    <t>Customer C6809</t>
  </si>
  <si>
    <t>C9553</t>
  </si>
  <si>
    <t>Customer C9553</t>
  </si>
  <si>
    <t>C7345</t>
  </si>
  <si>
    <t>Customer C7345</t>
  </si>
  <si>
    <t>C1763</t>
  </si>
  <si>
    <t>Customer C1763</t>
  </si>
  <si>
    <t>C2830</t>
  </si>
  <si>
    <t>Customer C2830</t>
  </si>
  <si>
    <t>C7046</t>
  </si>
  <si>
    <t>Customer C7046</t>
  </si>
  <si>
    <t>C1254</t>
  </si>
  <si>
    <t>Customer C1254</t>
  </si>
  <si>
    <t>C1857</t>
  </si>
  <si>
    <t>Customer C1857</t>
  </si>
  <si>
    <t>C3513</t>
  </si>
  <si>
    <t>Customer C3513</t>
  </si>
  <si>
    <t>C9670</t>
  </si>
  <si>
    <t>Customer C9670</t>
  </si>
  <si>
    <t>C7175</t>
  </si>
  <si>
    <t>Customer C7175</t>
  </si>
  <si>
    <t>C7537</t>
  </si>
  <si>
    <t>Customer C7537</t>
  </si>
  <si>
    <t>C7866</t>
  </si>
  <si>
    <t>Customer C7866</t>
  </si>
  <si>
    <t>C8663</t>
  </si>
  <si>
    <t>Customer C8663</t>
  </si>
  <si>
    <t>C3103</t>
  </si>
  <si>
    <t>Customer C3103</t>
  </si>
  <si>
    <t>C9976</t>
  </si>
  <si>
    <t>Customer C9976</t>
  </si>
  <si>
    <t>C7629</t>
  </si>
  <si>
    <t>Customer C7629</t>
  </si>
  <si>
    <t>C1486</t>
  </si>
  <si>
    <t>Customer C1486</t>
  </si>
  <si>
    <t>C5253</t>
  </si>
  <si>
    <t>Customer C5253</t>
  </si>
  <si>
    <t>C2950</t>
  </si>
  <si>
    <t>Customer C2950</t>
  </si>
  <si>
    <t>C4162</t>
  </si>
  <si>
    <t>Customer C4162</t>
  </si>
  <si>
    <t>C4204</t>
  </si>
  <si>
    <t>Customer C4204</t>
  </si>
  <si>
    <t>C6059</t>
  </si>
  <si>
    <t>Customer C6059</t>
  </si>
  <si>
    <t>C2422</t>
  </si>
  <si>
    <t>Customer C2422</t>
  </si>
  <si>
    <t>C7729</t>
  </si>
  <si>
    <t>Customer C7729</t>
  </si>
  <si>
    <t>C9367</t>
  </si>
  <si>
    <t>Customer C9367</t>
  </si>
  <si>
    <t>C1578</t>
  </si>
  <si>
    <t>Customer C1578</t>
  </si>
  <si>
    <t>C4542</t>
  </si>
  <si>
    <t>Customer C4542</t>
  </si>
  <si>
    <t>C8755</t>
  </si>
  <si>
    <t>Customer C8755</t>
  </si>
  <si>
    <t>C1472</t>
  </si>
  <si>
    <t>Customer C1472</t>
  </si>
  <si>
    <t>C3073</t>
  </si>
  <si>
    <t>Customer C3073</t>
  </si>
  <si>
    <t>C8383</t>
  </si>
  <si>
    <t>Customer C8383</t>
  </si>
  <si>
    <t>C1956</t>
  </si>
  <si>
    <t>Customer C1956</t>
  </si>
  <si>
    <t>C6301</t>
  </si>
  <si>
    <t>Customer C6301</t>
  </si>
  <si>
    <t>C2621</t>
  </si>
  <si>
    <t>Customer C2621</t>
  </si>
  <si>
    <t>C1754</t>
  </si>
  <si>
    <t>Customer C1754</t>
  </si>
  <si>
    <t>C3813</t>
  </si>
  <si>
    <t>Customer C3813</t>
  </si>
  <si>
    <t>C9267</t>
  </si>
  <si>
    <t>Customer C9267</t>
  </si>
  <si>
    <t>C2327</t>
  </si>
  <si>
    <t>Customer C2327</t>
  </si>
  <si>
    <t>C1314</t>
  </si>
  <si>
    <t>Customer C1314</t>
  </si>
  <si>
    <t>C1889</t>
  </si>
  <si>
    <t>Customer C1889</t>
  </si>
  <si>
    <t>C6551</t>
  </si>
  <si>
    <t>Customer C6551</t>
  </si>
  <si>
    <t>C7143</t>
  </si>
  <si>
    <t>Customer C7143</t>
  </si>
  <si>
    <t>C5363</t>
  </si>
  <si>
    <t>Customer C5363</t>
  </si>
  <si>
    <t>C5730</t>
  </si>
  <si>
    <t>Customer C5730</t>
  </si>
  <si>
    <t>C5550</t>
  </si>
  <si>
    <t>Customer C5550</t>
  </si>
  <si>
    <t>C6979</t>
  </si>
  <si>
    <t>Customer C6979</t>
  </si>
  <si>
    <t>C1882</t>
  </si>
  <si>
    <t>Customer C1882</t>
  </si>
  <si>
    <t>C7325</t>
  </si>
  <si>
    <t>Customer C7325</t>
  </si>
  <si>
    <t>C4555</t>
  </si>
  <si>
    <t>Customer C4555</t>
  </si>
  <si>
    <t>C2231</t>
  </si>
  <si>
    <t>Customer C2231</t>
  </si>
  <si>
    <t>C6997</t>
  </si>
  <si>
    <t>Customer C6997</t>
  </si>
  <si>
    <t>C5781</t>
  </si>
  <si>
    <t>Customer C5781</t>
  </si>
  <si>
    <t>C8244</t>
  </si>
  <si>
    <t>Customer C8244</t>
  </si>
  <si>
    <t>C2062</t>
  </si>
  <si>
    <t>Customer C2062</t>
  </si>
  <si>
    <t>C8254</t>
  </si>
  <si>
    <t>Customer C8254</t>
  </si>
  <si>
    <t>C3635</t>
  </si>
  <si>
    <t>Customer C3635</t>
  </si>
  <si>
    <t>C4681</t>
  </si>
  <si>
    <t>Customer C4681</t>
  </si>
  <si>
    <t>C9032</t>
  </si>
  <si>
    <t>Customer C9032</t>
  </si>
  <si>
    <t>C3924</t>
  </si>
  <si>
    <t>Customer C3924</t>
  </si>
  <si>
    <t>C4649</t>
  </si>
  <si>
    <t>Customer C4649</t>
  </si>
  <si>
    <t>C8318</t>
  </si>
  <si>
    <t>Customer C8318</t>
  </si>
  <si>
    <t>C4601</t>
  </si>
  <si>
    <t>Customer C4601</t>
  </si>
  <si>
    <t>C1108</t>
  </si>
  <si>
    <t>Customer C1108</t>
  </si>
  <si>
    <t>C9164</t>
  </si>
  <si>
    <t>Customer C9164</t>
  </si>
  <si>
    <t>C6283</t>
  </si>
  <si>
    <t>Customer C6283</t>
  </si>
  <si>
    <t>C9569</t>
  </si>
  <si>
    <t>Customer C9569</t>
  </si>
  <si>
    <t>C2935</t>
  </si>
  <si>
    <t>Customer C2935</t>
  </si>
  <si>
    <t>C6117</t>
  </si>
  <si>
    <t>Customer C6117</t>
  </si>
  <si>
    <t>C7903</t>
  </si>
  <si>
    <t>Customer C7903</t>
  </si>
  <si>
    <t>C2838</t>
  </si>
  <si>
    <t>Customer C2838</t>
  </si>
  <si>
    <t>C4971</t>
  </si>
  <si>
    <t>Customer C4971</t>
  </si>
  <si>
    <t>C4852</t>
  </si>
  <si>
    <t>Customer C4852</t>
  </si>
  <si>
    <t>C4650</t>
  </si>
  <si>
    <t>Customer C4650</t>
  </si>
  <si>
    <t>C4414</t>
  </si>
  <si>
    <t>Customer C4414</t>
  </si>
  <si>
    <t>C4969</t>
  </si>
  <si>
    <t>Customer C4969</t>
  </si>
  <si>
    <t>C6707</t>
  </si>
  <si>
    <t>Customer C6707</t>
  </si>
  <si>
    <t>C5406</t>
  </si>
  <si>
    <t>Customer C5406</t>
  </si>
  <si>
    <t>C1393</t>
  </si>
  <si>
    <t>Customer C1393</t>
  </si>
  <si>
    <t>C8486</t>
  </si>
  <si>
    <t>Customer C8486</t>
  </si>
  <si>
    <t>C7366</t>
  </si>
  <si>
    <t>Customer C7366</t>
  </si>
  <si>
    <t>C2317</t>
  </si>
  <si>
    <t>Customer C2317</t>
  </si>
  <si>
    <t>C6789</t>
  </si>
  <si>
    <t>Customer C6789</t>
  </si>
  <si>
    <t>C7884</t>
  </si>
  <si>
    <t>Customer C7884</t>
  </si>
  <si>
    <t>C9268</t>
  </si>
  <si>
    <t>Customer C9268</t>
  </si>
  <si>
    <t>C2980</t>
  </si>
  <si>
    <t>Customer C2980</t>
  </si>
  <si>
    <t>C4214</t>
  </si>
  <si>
    <t>Customer C4214</t>
  </si>
  <si>
    <t>C5977</t>
  </si>
  <si>
    <t>Customer C5977</t>
  </si>
  <si>
    <t>C2188</t>
  </si>
  <si>
    <t>Customer C2188</t>
  </si>
  <si>
    <t>C7787</t>
  </si>
  <si>
    <t>Customer C7787</t>
  </si>
  <si>
    <t>C7754</t>
  </si>
  <si>
    <t>Customer C7754</t>
  </si>
  <si>
    <t>C9406</t>
  </si>
  <si>
    <t>Customer C9406</t>
  </si>
  <si>
    <t>C7514</t>
  </si>
  <si>
    <t>Customer C7514</t>
  </si>
  <si>
    <t>C8668</t>
  </si>
  <si>
    <t>Customer C8668</t>
  </si>
  <si>
    <t>C2464</t>
  </si>
  <si>
    <t>Customer C2464</t>
  </si>
  <si>
    <t>C2018</t>
  </si>
  <si>
    <t>Customer C2018</t>
  </si>
  <si>
    <t>C3182</t>
  </si>
  <si>
    <t>Customer C3182</t>
  </si>
  <si>
    <t>C3832</t>
  </si>
  <si>
    <t>Customer C3832</t>
  </si>
  <si>
    <t>C1365</t>
  </si>
  <si>
    <t>Customer C1365</t>
  </si>
  <si>
    <t>C8781</t>
  </si>
  <si>
    <t>Customer C8781</t>
  </si>
  <si>
    <t>C5806</t>
  </si>
  <si>
    <t>Customer C5806</t>
  </si>
  <si>
    <t>C8014</t>
  </si>
  <si>
    <t>Customer C8014</t>
  </si>
  <si>
    <t>C7248</t>
  </si>
  <si>
    <t>Customer C7248</t>
  </si>
  <si>
    <t>C9157</t>
  </si>
  <si>
    <t>Customer C9157</t>
  </si>
  <si>
    <t>C2319</t>
  </si>
  <si>
    <t>Customer C2319</t>
  </si>
  <si>
    <t>C3852</t>
  </si>
  <si>
    <t>Customer C3852</t>
  </si>
  <si>
    <t>C5045</t>
  </si>
  <si>
    <t>Customer C5045</t>
  </si>
  <si>
    <t>C1547</t>
  </si>
  <si>
    <t>Customer C1547</t>
  </si>
  <si>
    <t>C5585</t>
  </si>
  <si>
    <t>Customer C5585</t>
  </si>
  <si>
    <t>C9808</t>
  </si>
  <si>
    <t>Customer C9808</t>
  </si>
  <si>
    <t>C3111</t>
  </si>
  <si>
    <t>Customer C3111</t>
  </si>
  <si>
    <t>C7924</t>
  </si>
  <si>
    <t>Customer C7924</t>
  </si>
  <si>
    <t>C1455</t>
  </si>
  <si>
    <t>Customer C1455</t>
  </si>
  <si>
    <t>C3335</t>
  </si>
  <si>
    <t>Customer C3335</t>
  </si>
  <si>
    <t>C4830</t>
  </si>
  <si>
    <t>Customer C4830</t>
  </si>
  <si>
    <t>C9685</t>
  </si>
  <si>
    <t>Customer C9685</t>
  </si>
  <si>
    <t>C1736</t>
  </si>
  <si>
    <t>Customer C1736</t>
  </si>
  <si>
    <t>C4889</t>
  </si>
  <si>
    <t>Customer C4889</t>
  </si>
  <si>
    <t>C1094</t>
  </si>
  <si>
    <t>Customer C1094</t>
  </si>
  <si>
    <t>C3431</t>
  </si>
  <si>
    <t>Customer C3431</t>
  </si>
  <si>
    <t>C1135</t>
  </si>
  <si>
    <t>Customer C1135</t>
  </si>
  <si>
    <t>C5034</t>
  </si>
  <si>
    <t>Customer C5034</t>
  </si>
  <si>
    <t>C7561</t>
  </si>
  <si>
    <t>Customer C7561</t>
  </si>
  <si>
    <t>C2651</t>
  </si>
  <si>
    <t>Customer C2651</t>
  </si>
  <si>
    <t>C6785</t>
  </si>
  <si>
    <t>Customer C6785</t>
  </si>
  <si>
    <t>C5605</t>
  </si>
  <si>
    <t>Customer C5605</t>
  </si>
  <si>
    <t>C6735</t>
  </si>
  <si>
    <t>Customer C6735</t>
  </si>
  <si>
    <t>C5106</t>
  </si>
  <si>
    <t>Customer C5106</t>
  </si>
  <si>
    <t>C5050</t>
  </si>
  <si>
    <t>Customer C5050</t>
  </si>
  <si>
    <t>C8297</t>
  </si>
  <si>
    <t>Customer C8297</t>
  </si>
  <si>
    <t>C4142</t>
  </si>
  <si>
    <t>Customer C4142</t>
  </si>
  <si>
    <t>C3720</t>
  </si>
  <si>
    <t>Customer C3720</t>
  </si>
  <si>
    <t>C8033</t>
  </si>
  <si>
    <t>Customer C8033</t>
  </si>
  <si>
    <t>C6915</t>
  </si>
  <si>
    <t>Customer C6915</t>
  </si>
  <si>
    <t>C3459</t>
  </si>
  <si>
    <t>Customer C3459</t>
  </si>
  <si>
    <t>C5012</t>
  </si>
  <si>
    <t>Customer C5012</t>
  </si>
  <si>
    <t>C4933</t>
  </si>
  <si>
    <t>Customer C4933</t>
  </si>
  <si>
    <t>C2553</t>
  </si>
  <si>
    <t>Customer C2553</t>
  </si>
  <si>
    <t>C7897</t>
  </si>
  <si>
    <t>Customer C7897</t>
  </si>
  <si>
    <t>C9295</t>
  </si>
  <si>
    <t>Customer C9295</t>
  </si>
  <si>
    <t>C9329</t>
  </si>
  <si>
    <t>Customer C9329</t>
  </si>
  <si>
    <t>C7543</t>
  </si>
  <si>
    <t>Customer C7543</t>
  </si>
  <si>
    <t>C2501</t>
  </si>
  <si>
    <t>Customer C2501</t>
  </si>
  <si>
    <t>C9680</t>
  </si>
  <si>
    <t>Customer C9680</t>
  </si>
  <si>
    <t>C6653</t>
  </si>
  <si>
    <t>Customer C6653</t>
  </si>
  <si>
    <t>C6852</t>
  </si>
  <si>
    <t>Customer C6852</t>
  </si>
  <si>
    <t>C7590</t>
  </si>
  <si>
    <t>Customer C7590</t>
  </si>
  <si>
    <t>C3218</t>
  </si>
  <si>
    <t>Customer C3218</t>
  </si>
  <si>
    <t>C2091</t>
  </si>
  <si>
    <t>Customer C2091</t>
  </si>
  <si>
    <t>C6326</t>
  </si>
  <si>
    <t>Customer C6326</t>
  </si>
  <si>
    <t>C5519</t>
  </si>
  <si>
    <t>Customer C5519</t>
  </si>
  <si>
    <t>C3603</t>
  </si>
  <si>
    <t>Customer C3603</t>
  </si>
  <si>
    <t>C4906</t>
  </si>
  <si>
    <t>Customer C4906</t>
  </si>
  <si>
    <t>C5329</t>
  </si>
  <si>
    <t>Customer C5329</t>
  </si>
  <si>
    <t>C7483</t>
  </si>
  <si>
    <t>Customer C7483</t>
  </si>
  <si>
    <t>C2482</t>
  </si>
  <si>
    <t>Customer C2482</t>
  </si>
  <si>
    <t>C2081</t>
  </si>
  <si>
    <t>Customer C2081</t>
  </si>
  <si>
    <t>C7355</t>
  </si>
  <si>
    <t>Customer C7355</t>
  </si>
  <si>
    <t>C3901</t>
  </si>
  <si>
    <t>Customer C3901</t>
  </si>
  <si>
    <t>C4057</t>
  </si>
  <si>
    <t>Customer C4057</t>
  </si>
  <si>
    <t>C9040</t>
  </si>
  <si>
    <t>Customer C9040</t>
  </si>
  <si>
    <t>C3450</t>
  </si>
  <si>
    <t>Customer C3450</t>
  </si>
  <si>
    <t>C8579</t>
  </si>
  <si>
    <t>Customer C8579</t>
  </si>
  <si>
    <t>C8285</t>
  </si>
  <si>
    <t>Customer C8285</t>
  </si>
  <si>
    <t>C5693</t>
  </si>
  <si>
    <t>Customer C5693</t>
  </si>
  <si>
    <t>C9853</t>
  </si>
  <si>
    <t>Customer C9853</t>
  </si>
  <si>
    <t>C1150</t>
  </si>
  <si>
    <t>Customer C1150</t>
  </si>
  <si>
    <t>C1819</t>
  </si>
  <si>
    <t>Customer C1819</t>
  </si>
  <si>
    <t>C3517</t>
  </si>
  <si>
    <t>Customer C3517</t>
  </si>
  <si>
    <t>C5235</t>
  </si>
  <si>
    <t>Customer C5235</t>
  </si>
  <si>
    <t>C2680</t>
  </si>
  <si>
    <t>Customer C2680</t>
  </si>
  <si>
    <t>C9129</t>
  </si>
  <si>
    <t>Customer C9129</t>
  </si>
  <si>
    <t>C5365</t>
  </si>
  <si>
    <t>Customer C5365</t>
  </si>
  <si>
    <t>C1982</t>
  </si>
  <si>
    <t>Customer C1982</t>
  </si>
  <si>
    <t>C4605</t>
  </si>
  <si>
    <t>Customer C4605</t>
  </si>
  <si>
    <t>C2073</t>
  </si>
  <si>
    <t>Customer C2073</t>
  </si>
  <si>
    <t>C7149</t>
  </si>
  <si>
    <t>Customer C7149</t>
  </si>
  <si>
    <t>C7155</t>
  </si>
  <si>
    <t>Customer C7155</t>
  </si>
  <si>
    <t>C9960</t>
  </si>
  <si>
    <t>Customer C9960</t>
  </si>
  <si>
    <t>C7552</t>
  </si>
  <si>
    <t>Customer C7552</t>
  </si>
  <si>
    <t>C8704</t>
  </si>
  <si>
    <t>Customer C8704</t>
  </si>
  <si>
    <t>C6344</t>
  </si>
  <si>
    <t>Customer C6344</t>
  </si>
  <si>
    <t>C5767</t>
  </si>
  <si>
    <t>Customer C5767</t>
  </si>
  <si>
    <t>C6802</t>
  </si>
  <si>
    <t>Customer C6802</t>
  </si>
  <si>
    <t>C1742</t>
  </si>
  <si>
    <t>Customer C1742</t>
  </si>
  <si>
    <t>C1043</t>
  </si>
  <si>
    <t>Customer C1043</t>
  </si>
  <si>
    <t>C2431</t>
  </si>
  <si>
    <t>Customer C2431</t>
  </si>
  <si>
    <t>C5845</t>
  </si>
  <si>
    <t>Customer C5845</t>
  </si>
  <si>
    <t>C7254</t>
  </si>
  <si>
    <t>Customer C7254</t>
  </si>
  <si>
    <t>C1181</t>
  </si>
  <si>
    <t>Customer C1181</t>
  </si>
  <si>
    <t>C9486</t>
  </si>
  <si>
    <t>Customer C9486</t>
  </si>
  <si>
    <t>C3390</t>
  </si>
  <si>
    <t>Customer C3390</t>
  </si>
  <si>
    <t>C5695</t>
  </si>
  <si>
    <t>Customer C5695</t>
  </si>
  <si>
    <t>C6444</t>
  </si>
  <si>
    <t>Customer C6444</t>
  </si>
  <si>
    <t>C9742</t>
  </si>
  <si>
    <t>Customer C9742</t>
  </si>
  <si>
    <t>C8021</t>
  </si>
  <si>
    <t>Customer C8021</t>
  </si>
  <si>
    <t>C2764</t>
  </si>
  <si>
    <t>Customer C2764</t>
  </si>
  <si>
    <t>C9390</t>
  </si>
  <si>
    <t>Customer C9390</t>
  </si>
  <si>
    <t>C8762</t>
  </si>
  <si>
    <t>Customer C8762</t>
  </si>
  <si>
    <t>C8504</t>
  </si>
  <si>
    <t>Customer C8504</t>
  </si>
  <si>
    <t>C6343</t>
  </si>
  <si>
    <t>Customer C6343</t>
  </si>
  <si>
    <t>C2747</t>
  </si>
  <si>
    <t>Customer C2747</t>
  </si>
  <si>
    <t>C1010</t>
  </si>
  <si>
    <t>Customer C1010</t>
  </si>
  <si>
    <t>C2008</t>
  </si>
  <si>
    <t>Customer C2008</t>
  </si>
  <si>
    <t>C5760</t>
  </si>
  <si>
    <t>Customer C5760</t>
  </si>
  <si>
    <t>C9923</t>
  </si>
  <si>
    <t>Customer C9923</t>
  </si>
  <si>
    <t>C7900</t>
  </si>
  <si>
    <t>Customer C7900</t>
  </si>
  <si>
    <t>C7895</t>
  </si>
  <si>
    <t>Customer C7895</t>
  </si>
  <si>
    <t>C3816</t>
  </si>
  <si>
    <t>Customer C3816</t>
  </si>
  <si>
    <t>C6385</t>
  </si>
  <si>
    <t>Customer C6385</t>
  </si>
  <si>
    <t>C3407</t>
  </si>
  <si>
    <t>Customer C3407</t>
  </si>
  <si>
    <t>C6883</t>
  </si>
  <si>
    <t>Customer C6883</t>
  </si>
  <si>
    <t>C3054</t>
  </si>
  <si>
    <t>Customer C3054</t>
  </si>
  <si>
    <t>C1299</t>
  </si>
  <si>
    <t>Customer C1299</t>
  </si>
  <si>
    <t>C1690</t>
  </si>
  <si>
    <t>Customer C1690</t>
  </si>
  <si>
    <t>C2280</t>
  </si>
  <si>
    <t>Customer C2280</t>
  </si>
  <si>
    <t>C4107</t>
  </si>
  <si>
    <t>Customer C4107</t>
  </si>
  <si>
    <t>C4778</t>
  </si>
  <si>
    <t>Customer C4778</t>
  </si>
  <si>
    <t>C6705</t>
  </si>
  <si>
    <t>Customer C6705</t>
  </si>
  <si>
    <t>C9052</t>
  </si>
  <si>
    <t>Customer C9052</t>
  </si>
  <si>
    <t>C4670</t>
  </si>
  <si>
    <t>Customer C4670</t>
  </si>
  <si>
    <t>C2841</t>
  </si>
  <si>
    <t>Customer C2841</t>
  </si>
  <si>
    <t>C9323</t>
  </si>
  <si>
    <t>Customer C9323</t>
  </si>
  <si>
    <t>C2268</t>
  </si>
  <si>
    <t>Customer C2268</t>
  </si>
  <si>
    <t>C7533</t>
  </si>
  <si>
    <t>Customer C7533</t>
  </si>
  <si>
    <t>C1453</t>
  </si>
  <si>
    <t>Customer C1453</t>
  </si>
  <si>
    <t>C2653</t>
  </si>
  <si>
    <t>Customer C2653</t>
  </si>
  <si>
    <t>C6355</t>
  </si>
  <si>
    <t>Customer C6355</t>
  </si>
  <si>
    <t>C7497</t>
  </si>
  <si>
    <t>Customer C7497</t>
  </si>
  <si>
    <t>C1652</t>
  </si>
  <si>
    <t>Customer C1652</t>
  </si>
  <si>
    <t>C4565</t>
  </si>
  <si>
    <t>Customer C4565</t>
  </si>
  <si>
    <t>C3695</t>
  </si>
  <si>
    <t>Customer C3695</t>
  </si>
  <si>
    <t>C7859</t>
  </si>
  <si>
    <t>Customer C7859</t>
  </si>
  <si>
    <t>C1500</t>
  </si>
  <si>
    <t>Customer C1500</t>
  </si>
  <si>
    <t>C9617</t>
  </si>
  <si>
    <t>Customer C9617</t>
  </si>
  <si>
    <t>C9628</t>
  </si>
  <si>
    <t>Customer C9628</t>
  </si>
  <si>
    <t>C1699</t>
  </si>
  <si>
    <t>Customer C1699</t>
  </si>
  <si>
    <t>C2089</t>
  </si>
  <si>
    <t>Customer C2089</t>
  </si>
  <si>
    <t>C5953</t>
  </si>
  <si>
    <t>Customer C5953</t>
  </si>
  <si>
    <t>C3877</t>
  </si>
  <si>
    <t>Customer C3877</t>
  </si>
  <si>
    <t>C6734</t>
  </si>
  <si>
    <t>Customer C6734</t>
  </si>
  <si>
    <t>C3863</t>
  </si>
  <si>
    <t>Customer C3863</t>
  </si>
  <si>
    <t>C6256</t>
  </si>
  <si>
    <t>Customer C6256</t>
  </si>
  <si>
    <t>C2733</t>
  </si>
  <si>
    <t>Customer C2733</t>
  </si>
  <si>
    <t>C5078</t>
  </si>
  <si>
    <t>Customer C5078</t>
  </si>
  <si>
    <t>C9712</t>
  </si>
  <si>
    <t>Customer C9712</t>
  </si>
  <si>
    <t>C7447</t>
  </si>
  <si>
    <t>Customer C7447</t>
  </si>
  <si>
    <t>C1989</t>
  </si>
  <si>
    <t>Customer C1989</t>
  </si>
  <si>
    <t>C9217</t>
  </si>
  <si>
    <t>Customer C9217</t>
  </si>
  <si>
    <t>C5488</t>
  </si>
  <si>
    <t>Customer C5488</t>
  </si>
  <si>
    <t>C1978</t>
  </si>
  <si>
    <t>Customer C1978</t>
  </si>
  <si>
    <t>C9806</t>
  </si>
  <si>
    <t>Customer C9806</t>
  </si>
  <si>
    <t>C2706</t>
  </si>
  <si>
    <t>Customer C2706</t>
  </si>
  <si>
    <t>C1828</t>
  </si>
  <si>
    <t>Customer C1828</t>
  </si>
  <si>
    <t>C5938</t>
  </si>
  <si>
    <t>Customer C5938</t>
  </si>
  <si>
    <t>C7328</t>
  </si>
  <si>
    <t>Customer C7328</t>
  </si>
  <si>
    <t>C9859</t>
  </si>
  <si>
    <t>Customer C9859</t>
  </si>
  <si>
    <t>C8774</t>
  </si>
  <si>
    <t>Customer C8774</t>
  </si>
  <si>
    <t>C3104</t>
  </si>
  <si>
    <t>Customer C3104</t>
  </si>
  <si>
    <t>C7069</t>
  </si>
  <si>
    <t>Customer C7069</t>
  </si>
  <si>
    <t>C5127</t>
  </si>
  <si>
    <t>Customer C5127</t>
  </si>
  <si>
    <t>C4981</t>
  </si>
  <si>
    <t>Customer C4981</t>
  </si>
  <si>
    <t>C8295</t>
  </si>
  <si>
    <t>Customer C8295</t>
  </si>
  <si>
    <t>C9336</t>
  </si>
  <si>
    <t>Customer C9336</t>
  </si>
  <si>
    <t>C1898</t>
  </si>
  <si>
    <t>Customer C1898</t>
  </si>
  <si>
    <t>C5874</t>
  </si>
  <si>
    <t>Customer C5874</t>
  </si>
  <si>
    <t>C2346</t>
  </si>
  <si>
    <t>Customer C2346</t>
  </si>
  <si>
    <t>C9993</t>
  </si>
  <si>
    <t>Customer C9993</t>
  </si>
  <si>
    <t>C6633</t>
  </si>
  <si>
    <t>Customer C6633</t>
  </si>
  <si>
    <t>C7810</t>
  </si>
  <si>
    <t>Customer C7810</t>
  </si>
  <si>
    <t>C1984</t>
  </si>
  <si>
    <t>Customer C1984</t>
  </si>
  <si>
    <t>C8055</t>
  </si>
  <si>
    <t>Customer C8055</t>
  </si>
  <si>
    <t>C8515</t>
  </si>
  <si>
    <t>Customer C8515</t>
  </si>
  <si>
    <t>C7275</t>
  </si>
  <si>
    <t>Customer C7275</t>
  </si>
  <si>
    <t>C4387</t>
  </si>
  <si>
    <t>Customer C4387</t>
  </si>
  <si>
    <t>C8768</t>
  </si>
  <si>
    <t>Customer C8768</t>
  </si>
  <si>
    <t>C4637</t>
  </si>
  <si>
    <t>Customer C4637</t>
  </si>
  <si>
    <t>C5538</t>
  </si>
  <si>
    <t>Customer C5538</t>
  </si>
  <si>
    <t>C1467</t>
  </si>
  <si>
    <t>Customer C1467</t>
  </si>
  <si>
    <t>C2320</t>
  </si>
  <si>
    <t>Customer C2320</t>
  </si>
  <si>
    <t>C4674</t>
  </si>
  <si>
    <t>Customer C4674</t>
  </si>
  <si>
    <t>C9154</t>
  </si>
  <si>
    <t>Customer C9154</t>
  </si>
  <si>
    <t>C6619</t>
  </si>
  <si>
    <t>Customer C6619</t>
  </si>
  <si>
    <t>C6576</t>
  </si>
  <si>
    <t>Customer C6576</t>
  </si>
  <si>
    <t>C1949</t>
  </si>
  <si>
    <t>Customer C1949</t>
  </si>
  <si>
    <t>C7401</t>
  </si>
  <si>
    <t>Customer C7401</t>
  </si>
  <si>
    <t>C8702</t>
  </si>
  <si>
    <t>Customer C8702</t>
  </si>
  <si>
    <t>C2193</t>
  </si>
  <si>
    <t>Customer C2193</t>
  </si>
  <si>
    <t>C9421</t>
  </si>
  <si>
    <t>Customer C9421</t>
  </si>
  <si>
    <t>C6738</t>
  </si>
  <si>
    <t>Customer C6738</t>
  </si>
  <si>
    <t>C2168</t>
  </si>
  <si>
    <t>Customer C2168</t>
  </si>
  <si>
    <t>C3388</t>
  </si>
  <si>
    <t>Customer C3388</t>
  </si>
  <si>
    <t>C4405</t>
  </si>
  <si>
    <t>Customer C4405</t>
  </si>
  <si>
    <t>C3406</t>
  </si>
  <si>
    <t>Customer C3406</t>
  </si>
  <si>
    <t>C7065</t>
  </si>
  <si>
    <t>Customer C7065</t>
  </si>
  <si>
    <t>C3990</t>
  </si>
  <si>
    <t>Customer C3990</t>
  </si>
  <si>
    <t>C5868</t>
  </si>
  <si>
    <t>Customer C5868</t>
  </si>
  <si>
    <t>C1494</t>
  </si>
  <si>
    <t>Customer C1494</t>
  </si>
  <si>
    <t>C4287</t>
  </si>
  <si>
    <t>Customer C4287</t>
  </si>
  <si>
    <t>C8739</t>
  </si>
  <si>
    <t>Customer C8739</t>
  </si>
  <si>
    <t>C8575</t>
  </si>
  <si>
    <t>Customer C8575</t>
  </si>
  <si>
    <t>C1435</t>
  </si>
  <si>
    <t>Customer C1435</t>
  </si>
  <si>
    <t>C9972</t>
  </si>
  <si>
    <t>Customer C9972</t>
  </si>
  <si>
    <t>C8889</t>
  </si>
  <si>
    <t>Customer C8889</t>
  </si>
  <si>
    <t>C6194</t>
  </si>
  <si>
    <t>Customer C6194</t>
  </si>
  <si>
    <t>C6308</t>
  </si>
  <si>
    <t>Customer C6308</t>
  </si>
  <si>
    <t>C8474</t>
  </si>
  <si>
    <t>Customer C8474</t>
  </si>
  <si>
    <t>C5900</t>
  </si>
  <si>
    <t>Customer C5900</t>
  </si>
  <si>
    <t>C1290</t>
  </si>
  <si>
    <t>Customer C1290</t>
  </si>
  <si>
    <t>C3479</t>
  </si>
  <si>
    <t>Customer C3479</t>
  </si>
  <si>
    <t>C8053</t>
  </si>
  <si>
    <t>Customer C8053</t>
  </si>
  <si>
    <t>C3674</t>
  </si>
  <si>
    <t>Customer C3674</t>
  </si>
  <si>
    <t>C8201</t>
  </si>
  <si>
    <t>Customer C8201</t>
  </si>
  <si>
    <t>C2211</t>
  </si>
  <si>
    <t>Customer C2211</t>
  </si>
  <si>
    <t>C5564</t>
  </si>
  <si>
    <t>Customer C5564</t>
  </si>
  <si>
    <t>C6093</t>
  </si>
  <si>
    <t>Customer C6093</t>
  </si>
  <si>
    <t>C2333</t>
  </si>
  <si>
    <t>Customer C2333</t>
  </si>
  <si>
    <t>C4566</t>
  </si>
  <si>
    <t>Customer C4566</t>
  </si>
  <si>
    <t>C1224</t>
  </si>
  <si>
    <t>Customer C1224</t>
  </si>
  <si>
    <t>C9015</t>
  </si>
  <si>
    <t>Customer C9015</t>
  </si>
  <si>
    <t>C3528</t>
  </si>
  <si>
    <t>Customer C3528</t>
  </si>
  <si>
    <t>C9803</t>
  </si>
  <si>
    <t>Customer C9803</t>
  </si>
  <si>
    <t>C7750</t>
  </si>
  <si>
    <t>Customer C7750</t>
  </si>
  <si>
    <t>C7089</t>
  </si>
  <si>
    <t>Customer C7089</t>
  </si>
  <si>
    <t>C3308</t>
  </si>
  <si>
    <t>Customer C3308</t>
  </si>
  <si>
    <t>C6901</t>
  </si>
  <si>
    <t>Customer C6901</t>
  </si>
  <si>
    <t>C8995</t>
  </si>
  <si>
    <t>Customer C8995</t>
  </si>
  <si>
    <t>C5516</t>
  </si>
  <si>
    <t>Customer C5516</t>
  </si>
  <si>
    <t>C7798</t>
  </si>
  <si>
    <t>Customer C7798</t>
  </si>
  <si>
    <t>C9172</t>
  </si>
  <si>
    <t>Customer C9172</t>
  </si>
  <si>
    <t>C2137</t>
  </si>
  <si>
    <t>Customer C2137</t>
  </si>
  <si>
    <t>C8564</t>
  </si>
  <si>
    <t>Customer C8564</t>
  </si>
  <si>
    <t>C8214</t>
  </si>
  <si>
    <t>Customer C8214</t>
  </si>
  <si>
    <t>C1446</t>
  </si>
  <si>
    <t>Customer C1446</t>
  </si>
  <si>
    <t>C2608</t>
  </si>
  <si>
    <t>Customer C2608</t>
  </si>
  <si>
    <t>C9528</t>
  </si>
  <si>
    <t>Customer C9528</t>
  </si>
  <si>
    <t>C8987</t>
  </si>
  <si>
    <t>Customer C8987</t>
  </si>
  <si>
    <t>C7488</t>
  </si>
  <si>
    <t>Customer C7488</t>
  </si>
  <si>
    <t>C2929</t>
  </si>
  <si>
    <t>Customer C2929</t>
  </si>
  <si>
    <t>C9264</t>
  </si>
  <si>
    <t>Customer C9264</t>
  </si>
  <si>
    <t>C5439</t>
  </si>
  <si>
    <t>Customer C5439</t>
  </si>
  <si>
    <t>C1604</t>
  </si>
  <si>
    <t>Customer C1604</t>
  </si>
  <si>
    <t>C8052</t>
  </si>
  <si>
    <t>Customer C8052</t>
  </si>
  <si>
    <t>C2512</t>
  </si>
  <si>
    <t>Customer C2512</t>
  </si>
  <si>
    <t>C4251</t>
  </si>
  <si>
    <t>Customer C4251</t>
  </si>
  <si>
    <t>C2162</t>
  </si>
  <si>
    <t>Customer C2162</t>
  </si>
  <si>
    <t>C5293</t>
  </si>
  <si>
    <t>Customer C5293</t>
  </si>
  <si>
    <t>C7559</t>
  </si>
  <si>
    <t>Customer C7559</t>
  </si>
  <si>
    <t>C7184</t>
  </si>
  <si>
    <t>Customer C7184</t>
  </si>
  <si>
    <t>C9136</t>
  </si>
  <si>
    <t>Customer C9136</t>
  </si>
  <si>
    <t>C4455</t>
  </si>
  <si>
    <t>Customer C4455</t>
  </si>
  <si>
    <t>C3561</t>
  </si>
  <si>
    <t>Customer C3561</t>
  </si>
  <si>
    <t>C3253</t>
  </si>
  <si>
    <t>Customer C3253</t>
  </si>
  <si>
    <t>C6591</t>
  </si>
  <si>
    <t>Customer C6591</t>
  </si>
  <si>
    <t>C8319</t>
  </si>
  <si>
    <t>Customer C8319</t>
  </si>
  <si>
    <t>C3885</t>
  </si>
  <si>
    <t>Customer C3885</t>
  </si>
  <si>
    <t>C3106</t>
  </si>
  <si>
    <t>Customer C3106</t>
  </si>
  <si>
    <t>C9472</t>
  </si>
  <si>
    <t>Customer C9472</t>
  </si>
  <si>
    <t>C3078</t>
  </si>
  <si>
    <t>Customer C3078</t>
  </si>
  <si>
    <t>C7956</t>
  </si>
  <si>
    <t>Customer C7956</t>
  </si>
  <si>
    <t>C7726</t>
  </si>
  <si>
    <t>Customer C7726</t>
  </si>
  <si>
    <t>C6077</t>
  </si>
  <si>
    <t>Customer C6077</t>
  </si>
  <si>
    <t>C4172</t>
  </si>
  <si>
    <t>Customer C4172</t>
  </si>
  <si>
    <t>C5241</t>
  </si>
  <si>
    <t>Customer C5241</t>
  </si>
  <si>
    <t>C5024</t>
  </si>
  <si>
    <t>Customer C5024</t>
  </si>
  <si>
    <t>C9792</t>
  </si>
  <si>
    <t>Customer C9792</t>
  </si>
  <si>
    <t>C7684</t>
  </si>
  <si>
    <t>Customer C7684</t>
  </si>
  <si>
    <t>C4159</t>
  </si>
  <si>
    <t>Customer C4159</t>
  </si>
  <si>
    <t>C7015</t>
  </si>
  <si>
    <t>Customer C7015</t>
  </si>
  <si>
    <t>C4247</t>
  </si>
  <si>
    <t>Customer C4247</t>
  </si>
  <si>
    <t>C7153</t>
  </si>
  <si>
    <t>Customer C7153</t>
  </si>
  <si>
    <t>C9545</t>
  </si>
  <si>
    <t>Customer C9545</t>
  </si>
  <si>
    <t>C2148</t>
  </si>
  <si>
    <t>Customer C2148</t>
  </si>
  <si>
    <t>C1999</t>
  </si>
  <si>
    <t>Customer C1999</t>
  </si>
  <si>
    <t>C7767</t>
  </si>
  <si>
    <t>Customer C7767</t>
  </si>
  <si>
    <t>C1667</t>
  </si>
  <si>
    <t>Customer C1667</t>
  </si>
  <si>
    <t>C4704</t>
  </si>
  <si>
    <t>Customer C4704</t>
  </si>
  <si>
    <t>C3216</t>
  </si>
  <si>
    <t>Customer C3216</t>
  </si>
  <si>
    <t>C1340</t>
  </si>
  <si>
    <t>Customer C1340</t>
  </si>
  <si>
    <t>C9330</t>
  </si>
  <si>
    <t>Customer C9330</t>
  </si>
  <si>
    <t>C1873</t>
  </si>
  <si>
    <t>Customer C1873</t>
  </si>
  <si>
    <t>C5081</t>
  </si>
  <si>
    <t>Customer C5081</t>
  </si>
  <si>
    <t>C6106</t>
  </si>
  <si>
    <t>Customer C6106</t>
  </si>
  <si>
    <t>C9534</t>
  </si>
  <si>
    <t>Customer C9534</t>
  </si>
  <si>
    <t>C8164</t>
  </si>
  <si>
    <t>Customer C8164</t>
  </si>
  <si>
    <t>C5197</t>
  </si>
  <si>
    <t>Customer C5197</t>
  </si>
  <si>
    <t>C6836</t>
  </si>
  <si>
    <t>Customer C6836</t>
  </si>
  <si>
    <t>C9811</t>
  </si>
  <si>
    <t>Customer C9811</t>
  </si>
  <si>
    <t>C6726</t>
  </si>
  <si>
    <t>Customer C6726</t>
  </si>
  <si>
    <t>C1125</t>
  </si>
  <si>
    <t>Customer C1125</t>
  </si>
  <si>
    <t>C3370</t>
  </si>
  <si>
    <t>Customer C3370</t>
  </si>
  <si>
    <t>C6898</t>
  </si>
  <si>
    <t>Customer C6898</t>
  </si>
  <si>
    <t>C6035</t>
  </si>
  <si>
    <t>Customer C6035</t>
  </si>
  <si>
    <t>C3796</t>
  </si>
  <si>
    <t>Customer C3796</t>
  </si>
  <si>
    <t>C5477</t>
  </si>
  <si>
    <t>Customer C5477</t>
  </si>
  <si>
    <t>C7672</t>
  </si>
  <si>
    <t>Customer C7672</t>
  </si>
  <si>
    <t>C2352</t>
  </si>
  <si>
    <t>Customer C2352</t>
  </si>
  <si>
    <t>C5062</t>
  </si>
  <si>
    <t>Customer C5062</t>
  </si>
  <si>
    <t>C4758</t>
  </si>
  <si>
    <t>Customer C4758</t>
  </si>
  <si>
    <t>C8160</t>
  </si>
  <si>
    <t>Customer C8160</t>
  </si>
  <si>
    <t>C5889</t>
  </si>
  <si>
    <t>Customer C5889</t>
  </si>
  <si>
    <t>C6643</t>
  </si>
  <si>
    <t>Customer C6643</t>
  </si>
  <si>
    <t>C5903</t>
  </si>
  <si>
    <t>Customer C5903</t>
  </si>
  <si>
    <t>C9561</t>
  </si>
  <si>
    <t>Customer C9561</t>
  </si>
  <si>
    <t>C8651</t>
  </si>
  <si>
    <t>Customer C8651</t>
  </si>
  <si>
    <t>C5641</t>
  </si>
  <si>
    <t>Customer C5641</t>
  </si>
  <si>
    <t>C2043</t>
  </si>
  <si>
    <t>Customer C2043</t>
  </si>
  <si>
    <t>C6587</t>
  </si>
  <si>
    <t>Customer C6587</t>
  </si>
  <si>
    <t>C6767</t>
  </si>
  <si>
    <t>Customer C6767</t>
  </si>
  <si>
    <t>C9008</t>
  </si>
  <si>
    <t>Customer C9008</t>
  </si>
  <si>
    <t>C3709</t>
  </si>
  <si>
    <t>Customer C3709</t>
  </si>
  <si>
    <t>C2580</t>
  </si>
  <si>
    <t>Customer C2580</t>
  </si>
  <si>
    <t>C4099</t>
  </si>
  <si>
    <t>Customer C4099</t>
  </si>
  <si>
    <t>C3423</t>
  </si>
  <si>
    <t>Customer C3423</t>
  </si>
  <si>
    <t>C3127</t>
  </si>
  <si>
    <t>Customer C3127</t>
  </si>
  <si>
    <t>C3834</t>
  </si>
  <si>
    <t>Customer C3834</t>
  </si>
  <si>
    <t>C2424</t>
  </si>
  <si>
    <t>Customer C2424</t>
  </si>
  <si>
    <t>C5589</t>
  </si>
  <si>
    <t>Customer C5589</t>
  </si>
  <si>
    <t>C7460</t>
  </si>
  <si>
    <t>Customer C7460</t>
  </si>
  <si>
    <t>C2576</t>
  </si>
  <si>
    <t>Customer C2576</t>
  </si>
  <si>
    <t>C3578</t>
  </si>
  <si>
    <t>Customer C3578</t>
  </si>
  <si>
    <t>C8457</t>
  </si>
  <si>
    <t>Customer C8457</t>
  </si>
  <si>
    <t>C3411</t>
  </si>
  <si>
    <t>Customer C3411</t>
  </si>
  <si>
    <t>C9624</t>
  </si>
  <si>
    <t>Customer C9624</t>
  </si>
  <si>
    <t>C3846</t>
  </si>
  <si>
    <t>Customer C3846</t>
  </si>
  <si>
    <t>C2970</t>
  </si>
  <si>
    <t>Customer C2970</t>
  </si>
  <si>
    <t>C7397</t>
  </si>
  <si>
    <t>Customer C7397</t>
  </si>
  <si>
    <t>C7476</t>
  </si>
  <si>
    <t>Customer C7476</t>
  </si>
  <si>
    <t>C4936</t>
  </si>
  <si>
    <t>Customer C4936</t>
  </si>
  <si>
    <t>C1147</t>
  </si>
  <si>
    <t>Customer C1147</t>
  </si>
  <si>
    <t>C8351</t>
  </si>
  <si>
    <t>Customer C8351</t>
  </si>
  <si>
    <t>C2503</t>
  </si>
  <si>
    <t>Customer C2503</t>
  </si>
  <si>
    <t>C3964</t>
  </si>
  <si>
    <t>Customer C3964</t>
  </si>
  <si>
    <t>C8498</t>
  </si>
  <si>
    <t>Customer C8498</t>
  </si>
  <si>
    <t>C2039</t>
  </si>
  <si>
    <t>Customer C2039</t>
  </si>
  <si>
    <t>C6116</t>
  </si>
  <si>
    <t>Customer C6116</t>
  </si>
  <si>
    <t>C8532</t>
  </si>
  <si>
    <t>Customer C8532</t>
  </si>
  <si>
    <t>C5230</t>
  </si>
  <si>
    <t>Customer C5230</t>
  </si>
  <si>
    <t>C5408</t>
  </si>
  <si>
    <t>Customer C5408</t>
  </si>
  <si>
    <t>C5392</t>
  </si>
  <si>
    <t>Customer C5392</t>
  </si>
  <si>
    <t>C8238</t>
  </si>
  <si>
    <t>Customer C8238</t>
  </si>
  <si>
    <t>C8831</t>
  </si>
  <si>
    <t>Customer C8831</t>
  </si>
  <si>
    <t>C6514</t>
  </si>
  <si>
    <t>Customer C6514</t>
  </si>
  <si>
    <t>Year</t>
  </si>
  <si>
    <t>Month No</t>
  </si>
  <si>
    <t>Month</t>
  </si>
  <si>
    <t>Quarter</t>
  </si>
  <si>
    <t>Row Labels</t>
  </si>
  <si>
    <t>Grand Total</t>
  </si>
  <si>
    <t>Sum of TotalPrice</t>
  </si>
  <si>
    <t>Jan</t>
  </si>
  <si>
    <t>May</t>
  </si>
  <si>
    <t>Jun</t>
  </si>
  <si>
    <t>Jul</t>
  </si>
  <si>
    <t>Oct</t>
  </si>
  <si>
    <t>Apr</t>
  </si>
  <si>
    <t>Aug</t>
  </si>
  <si>
    <t>Dec</t>
  </si>
  <si>
    <t>Nov</t>
  </si>
  <si>
    <t>Feb</t>
  </si>
  <si>
    <t>Mar</t>
  </si>
  <si>
    <t>Sep</t>
  </si>
  <si>
    <t>Total Quantity</t>
  </si>
  <si>
    <t>Total Sale</t>
  </si>
  <si>
    <t>Sum of ReviewRating</t>
  </si>
  <si>
    <t>Count Of Cst Id</t>
  </si>
  <si>
    <t>Grand 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</si>
</sst>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0.00"/>
    <numFmt numFmtId="165" formatCode="[$$-409]#,##0.00"/>
    <numFmt numFmtId="166" formatCode="\$#,##0,&quot;K&quot;"/>
  </numFmts>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2" fontId="0" fillId="0" borderId="0" xfId="0" applyNumberFormat="1"/>
    <xf numFmtId="0" fontId="0" fillId="2" borderId="0" xfId="0" applyFill="1"/>
    <xf numFmtId="166" fontId="0" fillId="0" borderId="0" xfId="0" applyNumberFormat="1"/>
    <xf numFmtId="10" fontId="0" fillId="0" borderId="0" xfId="0" applyNumberFormat="1"/>
  </cellXfs>
  <cellStyles count="1">
    <cellStyle name="Normal" xfId="0" builtinId="0"/>
  </cellStyles>
  <dxfs count="26">
    <dxf>
      <numFmt numFmtId="165" formatCode="[$$-409]#,##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5" formatCode="[$$-409]#,##0.00"/>
    </dxf>
    <dxf>
      <numFmt numFmtId="166" formatCode="\$#,##0,&quot;K&quot;"/>
    </dxf>
    <dxf>
      <numFmt numFmtId="2" formatCode="0.00"/>
    </dxf>
    <dxf>
      <numFmt numFmtId="2" formatCode="0.00"/>
    </dxf>
    <dxf>
      <numFmt numFmtId="14" formatCode="0.00%"/>
    </dxf>
    <dxf>
      <numFmt numFmtId="2" formatCode="0.00"/>
    </dxf>
    <dxf>
      <numFmt numFmtId="164" formatCode="[$$-C09]#,##0.00"/>
    </dxf>
    <dxf>
      <numFmt numFmtId="2" formatCode="0.00"/>
    </dxf>
    <dxf>
      <numFmt numFmtId="2" formatCode="0.00"/>
    </dxf>
    <dxf>
      <numFmt numFmtId="165" formatCode="[$$-409]#,##0.00"/>
    </dxf>
    <dxf>
      <numFmt numFmtId="166" formatCode="\$#,##0,&quot;K&quot;"/>
    </dxf>
    <dxf>
      <numFmt numFmtId="165" formatCode="[$$-409]#,##0.00"/>
    </dxf>
    <dxf>
      <numFmt numFmtId="2" formatCode="0.00"/>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[Customer-Purchase.xlsx]PIVOT!Monthwise Sale</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B0F0">
                <a:alpha val="9000"/>
              </a:srgbClr>
            </a:solidFill>
            <a:ln>
              <a:solidFill>
                <a:srgbClr val="00B050"/>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00895583765524E-2"/>
          <c:y val="0.19120220017774761"/>
          <c:w val="0.81117297070994965"/>
          <c:h val="0.6529516047336188"/>
        </c:manualLayout>
      </c:layout>
      <c:lineChart>
        <c:grouping val="standard"/>
        <c:varyColors val="0"/>
        <c:ser>
          <c:idx val="0"/>
          <c:order val="0"/>
          <c:tx>
            <c:strRef>
              <c:f>PIVOT!$E$11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rgbClr val="00B0F0">
                  <a:alpha val="9000"/>
                </a:srgbClr>
              </a:solidFill>
              <a:ln>
                <a:solidFill>
                  <a:srgbClr val="00B050"/>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PIVOT!$E$12:$E$24</c:f>
              <c:numCache>
                <c:formatCode>\$#,##0,"K"</c:formatCode>
                <c:ptCount val="12"/>
                <c:pt idx="0">
                  <c:v>315133.47000000038</c:v>
                </c:pt>
                <c:pt idx="1">
                  <c:v>311696.2300000001</c:v>
                </c:pt>
                <c:pt idx="2">
                  <c:v>293225.57000000018</c:v>
                </c:pt>
                <c:pt idx="3">
                  <c:v>292344.9499999999</c:v>
                </c:pt>
                <c:pt idx="4">
                  <c:v>385029.5</c:v>
                </c:pt>
                <c:pt idx="5">
                  <c:v>332211.28000000003</c:v>
                </c:pt>
                <c:pt idx="6">
                  <c:v>222012.99000000008</c:v>
                </c:pt>
                <c:pt idx="7">
                  <c:v>246571.77</c:v>
                </c:pt>
                <c:pt idx="8">
                  <c:v>183940.80999999994</c:v>
                </c:pt>
                <c:pt idx="9">
                  <c:v>192056.25</c:v>
                </c:pt>
                <c:pt idx="10">
                  <c:v>246889.71999999997</c:v>
                </c:pt>
                <c:pt idx="11">
                  <c:v>245544.26000000013</c:v>
                </c:pt>
              </c:numCache>
            </c:numRef>
          </c:val>
          <c:smooth val="0"/>
          <c:extLst>
            <c:ext xmlns:c16="http://schemas.microsoft.com/office/drawing/2014/chart" uri="{C3380CC4-5D6E-409C-BE32-E72D297353CC}">
              <c16:uniqueId val="{00000000-343E-4BB3-A8F8-7BC77045D5C8}"/>
            </c:ext>
          </c:extLst>
        </c:ser>
        <c:dLbls>
          <c:showLegendKey val="0"/>
          <c:showVal val="0"/>
          <c:showCatName val="0"/>
          <c:showSerName val="0"/>
          <c:showPercent val="0"/>
          <c:showBubbleSize val="0"/>
        </c:dLbls>
        <c:marker val="1"/>
        <c:smooth val="0"/>
        <c:axId val="194610768"/>
        <c:axId val="194606928"/>
      </c:lineChart>
      <c:catAx>
        <c:axId val="1946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4606928"/>
        <c:crosses val="autoZero"/>
        <c:auto val="1"/>
        <c:lblAlgn val="ctr"/>
        <c:lblOffset val="100"/>
        <c:noMultiLvlLbl val="0"/>
      </c:catAx>
      <c:valAx>
        <c:axId val="194606928"/>
        <c:scaling>
          <c:orientation val="minMax"/>
        </c:scaling>
        <c:delete val="1"/>
        <c:axPos val="l"/>
        <c:numFmt formatCode="\$#,##0,&quot;K&quot;" sourceLinked="1"/>
        <c:majorTickMark val="none"/>
        <c:minorTickMark val="none"/>
        <c:tickLblPos val="nextTo"/>
        <c:crossAx val="19461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[Customer-Purchase.xlsx]PIVOT!Productwise Quantity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9.4088037188122572E-2"/>
          <c:y val="0.11006887392088037"/>
          <c:w val="0.86697267233960307"/>
          <c:h val="0.88029242239037264"/>
        </c:manualLayout>
      </c:layout>
      <c:barChart>
        <c:barDir val="bar"/>
        <c:grouping val="stacked"/>
        <c:varyColors val="0"/>
        <c:ser>
          <c:idx val="0"/>
          <c:order val="0"/>
          <c:tx>
            <c:strRef>
              <c:f>PIVOT!$H$11</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PIVOT!$G$12:$G$19</c:f>
              <c:strCache>
                <c:ptCount val="7"/>
                <c:pt idx="0">
                  <c:v>Chair</c:v>
                </c:pt>
                <c:pt idx="1">
                  <c:v>Desk</c:v>
                </c:pt>
                <c:pt idx="2">
                  <c:v>Laptop</c:v>
                </c:pt>
                <c:pt idx="3">
                  <c:v>Monitor</c:v>
                </c:pt>
                <c:pt idx="4">
                  <c:v>Phone</c:v>
                </c:pt>
                <c:pt idx="5">
                  <c:v>Printer</c:v>
                </c:pt>
                <c:pt idx="6">
                  <c:v>Tablet</c:v>
                </c:pt>
              </c:strCache>
            </c:strRef>
          </c:cat>
          <c:val>
            <c:numRef>
              <c:f>PIVOT!$H$12:$H$19</c:f>
              <c:numCache>
                <c:formatCode>0.00</c:formatCode>
                <c:ptCount val="7"/>
                <c:pt idx="0">
                  <c:v>1147</c:v>
                </c:pt>
                <c:pt idx="1">
                  <c:v>1156</c:v>
                </c:pt>
                <c:pt idx="2">
                  <c:v>1231</c:v>
                </c:pt>
                <c:pt idx="3">
                  <c:v>1180</c:v>
                </c:pt>
                <c:pt idx="4">
                  <c:v>1117</c:v>
                </c:pt>
                <c:pt idx="5">
                  <c:v>1113</c:v>
                </c:pt>
                <c:pt idx="6">
                  <c:v>1316</c:v>
                </c:pt>
              </c:numCache>
            </c:numRef>
          </c:val>
          <c:extLst>
            <c:ext xmlns:c16="http://schemas.microsoft.com/office/drawing/2014/chart" uri="{C3380CC4-5D6E-409C-BE32-E72D297353CC}">
              <c16:uniqueId val="{00000000-1AAF-438B-95F6-4D9553657E22}"/>
            </c:ext>
          </c:extLst>
        </c:ser>
        <c:dLbls>
          <c:showLegendKey val="0"/>
          <c:showVal val="0"/>
          <c:showCatName val="0"/>
          <c:showSerName val="0"/>
          <c:showPercent val="0"/>
          <c:showBubbleSize val="0"/>
        </c:dLbls>
        <c:gapWidth val="150"/>
        <c:overlap val="100"/>
        <c:axId val="391813055"/>
        <c:axId val="391820255"/>
      </c:barChart>
      <c:catAx>
        <c:axId val="39181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820255"/>
        <c:crosses val="autoZero"/>
        <c:auto val="1"/>
        <c:lblAlgn val="ctr"/>
        <c:lblOffset val="100"/>
        <c:noMultiLvlLbl val="0"/>
      </c:catAx>
      <c:valAx>
        <c:axId val="391820255"/>
        <c:scaling>
          <c:orientation val="minMax"/>
        </c:scaling>
        <c:delete val="1"/>
        <c:axPos val="b"/>
        <c:numFmt formatCode="0.00" sourceLinked="1"/>
        <c:majorTickMark val="none"/>
        <c:minorTickMark val="none"/>
        <c:tickLblPos val="nextTo"/>
        <c:crossAx val="39181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[Customer-Purchase.xlsx]PIVOT!Payment Method</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PIVOT!$K$11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873-4445-BD70-B7328962408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873-4445-BD70-B7328962408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873-4445-BD70-B7328962408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873-4445-BD70-B7328962408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873-4445-BD70-B732896240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PIVOT!$J$12:$J$17</c:f>
              <c:strCache>
                <c:ptCount val="5"/>
                <c:pt idx="0">
                  <c:v>Cash</c:v>
                </c:pt>
                <c:pt idx="1">
                  <c:v>Credit Card</c:v>
                </c:pt>
                <c:pt idx="2">
                  <c:v>Debit Card</c:v>
                </c:pt>
                <c:pt idx="3">
                  <c:v>Gift Card</c:v>
                </c:pt>
                <c:pt idx="4">
                  <c:v>Online</c:v>
                </c:pt>
              </c:strCache>
            </c:strRef>
          </c:cat>
          <c:val>
            <c:numRef>
              <c:f>PIVOT!$K$12:$K$17</c:f>
              <c:numCache>
                <c:formatCode>0.00%</c:formatCode>
                <c:ptCount val="5"/>
                <c:pt idx="0">
                  <c:v>0.18850826937191559</c:v>
                </c:pt>
                <c:pt idx="1">
                  <c:v>0.20686945442202564</c:v>
                </c:pt>
                <c:pt idx="2">
                  <c:v>0.20550191559762263</c:v>
                </c:pt>
                <c:pt idx="3">
                  <c:v>0.19660341116948682</c:v>
                </c:pt>
                <c:pt idx="4">
                  <c:v>0.20251694943894935</c:v>
                </c:pt>
              </c:numCache>
            </c:numRef>
          </c:val>
          <c:extLst>
            <c:ext xmlns:c16="http://schemas.microsoft.com/office/drawing/2014/chart" uri="{C3380CC4-5D6E-409C-BE32-E72D297353CC}">
              <c16:uniqueId val="{0000000A-3873-4445-BD70-B7328962408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[Customer-Purchase.xlsx]PIVOT!Catagorywise Sale</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3">
                  <a:lumMod val="60000"/>
                  <a:lumOff val="40000"/>
                </a:schemeClr>
              </a:gs>
              <a:gs pos="0">
                <a:schemeClr val="accent3"/>
              </a:gs>
            </a:gsLst>
            <a:lin ang="5400000" scaled="0"/>
          </a:gradFill>
          <a:ln w="19050">
            <a:solidFill>
              <a:schemeClr val="lt1"/>
            </a:solidFill>
          </a:ln>
          <a:effectLst/>
        </c:spPr>
      </c:pivotFmt>
    </c:pivotFmts>
    <c:plotArea>
      <c:layout>
        <c:manualLayout>
          <c:layoutTarget val="inner"/>
          <c:xMode val="edge"/>
          <c:yMode val="edge"/>
          <c:x val="0.32153722312798649"/>
          <c:y val="0.12214064540167438"/>
          <c:w val="0.36846424416478563"/>
          <c:h val="0.65842424645841646"/>
        </c:manualLayout>
      </c:layout>
      <c:doughnutChart>
        <c:varyColors val="1"/>
        <c:ser>
          <c:idx val="0"/>
          <c:order val="0"/>
          <c:tx>
            <c:strRef>
              <c:f>PIVOT!$N$11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73C-465F-B7DA-719A6ADB69E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73C-465F-B7DA-719A6ADB69EF}"/>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C73C-465F-B7DA-719A6ADB69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PIVOT!$M$12:$M$15</c:f>
              <c:strCache>
                <c:ptCount val="3"/>
                <c:pt idx="0">
                  <c:v>Electronics</c:v>
                </c:pt>
                <c:pt idx="1">
                  <c:v>Furniture</c:v>
                </c:pt>
                <c:pt idx="2">
                  <c:v>Office Supplies</c:v>
                </c:pt>
              </c:strCache>
            </c:strRef>
          </c:cat>
          <c:val>
            <c:numRef>
              <c:f>PIVOT!$N$12:$N$15</c:f>
              <c:numCache>
                <c:formatCode>0.00</c:formatCode>
                <c:ptCount val="3"/>
                <c:pt idx="0">
                  <c:v>1049911.9800000002</c:v>
                </c:pt>
                <c:pt idx="1">
                  <c:v>1083282.2499999998</c:v>
                </c:pt>
                <c:pt idx="2">
                  <c:v>1133462.5700000003</c:v>
                </c:pt>
              </c:numCache>
            </c:numRef>
          </c:val>
          <c:extLst>
            <c:ext xmlns:c16="http://schemas.microsoft.com/office/drawing/2014/chart" uri="{C3380CC4-5D6E-409C-BE32-E72D297353CC}">
              <c16:uniqueId val="{00000006-C73C-465F-B7DA-719A6ADB69EF}"/>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b"/>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A1"/><Relationship Id="rId7" Type="http://schemas.openxmlformats.org/officeDocument/2006/relationships/chart" Target="../charts/chart4.xml"/><Relationship Id="rId2" Type="http://schemas.openxmlformats.org/officeDocument/2006/relationships/hyperlink" Target="#Sheet1!A1"/><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307975</xdr:colOff>
      <xdr:row>0</xdr:row>
      <xdr:rowOff>144780</xdr:rowOff>
    </xdr:from>
    <xdr:to>
      <xdr:col>21</xdr:col>
      <xdr:colOff>146050</xdr:colOff>
      <xdr:row>6</xdr:row>
      <xdr:rowOff>7620</xdr:rowOff>
    </xdr:to>
    <xdr:sp macro="" textlink="">
      <xdr:nvSpPr>
        <xdr:cNvPr id="12" name="Rectangle: Rounded Corners 11">
          <a:extLst>
            <a:ext uri="{FF2B5EF4-FFF2-40B4-BE49-F238E27FC236}">
              <a16:creationId xmlns:a16="http://schemas.microsoft.com/office/drawing/2014/main" id="{59CF6689-CE03-BE97-6AFE-02310C57D2B8}"/>
            </a:ext>
          </a:extLst>
        </xdr:cNvPr>
        <xdr:cNvSpPr/>
      </xdr:nvSpPr>
      <xdr:spPr>
        <a:xfrm>
          <a:off x="917575" y="144780"/>
          <a:ext cx="12030075" cy="96012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0" cap="none" spc="0">
            <a:ln>
              <a:noFill/>
            </a:ln>
            <a:solidFill>
              <a:schemeClr val="tx1"/>
            </a:solidFill>
            <a:effectLst/>
          </a:endParaRPr>
        </a:p>
      </xdr:txBody>
    </xdr:sp>
    <xdr:clientData/>
  </xdr:twoCellAnchor>
  <xdr:twoCellAnchor>
    <xdr:from>
      <xdr:col>5</xdr:col>
      <xdr:colOff>12700</xdr:colOff>
      <xdr:row>2</xdr:row>
      <xdr:rowOff>33867</xdr:rowOff>
    </xdr:from>
    <xdr:to>
      <xdr:col>15</xdr:col>
      <xdr:colOff>386080</xdr:colOff>
      <xdr:row>3</xdr:row>
      <xdr:rowOff>143934</xdr:rowOff>
    </xdr:to>
    <xdr:sp macro="" textlink="">
      <xdr:nvSpPr>
        <xdr:cNvPr id="4" name="TextBox 3">
          <a:extLst>
            <a:ext uri="{FF2B5EF4-FFF2-40B4-BE49-F238E27FC236}">
              <a16:creationId xmlns:a16="http://schemas.microsoft.com/office/drawing/2014/main" id="{F54E42D3-B7EC-73F7-6BC1-5466B528623B}"/>
            </a:ext>
          </a:extLst>
        </xdr:cNvPr>
        <xdr:cNvSpPr txBox="1"/>
      </xdr:nvSpPr>
      <xdr:spPr>
        <a:xfrm>
          <a:off x="3060700" y="399627"/>
          <a:ext cx="6469380" cy="2929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t>CUSTOMER PURCHASE HISTORY</a:t>
          </a:r>
        </a:p>
      </xdr:txBody>
    </xdr:sp>
    <xdr:clientData/>
  </xdr:twoCellAnchor>
  <xdr:twoCellAnchor>
    <xdr:from>
      <xdr:col>1</xdr:col>
      <xdr:colOff>317501</xdr:colOff>
      <xdr:row>6</xdr:row>
      <xdr:rowOff>116378</xdr:rowOff>
    </xdr:from>
    <xdr:to>
      <xdr:col>4</xdr:col>
      <xdr:colOff>317501</xdr:colOff>
      <xdr:row>11</xdr:row>
      <xdr:rowOff>133465</xdr:rowOff>
    </xdr:to>
    <xdr:grpSp>
      <xdr:nvGrpSpPr>
        <xdr:cNvPr id="43" name="Group 42">
          <a:extLst>
            <a:ext uri="{FF2B5EF4-FFF2-40B4-BE49-F238E27FC236}">
              <a16:creationId xmlns:a16="http://schemas.microsoft.com/office/drawing/2014/main" id="{8454634B-67FD-C030-BCDF-875202EE4BC1}"/>
            </a:ext>
          </a:extLst>
        </xdr:cNvPr>
        <xdr:cNvGrpSpPr/>
      </xdr:nvGrpSpPr>
      <xdr:grpSpPr>
        <a:xfrm>
          <a:off x="927101" y="1213658"/>
          <a:ext cx="1828800" cy="931487"/>
          <a:chOff x="650009" y="1283624"/>
          <a:chExt cx="1835727" cy="940723"/>
        </a:xfrm>
      </xdr:grpSpPr>
      <xdr:sp macro="" textlink="">
        <xdr:nvSpPr>
          <xdr:cNvPr id="5" name="Rectangle: Rounded Corners 4">
            <a:extLst>
              <a:ext uri="{FF2B5EF4-FFF2-40B4-BE49-F238E27FC236}">
                <a16:creationId xmlns:a16="http://schemas.microsoft.com/office/drawing/2014/main" id="{43B7CB9F-AEF0-4C47-9AC1-EF4395D9FCB8}"/>
              </a:ext>
            </a:extLst>
          </xdr:cNvPr>
          <xdr:cNvSpPr/>
        </xdr:nvSpPr>
        <xdr:spPr>
          <a:xfrm>
            <a:off x="650009" y="1283624"/>
            <a:ext cx="1835727" cy="940723"/>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chemeClr val="lt1"/>
                </a:solidFill>
                <a:latin typeface="+mn-lt"/>
                <a:ea typeface="+mn-ea"/>
                <a:cs typeface="+mn-cs"/>
              </a:rPr>
              <a:t>CUSTOMER PURCHASE HISTOR</a:t>
            </a:r>
          </a:p>
        </xdr:txBody>
      </xdr:sp>
      <xdr:sp macro="" textlink="">
        <xdr:nvSpPr>
          <xdr:cNvPr id="8" name="TextBox 7">
            <a:extLst>
              <a:ext uri="{FF2B5EF4-FFF2-40B4-BE49-F238E27FC236}">
                <a16:creationId xmlns:a16="http://schemas.microsoft.com/office/drawing/2014/main" id="{22F4D17B-08AC-D265-F30E-6E4047D24FDA}"/>
              </a:ext>
            </a:extLst>
          </xdr:cNvPr>
          <xdr:cNvSpPr txBox="1"/>
        </xdr:nvSpPr>
        <xdr:spPr>
          <a:xfrm>
            <a:off x="1008149" y="1331191"/>
            <a:ext cx="1132378" cy="52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Total</a:t>
            </a:r>
            <a:r>
              <a:rPr lang="en-IN" sz="1600" b="0" baseline="0"/>
              <a:t> Sale</a:t>
            </a:r>
            <a:endParaRPr lang="en-IN" sz="1600" b="0"/>
          </a:p>
        </xdr:txBody>
      </xdr:sp>
      <xdr:sp macro="" textlink="PIVOT!D6">
        <xdr:nvSpPr>
          <xdr:cNvPr id="3" name="TextBox 2">
            <a:extLst>
              <a:ext uri="{FF2B5EF4-FFF2-40B4-BE49-F238E27FC236}">
                <a16:creationId xmlns:a16="http://schemas.microsoft.com/office/drawing/2014/main" id="{28CB697C-79C9-0A82-84E9-A900C905D1E3}"/>
              </a:ext>
            </a:extLst>
          </xdr:cNvPr>
          <xdr:cNvSpPr txBox="1"/>
        </xdr:nvSpPr>
        <xdr:spPr>
          <a:xfrm>
            <a:off x="810029" y="1708265"/>
            <a:ext cx="1414318" cy="354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291E8D-5F87-4E0A-B3A0-5FFA95105325}" type="TxLink">
              <a:rPr lang="en-US" sz="1600" b="1" i="0" u="none" strike="noStrike">
                <a:solidFill>
                  <a:schemeClr val="accent1">
                    <a:lumMod val="75000"/>
                  </a:schemeClr>
                </a:solidFill>
                <a:latin typeface="Aptos Narrow"/>
              </a:rPr>
              <a:pPr/>
              <a:t>$32,66,656.80</a:t>
            </a:fld>
            <a:endParaRPr lang="en-IN" sz="1600" b="1">
              <a:solidFill>
                <a:schemeClr val="accent1">
                  <a:lumMod val="75000"/>
                </a:schemeClr>
              </a:solidFill>
            </a:endParaRPr>
          </a:p>
        </xdr:txBody>
      </xdr:sp>
    </xdr:grpSp>
    <xdr:clientData/>
  </xdr:twoCellAnchor>
  <xdr:twoCellAnchor>
    <xdr:from>
      <xdr:col>6</xdr:col>
      <xdr:colOff>298795</xdr:colOff>
      <xdr:row>6</xdr:row>
      <xdr:rowOff>132542</xdr:rowOff>
    </xdr:from>
    <xdr:to>
      <xdr:col>10</xdr:col>
      <xdr:colOff>49876</xdr:colOff>
      <xdr:row>12</xdr:row>
      <xdr:rowOff>25169</xdr:rowOff>
    </xdr:to>
    <xdr:grpSp>
      <xdr:nvGrpSpPr>
        <xdr:cNvPr id="42" name="Group 41">
          <a:extLst>
            <a:ext uri="{FF2B5EF4-FFF2-40B4-BE49-F238E27FC236}">
              <a16:creationId xmlns:a16="http://schemas.microsoft.com/office/drawing/2014/main" id="{E37477A0-C366-3127-0CB7-0D245ADD2C65}"/>
            </a:ext>
          </a:extLst>
        </xdr:cNvPr>
        <xdr:cNvGrpSpPr/>
      </xdr:nvGrpSpPr>
      <xdr:grpSpPr>
        <a:xfrm>
          <a:off x="3956395" y="1229822"/>
          <a:ext cx="2189481" cy="989907"/>
          <a:chOff x="3312160" y="1359111"/>
          <a:chExt cx="2189480" cy="1028700"/>
        </a:xfrm>
      </xdr:grpSpPr>
      <xdr:sp macro="" textlink="">
        <xdr:nvSpPr>
          <xdr:cNvPr id="7" name="Rectangle: Rounded Corners 6">
            <a:extLst>
              <a:ext uri="{FF2B5EF4-FFF2-40B4-BE49-F238E27FC236}">
                <a16:creationId xmlns:a16="http://schemas.microsoft.com/office/drawing/2014/main" id="{67E8A4A4-5148-40A0-9328-8D6183774671}"/>
              </a:ext>
            </a:extLst>
          </xdr:cNvPr>
          <xdr:cNvSpPr/>
        </xdr:nvSpPr>
        <xdr:spPr>
          <a:xfrm>
            <a:off x="3312160" y="1359111"/>
            <a:ext cx="2095500" cy="10287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chemeClr val="lt1"/>
                </a:solidFill>
                <a:latin typeface="+mn-lt"/>
                <a:ea typeface="+mn-ea"/>
                <a:cs typeface="+mn-cs"/>
              </a:rPr>
              <a:t>CUSTOMER PURCHASE HISTOR</a:t>
            </a:r>
          </a:p>
        </xdr:txBody>
      </xdr:sp>
      <xdr:sp macro="" textlink="">
        <xdr:nvSpPr>
          <xdr:cNvPr id="9" name="TextBox 8">
            <a:extLst>
              <a:ext uri="{FF2B5EF4-FFF2-40B4-BE49-F238E27FC236}">
                <a16:creationId xmlns:a16="http://schemas.microsoft.com/office/drawing/2014/main" id="{D009BE5D-0F88-4428-9F28-B00328DD72BE}"/>
              </a:ext>
            </a:extLst>
          </xdr:cNvPr>
          <xdr:cNvSpPr txBox="1"/>
        </xdr:nvSpPr>
        <xdr:spPr>
          <a:xfrm>
            <a:off x="3802380" y="1402080"/>
            <a:ext cx="169926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baseline="0">
                <a:solidFill>
                  <a:schemeClr val="dk1"/>
                </a:solidFill>
                <a:latin typeface="+mn-lt"/>
                <a:ea typeface="+mn-ea"/>
                <a:cs typeface="+mn-cs"/>
              </a:rPr>
              <a:t>Total</a:t>
            </a:r>
            <a:r>
              <a:rPr lang="en-IN" sz="1800" b="1"/>
              <a:t> </a:t>
            </a:r>
            <a:r>
              <a:rPr lang="en-IN" sz="1600" b="0">
                <a:solidFill>
                  <a:schemeClr val="dk1"/>
                </a:solidFill>
                <a:latin typeface="+mn-lt"/>
                <a:ea typeface="+mn-ea"/>
                <a:cs typeface="+mn-cs"/>
              </a:rPr>
              <a:t>Quantity</a:t>
            </a:r>
          </a:p>
        </xdr:txBody>
      </xdr:sp>
      <xdr:sp macro="" textlink="PIVOT!F6">
        <xdr:nvSpPr>
          <xdr:cNvPr id="18" name="TextBox 17">
            <a:extLst>
              <a:ext uri="{FF2B5EF4-FFF2-40B4-BE49-F238E27FC236}">
                <a16:creationId xmlns:a16="http://schemas.microsoft.com/office/drawing/2014/main" id="{51A51AD7-F846-41D2-AF13-802CB5509C79}"/>
              </a:ext>
            </a:extLst>
          </xdr:cNvPr>
          <xdr:cNvSpPr txBox="1"/>
        </xdr:nvSpPr>
        <xdr:spPr>
          <a:xfrm>
            <a:off x="4030980" y="1866900"/>
            <a:ext cx="126492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C63191-D494-46FE-B972-08BD4DD2CCD6}" type="TxLink">
              <a:rPr lang="en-US" sz="1600" b="1" i="0" u="none" strike="noStrike">
                <a:solidFill>
                  <a:schemeClr val="accent1">
                    <a:lumMod val="75000"/>
                  </a:schemeClr>
                </a:solidFill>
                <a:latin typeface="Aptos Narrow"/>
                <a:ea typeface="+mn-ea"/>
                <a:cs typeface="+mn-cs"/>
              </a:rPr>
              <a:pPr marL="0" indent="0"/>
              <a:t>8260.00</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12</xdr:col>
      <xdr:colOff>407670</xdr:colOff>
      <xdr:row>7</xdr:row>
      <xdr:rowOff>8890</xdr:rowOff>
    </xdr:from>
    <xdr:to>
      <xdr:col>15</xdr:col>
      <xdr:colOff>598170</xdr:colOff>
      <xdr:row>12</xdr:row>
      <xdr:rowOff>39370</xdr:rowOff>
    </xdr:to>
    <xdr:grpSp>
      <xdr:nvGrpSpPr>
        <xdr:cNvPr id="40" name="Group 39">
          <a:extLst>
            <a:ext uri="{FF2B5EF4-FFF2-40B4-BE49-F238E27FC236}">
              <a16:creationId xmlns:a16="http://schemas.microsoft.com/office/drawing/2014/main" id="{8AB72DB8-6F20-BBC0-B24A-02D6DE6F3BB2}"/>
            </a:ext>
          </a:extLst>
        </xdr:cNvPr>
        <xdr:cNvGrpSpPr/>
      </xdr:nvGrpSpPr>
      <xdr:grpSpPr>
        <a:xfrm>
          <a:off x="7722870" y="1289050"/>
          <a:ext cx="2019300" cy="944880"/>
          <a:chOff x="6637020" y="1348740"/>
          <a:chExt cx="2019300" cy="990600"/>
        </a:xfrm>
      </xdr:grpSpPr>
      <xdr:sp macro="" textlink="">
        <xdr:nvSpPr>
          <xdr:cNvPr id="11" name="Rectangle: Rounded Corners 10">
            <a:extLst>
              <a:ext uri="{FF2B5EF4-FFF2-40B4-BE49-F238E27FC236}">
                <a16:creationId xmlns:a16="http://schemas.microsoft.com/office/drawing/2014/main" id="{C92C96A7-5CFD-4669-8DEB-540E33B682AA}"/>
              </a:ext>
            </a:extLst>
          </xdr:cNvPr>
          <xdr:cNvSpPr/>
        </xdr:nvSpPr>
        <xdr:spPr>
          <a:xfrm>
            <a:off x="6637020" y="1348740"/>
            <a:ext cx="2019300" cy="9906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chemeClr val="lt1"/>
                </a:solidFill>
                <a:latin typeface="+mn-lt"/>
                <a:ea typeface="+mn-ea"/>
                <a:cs typeface="+mn-cs"/>
              </a:rPr>
              <a:t>CUSTOMER PURCHASE HISTOR</a:t>
            </a:r>
          </a:p>
        </xdr:txBody>
      </xdr:sp>
      <xdr:sp macro="" textlink="">
        <xdr:nvSpPr>
          <xdr:cNvPr id="13" name="TextBox 12">
            <a:extLst>
              <a:ext uri="{FF2B5EF4-FFF2-40B4-BE49-F238E27FC236}">
                <a16:creationId xmlns:a16="http://schemas.microsoft.com/office/drawing/2014/main" id="{6137BC29-8FA0-4722-9E53-0AC36BD94354}"/>
              </a:ext>
            </a:extLst>
          </xdr:cNvPr>
          <xdr:cNvSpPr txBox="1"/>
        </xdr:nvSpPr>
        <xdr:spPr>
          <a:xfrm>
            <a:off x="6758940" y="1455420"/>
            <a:ext cx="17907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0" baseline="0">
                <a:solidFill>
                  <a:schemeClr val="dk1"/>
                </a:solidFill>
                <a:latin typeface="+mn-lt"/>
                <a:ea typeface="+mn-ea"/>
                <a:cs typeface="+mn-cs"/>
              </a:rPr>
              <a:t>Total Review Rating</a:t>
            </a:r>
          </a:p>
        </xdr:txBody>
      </xdr:sp>
      <xdr:sp macro="" textlink="PIVOT!H6">
        <xdr:nvSpPr>
          <xdr:cNvPr id="19" name="TextBox 18">
            <a:extLst>
              <a:ext uri="{FF2B5EF4-FFF2-40B4-BE49-F238E27FC236}">
                <a16:creationId xmlns:a16="http://schemas.microsoft.com/office/drawing/2014/main" id="{DC88DC87-1E46-4798-93BD-8E92EDE75D66}"/>
              </a:ext>
            </a:extLst>
          </xdr:cNvPr>
          <xdr:cNvSpPr txBox="1"/>
        </xdr:nvSpPr>
        <xdr:spPr>
          <a:xfrm>
            <a:off x="7086600" y="1851660"/>
            <a:ext cx="12649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0D16B9-5AFD-4E8E-A019-DC99B94BF908}" type="TxLink">
              <a:rPr lang="en-US" sz="1600" b="1" i="0" u="none" strike="noStrike">
                <a:solidFill>
                  <a:schemeClr val="accent1">
                    <a:lumMod val="75000"/>
                  </a:schemeClr>
                </a:solidFill>
                <a:latin typeface="Aptos Narrow"/>
                <a:ea typeface="+mn-ea"/>
                <a:cs typeface="+mn-cs"/>
              </a:rPr>
              <a:pPr marL="0" indent="0"/>
              <a:t>5391.00</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17</xdr:col>
      <xdr:colOff>304800</xdr:colOff>
      <xdr:row>7</xdr:row>
      <xdr:rowOff>0</xdr:rowOff>
    </xdr:from>
    <xdr:to>
      <xdr:col>20</xdr:col>
      <xdr:colOff>601980</xdr:colOff>
      <xdr:row>12</xdr:row>
      <xdr:rowOff>30480</xdr:rowOff>
    </xdr:to>
    <xdr:grpSp>
      <xdr:nvGrpSpPr>
        <xdr:cNvPr id="41" name="Group 40">
          <a:extLst>
            <a:ext uri="{FF2B5EF4-FFF2-40B4-BE49-F238E27FC236}">
              <a16:creationId xmlns:a16="http://schemas.microsoft.com/office/drawing/2014/main" id="{89C4F96E-81A8-084F-34DC-E7D9B612F99C}"/>
            </a:ext>
          </a:extLst>
        </xdr:cNvPr>
        <xdr:cNvGrpSpPr/>
      </xdr:nvGrpSpPr>
      <xdr:grpSpPr>
        <a:xfrm>
          <a:off x="10668000" y="1280160"/>
          <a:ext cx="2125980" cy="944880"/>
          <a:chOff x="10439400" y="1371600"/>
          <a:chExt cx="2125980" cy="982980"/>
        </a:xfrm>
      </xdr:grpSpPr>
      <xdr:sp macro="" textlink="">
        <xdr:nvSpPr>
          <xdr:cNvPr id="20" name="Rectangle: Rounded Corners 19">
            <a:extLst>
              <a:ext uri="{FF2B5EF4-FFF2-40B4-BE49-F238E27FC236}">
                <a16:creationId xmlns:a16="http://schemas.microsoft.com/office/drawing/2014/main" id="{B132D28F-822F-4B40-8918-430575D138D3}"/>
              </a:ext>
            </a:extLst>
          </xdr:cNvPr>
          <xdr:cNvSpPr/>
        </xdr:nvSpPr>
        <xdr:spPr>
          <a:xfrm>
            <a:off x="10439400" y="1371600"/>
            <a:ext cx="2125980" cy="98298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CUSTOMER</a:t>
            </a:r>
            <a:r>
              <a:rPr lang="en-IN" sz="1100" baseline="0"/>
              <a:t> PURCHASE HISTOR</a:t>
            </a:r>
            <a:endParaRPr lang="en-IN" sz="1100"/>
          </a:p>
        </xdr:txBody>
      </xdr:sp>
      <xdr:sp macro="" textlink="">
        <xdr:nvSpPr>
          <xdr:cNvPr id="23" name="TextBox 22">
            <a:extLst>
              <a:ext uri="{FF2B5EF4-FFF2-40B4-BE49-F238E27FC236}">
                <a16:creationId xmlns:a16="http://schemas.microsoft.com/office/drawing/2014/main" id="{42ECACA1-84DB-19E2-AA38-6801E91F73B4}"/>
              </a:ext>
            </a:extLst>
          </xdr:cNvPr>
          <xdr:cNvSpPr txBox="1"/>
        </xdr:nvSpPr>
        <xdr:spPr>
          <a:xfrm>
            <a:off x="10622280" y="1440180"/>
            <a:ext cx="161544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baseline="0">
                <a:solidFill>
                  <a:schemeClr val="dk1"/>
                </a:solidFill>
                <a:latin typeface="+mn-lt"/>
                <a:ea typeface="+mn-ea"/>
                <a:cs typeface="+mn-cs"/>
              </a:rPr>
              <a:t>Count Of Cust Id</a:t>
            </a:r>
          </a:p>
        </xdr:txBody>
      </xdr:sp>
      <xdr:sp macro="" textlink="PIVOT!J6">
        <xdr:nvSpPr>
          <xdr:cNvPr id="24" name="TextBox 23">
            <a:extLst>
              <a:ext uri="{FF2B5EF4-FFF2-40B4-BE49-F238E27FC236}">
                <a16:creationId xmlns:a16="http://schemas.microsoft.com/office/drawing/2014/main" id="{0B713088-96FB-42DB-98C6-806C55CB15BF}"/>
              </a:ext>
            </a:extLst>
          </xdr:cNvPr>
          <xdr:cNvSpPr txBox="1"/>
        </xdr:nvSpPr>
        <xdr:spPr>
          <a:xfrm>
            <a:off x="10900410" y="1824990"/>
            <a:ext cx="12649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E42C6C-62BD-4F67-A1B3-016D59851B58}" type="TxLink">
              <a:rPr lang="en-US" sz="1600" b="1" i="0" u="none" strike="noStrike">
                <a:ln>
                  <a:noFill/>
                </a:ln>
                <a:solidFill>
                  <a:schemeClr val="accent1">
                    <a:lumMod val="75000"/>
                  </a:schemeClr>
                </a:solidFill>
                <a:latin typeface="Aptos Narrow"/>
                <a:ea typeface="+mn-ea"/>
                <a:cs typeface="+mn-cs"/>
              </a:rPr>
              <a:pPr marL="0" indent="0"/>
              <a:t>1800.00</a:t>
            </a:fld>
            <a:endParaRPr lang="en-IN" sz="1600" b="1" i="0" u="none" strike="noStrike">
              <a:ln>
                <a:noFill/>
              </a:ln>
              <a:solidFill>
                <a:schemeClr val="accent1">
                  <a:lumMod val="75000"/>
                </a:schemeClr>
              </a:solidFill>
              <a:latin typeface="Aptos Narrow"/>
              <a:ea typeface="+mn-ea"/>
              <a:cs typeface="+mn-cs"/>
            </a:endParaRPr>
          </a:p>
        </xdr:txBody>
      </xdr:sp>
    </xdr:grpSp>
    <xdr:clientData/>
  </xdr:twoCellAnchor>
  <xdr:twoCellAnchor editAs="oneCell">
    <xdr:from>
      <xdr:col>1</xdr:col>
      <xdr:colOff>426720</xdr:colOff>
      <xdr:row>1</xdr:row>
      <xdr:rowOff>30480</xdr:rowOff>
    </xdr:from>
    <xdr:to>
      <xdr:col>2</xdr:col>
      <xdr:colOff>517690</xdr:colOff>
      <xdr:row>5</xdr:row>
      <xdr:rowOff>114300</xdr:rowOff>
    </xdr:to>
    <xdr:pic>
      <xdr:nvPicPr>
        <xdr:cNvPr id="26" name="Picture 25">
          <a:extLst>
            <a:ext uri="{FF2B5EF4-FFF2-40B4-BE49-F238E27FC236}">
              <a16:creationId xmlns:a16="http://schemas.microsoft.com/office/drawing/2014/main" id="{ECEEE1A1-E1D6-4F5F-C965-E0C6B2E91C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6320" y="213360"/>
          <a:ext cx="700570" cy="815340"/>
        </a:xfrm>
        <a:prstGeom prst="rect">
          <a:avLst/>
        </a:prstGeom>
      </xdr:spPr>
    </xdr:pic>
    <xdr:clientData/>
  </xdr:twoCellAnchor>
  <xdr:twoCellAnchor>
    <xdr:from>
      <xdr:col>18</xdr:col>
      <xdr:colOff>350520</xdr:colOff>
      <xdr:row>1</xdr:row>
      <xdr:rowOff>164253</xdr:rowOff>
    </xdr:from>
    <xdr:to>
      <xdr:col>20</xdr:col>
      <xdr:colOff>541020</xdr:colOff>
      <xdr:row>3</xdr:row>
      <xdr:rowOff>149014</xdr:rowOff>
    </xdr:to>
    <xdr:sp macro="" textlink="">
      <xdr:nvSpPr>
        <xdr:cNvPr id="30" name="Rectangle: Rounded Corners 29">
          <a:hlinkClick xmlns:r="http://schemas.openxmlformats.org/officeDocument/2006/relationships" r:id="rId2"/>
          <a:extLst>
            <a:ext uri="{FF2B5EF4-FFF2-40B4-BE49-F238E27FC236}">
              <a16:creationId xmlns:a16="http://schemas.microsoft.com/office/drawing/2014/main" id="{69582558-33C8-F384-504D-F20D777417D8}"/>
            </a:ext>
          </a:extLst>
        </xdr:cNvPr>
        <xdr:cNvSpPr/>
      </xdr:nvSpPr>
      <xdr:spPr>
        <a:xfrm>
          <a:off x="11323320" y="350520"/>
          <a:ext cx="1409700" cy="3572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Sales</a:t>
          </a:r>
          <a:r>
            <a:rPr lang="en-IN" sz="1400" baseline="0"/>
            <a:t> Data</a:t>
          </a:r>
          <a:endParaRPr lang="en-IN" sz="1400"/>
        </a:p>
      </xdr:txBody>
    </xdr:sp>
    <xdr:clientData/>
  </xdr:twoCellAnchor>
  <xdr:twoCellAnchor>
    <xdr:from>
      <xdr:col>16</xdr:col>
      <xdr:colOff>110067</xdr:colOff>
      <xdr:row>1</xdr:row>
      <xdr:rowOff>171872</xdr:rowOff>
    </xdr:from>
    <xdr:to>
      <xdr:col>18</xdr:col>
      <xdr:colOff>178647</xdr:colOff>
      <xdr:row>3</xdr:row>
      <xdr:rowOff>133773</xdr:rowOff>
    </xdr:to>
    <xdr:sp macro="" textlink="">
      <xdr:nvSpPr>
        <xdr:cNvPr id="31" name="Rectangle: Rounded Corners 30">
          <a:hlinkClick xmlns:r="http://schemas.openxmlformats.org/officeDocument/2006/relationships" r:id="rId3"/>
          <a:extLst>
            <a:ext uri="{FF2B5EF4-FFF2-40B4-BE49-F238E27FC236}">
              <a16:creationId xmlns:a16="http://schemas.microsoft.com/office/drawing/2014/main" id="{FDC21D6F-BAFA-92DD-7776-48AB01D9D498}"/>
            </a:ext>
          </a:extLst>
        </xdr:cNvPr>
        <xdr:cNvSpPr/>
      </xdr:nvSpPr>
      <xdr:spPr>
        <a:xfrm>
          <a:off x="9863667" y="358139"/>
          <a:ext cx="1287780" cy="3344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All Pivot Tables</a:t>
          </a:r>
        </a:p>
      </xdr:txBody>
    </xdr:sp>
    <xdr:clientData/>
  </xdr:twoCellAnchor>
  <xdr:twoCellAnchor>
    <xdr:from>
      <xdr:col>1</xdr:col>
      <xdr:colOff>347269</xdr:colOff>
      <xdr:row>12</xdr:row>
      <xdr:rowOff>141842</xdr:rowOff>
    </xdr:from>
    <xdr:to>
      <xdr:col>10</xdr:col>
      <xdr:colOff>66675</xdr:colOff>
      <xdr:row>27</xdr:row>
      <xdr:rowOff>104775</xdr:rowOff>
    </xdr:to>
    <xdr:graphicFrame macro="">
      <xdr:nvGraphicFramePr>
        <xdr:cNvPr id="32" name="Chart 31">
          <a:extLst>
            <a:ext uri="{FF2B5EF4-FFF2-40B4-BE49-F238E27FC236}">
              <a16:creationId xmlns:a16="http://schemas.microsoft.com/office/drawing/2014/main" id="{CB3A04FA-E158-4375-8146-2AEF179F4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101600</xdr:colOff>
      <xdr:row>13</xdr:row>
      <xdr:rowOff>12700</xdr:rowOff>
    </xdr:from>
    <xdr:to>
      <xdr:col>20</xdr:col>
      <xdr:colOff>495300</xdr:colOff>
      <xdr:row>27</xdr:row>
      <xdr:rowOff>114300</xdr:rowOff>
    </xdr:to>
    <xdr:graphicFrame macro="">
      <xdr:nvGraphicFramePr>
        <xdr:cNvPr id="14" name="Chart 13">
          <a:extLst>
            <a:ext uri="{FF2B5EF4-FFF2-40B4-BE49-F238E27FC236}">
              <a16:creationId xmlns:a16="http://schemas.microsoft.com/office/drawing/2014/main" id="{16A0B46F-CF06-48A1-8CD7-46754F934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342901</xdr:colOff>
      <xdr:row>29</xdr:row>
      <xdr:rowOff>38100</xdr:rowOff>
    </xdr:from>
    <xdr:to>
      <xdr:col>10</xdr:col>
      <xdr:colOff>85725</xdr:colOff>
      <xdr:row>44</xdr:row>
      <xdr:rowOff>0</xdr:rowOff>
    </xdr:to>
    <xdr:graphicFrame macro="">
      <xdr:nvGraphicFramePr>
        <xdr:cNvPr id="16" name="Chart 15">
          <a:extLst>
            <a:ext uri="{FF2B5EF4-FFF2-40B4-BE49-F238E27FC236}">
              <a16:creationId xmlns:a16="http://schemas.microsoft.com/office/drawing/2014/main" id="{F0094E6B-672B-4DC7-9C95-51BCB6422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115646</xdr:colOff>
      <xdr:row>28</xdr:row>
      <xdr:rowOff>167216</xdr:rowOff>
    </xdr:from>
    <xdr:to>
      <xdr:col>20</xdr:col>
      <xdr:colOff>457200</xdr:colOff>
      <xdr:row>43</xdr:row>
      <xdr:rowOff>167216</xdr:rowOff>
    </xdr:to>
    <xdr:graphicFrame macro="">
      <xdr:nvGraphicFramePr>
        <xdr:cNvPr id="25" name="Chart 24">
          <a:extLst>
            <a:ext uri="{FF2B5EF4-FFF2-40B4-BE49-F238E27FC236}">
              <a16:creationId xmlns:a16="http://schemas.microsoft.com/office/drawing/2014/main" id="{0110B8E3-06C7-40AA-8B7F-565ADB1F8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122766</xdr:colOff>
      <xdr:row>13</xdr:row>
      <xdr:rowOff>29634</xdr:rowOff>
    </xdr:from>
    <xdr:to>
      <xdr:col>15</xdr:col>
      <xdr:colOff>215899</xdr:colOff>
      <xdr:row>14</xdr:row>
      <xdr:rowOff>148167</xdr:rowOff>
    </xdr:to>
    <xdr:sp macro="" textlink="">
      <xdr:nvSpPr>
        <xdr:cNvPr id="28" name="Rectangle: Top Corners Rounded 27">
          <a:extLst>
            <a:ext uri="{FF2B5EF4-FFF2-40B4-BE49-F238E27FC236}">
              <a16:creationId xmlns:a16="http://schemas.microsoft.com/office/drawing/2014/main" id="{2F89B33C-2F2D-756D-89C8-3C52E4B46D21}"/>
            </a:ext>
          </a:extLst>
        </xdr:cNvPr>
        <xdr:cNvSpPr/>
      </xdr:nvSpPr>
      <xdr:spPr>
        <a:xfrm>
          <a:off x="7437966" y="2341034"/>
          <a:ext cx="1921933" cy="296333"/>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Sale</a:t>
          </a:r>
          <a:r>
            <a:rPr lang="en-US" sz="1400" b="1" baseline="0"/>
            <a:t> Quantity</a:t>
          </a:r>
          <a:endParaRPr lang="en-US" sz="1400" b="1"/>
        </a:p>
      </xdr:txBody>
    </xdr:sp>
    <xdr:clientData/>
  </xdr:twoCellAnchor>
  <xdr:twoCellAnchor editAs="oneCell">
    <xdr:from>
      <xdr:col>21</xdr:col>
      <xdr:colOff>413173</xdr:colOff>
      <xdr:row>1</xdr:row>
      <xdr:rowOff>37466</xdr:rowOff>
    </xdr:from>
    <xdr:to>
      <xdr:col>24</xdr:col>
      <xdr:colOff>422274</xdr:colOff>
      <xdr:row>13</xdr:row>
      <xdr:rowOff>37466</xdr:rowOff>
    </xdr:to>
    <mc:AlternateContent xmlns:mc="http://schemas.openxmlformats.org/markup-compatibility/2006">
      <mc:Choice xmlns:a14="http://schemas.microsoft.com/office/drawing/2010/main" Requires="a14">
        <xdr:graphicFrame macro="">
          <xdr:nvGraphicFramePr>
            <xdr:cNvPr id="29" name="ProductCategory">
              <a:extLst>
                <a:ext uri="{FF2B5EF4-FFF2-40B4-BE49-F238E27FC236}">
                  <a16:creationId xmlns:a16="http://schemas.microsoft.com/office/drawing/2014/main" id="{CD38ECA1-6338-D976-A907-8B0411E93BB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3214773" y="220346"/>
              <a:ext cx="1837901"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382694</xdr:colOff>
      <xdr:row>15</xdr:row>
      <xdr:rowOff>119168</xdr:rowOff>
    </xdr:from>
    <xdr:to>
      <xdr:col>24</xdr:col>
      <xdr:colOff>382694</xdr:colOff>
      <xdr:row>28</xdr:row>
      <xdr:rowOff>22860</xdr:rowOff>
    </xdr:to>
    <mc:AlternateContent xmlns:mc="http://schemas.openxmlformats.org/markup-compatibility/2006">
      <mc:Choice xmlns:a14="http://schemas.microsoft.com/office/drawing/2010/main" Requires="a14">
        <xdr:graphicFrame macro="">
          <xdr:nvGraphicFramePr>
            <xdr:cNvPr id="35" name="PaymentMethod">
              <a:extLst>
                <a:ext uri="{FF2B5EF4-FFF2-40B4-BE49-F238E27FC236}">
                  <a16:creationId xmlns:a16="http://schemas.microsoft.com/office/drawing/2014/main" id="{1A31679D-E806-406D-9CE0-1F18C29FB8B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3184294" y="2862368"/>
              <a:ext cx="1828800" cy="2281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423757</xdr:colOff>
      <xdr:row>30</xdr:row>
      <xdr:rowOff>165311</xdr:rowOff>
    </xdr:from>
    <xdr:to>
      <xdr:col>24</xdr:col>
      <xdr:colOff>423757</xdr:colOff>
      <xdr:row>43</xdr:row>
      <xdr:rowOff>171449</xdr:rowOff>
    </xdr:to>
    <mc:AlternateContent xmlns:mc="http://schemas.openxmlformats.org/markup-compatibility/2006">
      <mc:Choice xmlns:a14="http://schemas.microsoft.com/office/drawing/2010/main" Requires="a14">
        <xdr:graphicFrame macro="">
          <xdr:nvGraphicFramePr>
            <xdr:cNvPr id="39" name="Quarter">
              <a:extLst>
                <a:ext uri="{FF2B5EF4-FFF2-40B4-BE49-F238E27FC236}">
                  <a16:creationId xmlns:a16="http://schemas.microsoft.com/office/drawing/2014/main" id="{6FB4DCEA-FDDF-4DA6-82B2-BB7D869D288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225357" y="5651711"/>
              <a:ext cx="1828800" cy="2383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0.00735</cdr:y>
    </cdr:from>
    <cdr:to>
      <cdr:x>0.38383</cdr:x>
      <cdr:y>0.13445</cdr:y>
    </cdr:to>
    <cdr:sp macro="" textlink="">
      <cdr:nvSpPr>
        <cdr:cNvPr id="3" name="Rectangle: Top Corners Rounded 2">
          <a:extLst xmlns:a="http://schemas.openxmlformats.org/drawingml/2006/main">
            <a:ext uri="{FF2B5EF4-FFF2-40B4-BE49-F238E27FC236}">
              <a16:creationId xmlns:a16="http://schemas.microsoft.com/office/drawing/2014/main" id="{E29EFDFB-DBFE-2DDA-BD48-700871017BEF}"/>
            </a:ext>
          </a:extLst>
        </cdr:cNvPr>
        <cdr:cNvSpPr/>
      </cdr:nvSpPr>
      <cdr:spPr>
        <a:xfrm xmlns:a="http://schemas.openxmlformats.org/drawingml/2006/main">
          <a:off x="0" y="17607"/>
          <a:ext cx="1887050" cy="304590"/>
        </a:xfrm>
        <a:prstGeom xmlns:a="http://schemas.openxmlformats.org/drawingml/2006/main" prst="round2Same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400" b="1"/>
            <a:t>Monthwise Sale</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0.00315</cdr:y>
    </cdr:from>
    <cdr:to>
      <cdr:x>0.38957</cdr:x>
      <cdr:y>0.11321</cdr:y>
    </cdr:to>
    <cdr:sp macro="" textlink="">
      <cdr:nvSpPr>
        <cdr:cNvPr id="2" name="Rectangle: Top Corners Rounded 1">
          <a:extLst xmlns:a="http://schemas.openxmlformats.org/drawingml/2006/main">
            <a:ext uri="{FF2B5EF4-FFF2-40B4-BE49-F238E27FC236}">
              <a16:creationId xmlns:a16="http://schemas.microsoft.com/office/drawing/2014/main" id="{2F89B33C-2F2D-756D-89C8-3C52E4B46D21}"/>
            </a:ext>
          </a:extLst>
        </cdr:cNvPr>
        <cdr:cNvSpPr/>
      </cdr:nvSpPr>
      <cdr:spPr>
        <a:xfrm xmlns:a="http://schemas.openxmlformats.org/drawingml/2006/main">
          <a:off x="0" y="8468"/>
          <a:ext cx="1896532" cy="296336"/>
        </a:xfrm>
        <a:prstGeom xmlns:a="http://schemas.openxmlformats.org/drawingml/2006/main" prst="round2Same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a:t>Payment</a:t>
          </a:r>
          <a:r>
            <a:rPr lang="en-US" sz="1400" b="1" baseline="0"/>
            <a:t> Method</a:t>
          </a:r>
          <a:endParaRPr lang="en-US" sz="1400" b="1"/>
        </a:p>
      </cdr:txBody>
    </cdr:sp>
  </cdr:relSizeAnchor>
</c:userShapes>
</file>

<file path=xl/drawings/drawing4.xml><?xml version="1.0" encoding="utf-8"?>
<c:userShapes xmlns:c="http://schemas.openxmlformats.org/drawingml/2006/chart">
  <cdr:relSizeAnchor xmlns:cdr="http://schemas.openxmlformats.org/drawingml/2006/chartDrawing">
    <cdr:from>
      <cdr:x>0</cdr:x>
      <cdr:y>0.01025</cdr:y>
    </cdr:from>
    <cdr:to>
      <cdr:x>0.42037</cdr:x>
      <cdr:y>0.12444</cdr:y>
    </cdr:to>
    <cdr:sp macro="" textlink="">
      <cdr:nvSpPr>
        <cdr:cNvPr id="2" name="Rectangle: Top Corners Rounded 1">
          <a:extLst xmlns:a="http://schemas.openxmlformats.org/drawingml/2006/main">
            <a:ext uri="{FF2B5EF4-FFF2-40B4-BE49-F238E27FC236}">
              <a16:creationId xmlns:a16="http://schemas.microsoft.com/office/drawing/2014/main" id="{2F89B33C-2F2D-756D-89C8-3C52E4B46D21}"/>
            </a:ext>
          </a:extLst>
        </cdr:cNvPr>
        <cdr:cNvSpPr/>
      </cdr:nvSpPr>
      <cdr:spPr>
        <a:xfrm xmlns:a="http://schemas.openxmlformats.org/drawingml/2006/main">
          <a:off x="0" y="25243"/>
          <a:ext cx="1850750" cy="281360"/>
        </a:xfrm>
        <a:prstGeom xmlns:a="http://schemas.openxmlformats.org/drawingml/2006/main" prst="round2Same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a:t>Catagorywise</a:t>
          </a:r>
          <a:r>
            <a:rPr lang="en-US" sz="1400" b="1" baseline="0"/>
            <a:t> Sale</a:t>
          </a:r>
          <a:endParaRPr lang="en-US" sz="14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efreshedDate="46299.76963703704" createdVersion="8" refreshedVersion="8" minRefreshableVersion="3" recordCount="1800" xr:uid="{9A573894-FF82-423E-867C-8B617412128B}">
  <cacheSource type="worksheet">
    <worksheetSource name="Table1"/>
  </cacheSource>
  <cacheFields count="14">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acheField>
    <cacheField name="Quarter" numFmtId="0">
      <sharedItems/>
    </cacheField>
    <cacheField name="Month No" numFmtId="0">
      <sharedItems containsSemiMixedTypes="0" containsString="0" containsNumber="1" containsInteger="1" minValue="1" maxValue="12"/>
    </cacheField>
    <cacheField name="Month" numFmtId="0">
      <sharedItems/>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acheField>
    <cacheField name="PaymentMethod" numFmtId="0">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ount="1791">
        <n v="4950.6400000000003"/>
        <n v="2563.54"/>
        <n v="3172.55"/>
        <n v="1525.89"/>
        <n v="1808.24"/>
        <n v="629.37"/>
        <n v="266.22000000000003"/>
        <n v="2191.36"/>
        <n v="4312.74"/>
        <n v="702.59"/>
        <n v="906.1"/>
        <n v="3697.54"/>
        <n v="539.66999999999996"/>
        <n v="1594.92"/>
        <n v="2271.52"/>
        <n v="4556.4799999999996"/>
        <n v="2337.5500000000002"/>
        <n v="3002.55"/>
        <n v="48.44"/>
        <n v="584.42999999999995"/>
        <n v="1118.3"/>
        <n v="673.5"/>
        <n v="1498.64"/>
        <n v="985.16"/>
        <n v="296.24"/>
        <n v="4940.04"/>
        <n v="157.44999999999999"/>
        <n v="1168.0999999999999"/>
        <n v="2140.48"/>
        <n v="1512.9"/>
        <n v="243.68"/>
        <n v="438.2"/>
        <n v="1289.24"/>
        <n v="1433.31"/>
        <n v="45.88"/>
        <n v="555.45000000000005"/>
        <n v="1686.3"/>
        <n v="427.23"/>
        <n v="2957.85"/>
        <n v="1771.64"/>
        <n v="280"/>
        <n v="1211.3499999999999"/>
        <n v="2126.88"/>
        <n v="2145.7600000000002"/>
        <n v="417.22"/>
        <n v="434.52"/>
        <n v="1315.6"/>
        <n v="1658.8"/>
        <n v="1116.7"/>
        <n v="1548.16"/>
        <n v="3571.2"/>
        <n v="309.92"/>
        <n v="1986.6"/>
        <n v="3483.2"/>
        <n v="410.04"/>
        <n v="2662.2"/>
        <n v="551.09"/>
        <n v="2588.6999999999998"/>
        <n v="4403.22"/>
        <n v="1379.3"/>
        <n v="2485.52"/>
        <n v="4530.8999999999996"/>
        <n v="5002.2700000000004"/>
        <n v="3626"/>
        <n v="550.04"/>
        <n v="1597.38"/>
        <n v="722.88"/>
        <n v="724.47"/>
        <n v="324.92"/>
        <n v="589.91999999999996"/>
        <n v="2573.34"/>
        <n v="718.65"/>
        <n v="3900.15"/>
        <n v="1556.86"/>
        <n v="1537.08"/>
        <n v="470.22"/>
        <n v="812.18"/>
        <n v="189.76"/>
        <n v="566.54"/>
        <n v="286.54000000000002"/>
        <n v="2260.4"/>
        <n v="471.49"/>
        <n v="362.07"/>
        <n v="4616.58"/>
        <n v="1138.8900000000001"/>
        <n v="645.88"/>
        <n v="4378.08"/>
        <n v="693.07"/>
        <n v="3947.58"/>
        <n v="1313.72"/>
        <n v="1716.3"/>
        <n v="137.62"/>
        <n v="173.72"/>
        <n v="2850.54"/>
        <n v="537.72"/>
        <n v="3141.95"/>
        <n v="3400.11"/>
        <n v="1418.28"/>
        <n v="5757.2"/>
        <n v="5382.93"/>
        <n v="3210.56"/>
        <n v="2828"/>
        <n v="538.55999999999995"/>
        <n v="1320.56"/>
        <n v="1540.12"/>
        <n v="779.1"/>
        <n v="754.68"/>
        <n v="3120.06"/>
        <n v="706.74"/>
        <n v="478.14"/>
        <n v="2052.33"/>
        <n v="728.13"/>
        <n v="1409.46"/>
        <n v="661.06"/>
        <n v="1143.8"/>
        <n v="748.55"/>
        <n v="463.78"/>
        <n v="2544.4299999999998"/>
        <n v="2925.79"/>
        <n v="347.82"/>
        <n v="2297.13"/>
        <n v="1093.44"/>
        <n v="160.6"/>
        <n v="1113.45"/>
        <n v="1637.51"/>
        <n v="2280.48"/>
        <n v="743.97"/>
        <n v="304"/>
        <n v="5539.17"/>
        <n v="855.12"/>
        <n v="750.48"/>
        <n v="4669.62"/>
        <n v="439.11"/>
        <n v="359.42"/>
        <n v="5522.3"/>
        <n v="3265.05"/>
        <n v="657.44"/>
        <n v="961.95"/>
        <n v="5312.64"/>
        <n v="2127.3000000000002"/>
        <n v="1154.8"/>
        <n v="895.52"/>
        <n v="3178.4"/>
        <n v="124.48"/>
        <n v="5513.68"/>
        <n v="1743"/>
        <n v="1469.68"/>
        <n v="3117.59"/>
        <n v="2022.6"/>
        <n v="1091.22"/>
        <n v="3511.76"/>
        <n v="55.85"/>
        <n v="386.93"/>
        <n v="1590.4"/>
        <n v="2680.65"/>
        <n v="2844.24"/>
        <n v="36.119999999999997"/>
        <n v="1517.94"/>
        <n v="77.7"/>
        <n v="5497.03"/>
        <n v="4063.08"/>
        <n v="1436.64"/>
        <n v="2439.85"/>
        <n v="2522.1999999999998"/>
        <n v="2232.7199999999998"/>
        <n v="3513.68"/>
        <n v="3221.82"/>
        <n v="60.48"/>
        <n v="1500.2"/>
        <n v="2606.7199999999998"/>
        <n v="1514.06"/>
        <n v="3993.72"/>
        <n v="655.26"/>
        <n v="1622.39"/>
        <n v="709.5"/>
        <n v="1969.12"/>
        <n v="575.1"/>
        <n v="1594.56"/>
        <n v="469.68"/>
        <n v="2836.56"/>
        <n v="1476.15"/>
        <n v="3114.48"/>
        <n v="2257.29"/>
        <n v="4699.45"/>
        <n v="3941.16"/>
        <n v="656.85"/>
        <n v="1343.4"/>
        <n v="1008.2"/>
        <n v="4966.8500000000004"/>
        <n v="1008.28"/>
        <n v="789.77"/>
        <n v="3148.53"/>
        <n v="3257.95"/>
        <n v="455.62"/>
        <n v="4765.08"/>
        <n v="1304.6099999999999"/>
        <n v="584.1"/>
        <n v="1683.78"/>
        <n v="517.91999999999996"/>
        <n v="1663.52"/>
        <n v="722.4"/>
        <n v="4901.92"/>
        <n v="711.15"/>
        <n v="574.6"/>
        <n v="3065.93"/>
        <n v="1449.33"/>
        <n v="3854.3"/>
        <n v="602.38"/>
        <n v="3346.16"/>
        <n v="2364.88"/>
        <n v="1292.06"/>
        <n v="2207.6"/>
        <n v="24.84"/>
        <n v="3708.6"/>
        <n v="1485.02"/>
        <n v="2471.2800000000002"/>
        <n v="1284.27"/>
        <n v="1894.72"/>
        <n v="1814.45"/>
        <n v="1126.5999999999999"/>
        <n v="261.12"/>
        <n v="2201.1"/>
        <n v="1248.32"/>
        <n v="3868.55"/>
        <n v="5481.98"/>
        <n v="2748.4"/>
        <n v="1791.28"/>
        <n v="1561.74"/>
        <n v="5623.12"/>
        <n v="2537.65"/>
        <n v="5717.04"/>
        <n v="234.44"/>
        <n v="2720"/>
        <n v="2373.6"/>
        <n v="2117.94"/>
        <n v="2376.06"/>
        <n v="1594.88"/>
        <n v="406.38"/>
        <n v="2340"/>
        <n v="274.88"/>
        <n v="677.08"/>
        <n v="5705.68"/>
        <n v="1792.05"/>
        <n v="1409.04"/>
        <n v="3758.4"/>
        <n v="2158.89"/>
        <n v="2403.04"/>
        <n v="4524.96"/>
        <n v="1684.69"/>
        <n v="1430.28"/>
        <n v="980.76"/>
        <n v="1018.56"/>
        <n v="2081.0500000000002"/>
        <n v="944"/>
        <n v="20.53"/>
        <n v="1223.04"/>
        <n v="1222.98"/>
        <n v="700.38"/>
        <n v="2952.06"/>
        <n v="1536.3"/>
        <n v="1178.04"/>
        <n v="4659.78"/>
        <n v="1863.88"/>
        <n v="2018.28"/>
        <n v="3384.99"/>
        <n v="446.08"/>
        <n v="702.9"/>
        <n v="2264.13"/>
        <n v="781.85"/>
        <n v="243.95"/>
        <n v="2637.88"/>
        <n v="1923.9"/>
        <n v="1889.34"/>
        <n v="4586.6099999999997"/>
        <n v="3662.16"/>
        <n v="862.44"/>
        <n v="622.78"/>
        <n v="333.24"/>
        <n v="660"/>
        <n v="1573.45"/>
        <n v="1355"/>
        <n v="31.08"/>
        <n v="2015.58"/>
        <n v="1673.28"/>
        <n v="900.13"/>
        <n v="3098.64"/>
        <n v="2990.75"/>
        <n v="281.27999999999997"/>
        <n v="1775.58"/>
        <n v="1775.48"/>
        <n v="626.91999999999996"/>
        <n v="1730.47"/>
        <n v="826.68"/>
        <n v="1919.37"/>
        <n v="699.32"/>
        <n v="811.88"/>
        <n v="314"/>
        <n v="315.92"/>
        <n v="1551.56"/>
        <n v="2436.2399999999998"/>
        <n v="3375.9"/>
        <n v="2772"/>
        <n v="420.8"/>
        <n v="4043.84"/>
        <n v="559.53"/>
        <n v="1595.3"/>
        <n v="1104.6400000000001"/>
        <n v="2149.5500000000002"/>
        <n v="5143.28"/>
        <n v="65.92"/>
        <n v="2125.02"/>
        <n v="3119.2"/>
        <n v="2344.48"/>
        <n v="572.53"/>
        <n v="13.02"/>
        <n v="2484.7600000000002"/>
        <n v="5421.44"/>
        <n v="751.75"/>
        <n v="3889.68"/>
        <n v="655.16"/>
        <n v="3167.46"/>
        <n v="1533.85"/>
        <n v="1352.8"/>
        <n v="591.75"/>
        <n v="198.47"/>
        <n v="3591.54"/>
        <n v="1069.95"/>
        <n v="5317.68"/>
        <n v="2469.7199999999998"/>
        <n v="88.6"/>
        <n v="732.88"/>
        <n v="287.74"/>
        <n v="2803.64"/>
        <n v="164.4"/>
        <n v="1767.56"/>
        <n v="754.33"/>
        <n v="120.35"/>
        <n v="2405.6799999999998"/>
        <n v="308.2"/>
        <n v="498.48"/>
        <n v="940.68"/>
        <n v="1108.78"/>
        <n v="861.18"/>
        <n v="237.6"/>
        <n v="1867.6"/>
        <n v="585.9"/>
        <n v="813.78"/>
        <n v="454.58"/>
        <n v="3091.6"/>
        <n v="211.18"/>
        <n v="1883.94"/>
        <n v="1244.3900000000001"/>
        <n v="3585.47"/>
        <n v="205.77"/>
        <n v="545.04"/>
        <n v="1785.8"/>
        <n v="2782.28"/>
        <n v="781.02"/>
        <n v="1300.3499999999999"/>
        <n v="4031.68"/>
        <n v="1283.3399999999999"/>
        <n v="153.44999999999999"/>
        <n v="761.75"/>
        <n v="3277.36"/>
        <n v="584.28"/>
        <n v="3147.04"/>
        <n v="1983.04"/>
        <n v="2555.7600000000002"/>
        <n v="1323.03"/>
        <n v="1512.5"/>
        <n v="1219.26"/>
        <n v="4292.22"/>
        <n v="906.48"/>
        <n v="1524.25"/>
        <n v="3059.98"/>
        <n v="1444.64"/>
        <n v="81.84"/>
        <n v="1292.4000000000001"/>
        <n v="3463.36"/>
        <n v="2882.68"/>
        <n v="1349.79"/>
        <n v="1978.92"/>
        <n v="1237.1600000000001"/>
        <n v="3380.79"/>
        <n v="360.45"/>
        <n v="4158.96"/>
        <n v="1169.04"/>
        <n v="349.7"/>
        <n v="115.2"/>
        <n v="530.29"/>
        <n v="2647.64"/>
        <n v="1692.81"/>
        <n v="629.94000000000005"/>
        <n v="1845.69"/>
        <n v="697.42"/>
        <n v="783.12"/>
        <n v="3977.68"/>
        <n v="924.48"/>
        <n v="432.34"/>
        <n v="759.54"/>
        <n v="3368.75"/>
        <n v="82.89"/>
        <n v="745.08"/>
        <n v="1735.2"/>
        <n v="86.75"/>
        <n v="4242.3999999999996"/>
        <n v="1095.2"/>
        <n v="448.8"/>
        <n v="2784.48"/>
        <n v="3916.5"/>
        <n v="414.6"/>
        <n v="2495.25"/>
        <n v="77.64"/>
        <n v="1517.5"/>
        <n v="1215"/>
        <n v="142.44999999999999"/>
        <n v="1096.83"/>
        <n v="516.73"/>
        <n v="3511.05"/>
        <n v="880.4"/>
        <n v="1425.66"/>
        <n v="2594.6999999999998"/>
        <n v="195.44"/>
        <n v="4782.82"/>
        <n v="2737.64"/>
        <n v="2631.92"/>
        <n v="349.98"/>
        <n v="58.65"/>
        <n v="2303.2199999999998"/>
        <n v="135.94"/>
        <n v="1666.11"/>
        <n v="41"/>
        <n v="333.16"/>
        <n v="1248.6600000000001"/>
        <n v="931.35"/>
        <n v="520.95000000000005"/>
        <n v="1550.19"/>
        <n v="264.93"/>
        <n v="2033.15"/>
        <n v="1595.79"/>
        <n v="3511.5"/>
        <n v="218.84"/>
        <n v="664.92"/>
        <n v="1418.2"/>
        <n v="600.4"/>
        <n v="319"/>
        <n v="1951.44"/>
        <n v="1242.08"/>
        <n v="3915.6"/>
        <n v="2270.13"/>
        <n v="3254.95"/>
        <n v="2320.08"/>
        <n v="1499.82"/>
        <n v="1012.04"/>
        <n v="1416.7"/>
        <n v="1493.49"/>
        <n v="402.4"/>
        <n v="2537.5"/>
        <n v="1341.28"/>
        <n v="1088.8800000000001"/>
        <n v="569.26"/>
        <n v="656.2"/>
        <n v="2538"/>
        <n v="3207.2"/>
        <n v="157.36000000000001"/>
        <n v="1180.44"/>
        <n v="348.09"/>
        <n v="2949.2"/>
        <n v="1649.34"/>
        <n v="752.76"/>
        <n v="1591.65"/>
        <n v="1754.22"/>
        <n v="184.5"/>
        <n v="4442.22"/>
        <n v="1142.3599999999999"/>
        <n v="1606.65"/>
        <n v="1257.05"/>
        <n v="1731.39"/>
        <n v="2477.3200000000002"/>
        <n v="1031.94"/>
        <n v="2392.48"/>
        <n v="3228"/>
        <n v="2833.8"/>
        <n v="608.44000000000005"/>
        <n v="376.02"/>
        <n v="2134.44"/>
        <n v="2940.24"/>
        <n v="55.88"/>
        <n v="1747.55"/>
        <n v="188.7"/>
        <n v="2290.88"/>
        <n v="3071.6"/>
        <n v="1209.3900000000001"/>
        <n v="3206.14"/>
        <n v="40.96"/>
        <n v="165.94"/>
        <n v="211.3"/>
        <n v="1034"/>
        <n v="703.26"/>
        <n v="461.85"/>
        <n v="417.54"/>
        <n v="3393.24"/>
        <n v="1618.32"/>
        <n v="3821.85"/>
        <n v="4093.6"/>
        <n v="2244.65"/>
        <n v="2292.7600000000002"/>
        <n v="31.26"/>
        <n v="580.53"/>
        <n v="1141.5"/>
        <n v="1072.3499999999999"/>
        <n v="4394.96"/>
        <n v="511.82"/>
        <n v="1341.76"/>
        <n v="3445.15"/>
        <n v="47.66"/>
        <n v="4678.6400000000003"/>
        <n v="1887.18"/>
        <n v="3471.06"/>
        <n v="4946.4799999999996"/>
        <n v="458.66"/>
        <n v="2376.36"/>
        <n v="1999.13"/>
        <n v="4719.4399999999996"/>
        <n v="85.22"/>
        <n v="358.65"/>
        <n v="1696.89"/>
        <n v="3924.76"/>
        <n v="12.7"/>
        <n v="2465.89"/>
        <n v="50.03"/>
        <n v="3651"/>
        <n v="624.79999999999995"/>
        <n v="1358.06"/>
        <n v="1268.52"/>
        <n v="42.48"/>
        <n v="4549.68"/>
        <n v="963.4"/>
        <n v="782.12"/>
        <n v="724.65"/>
        <n v="4112.3599999999997"/>
        <n v="4134.16"/>
        <n v="485.6"/>
        <n v="1042.24"/>
        <n v="2688.6"/>
        <n v="2112.1999999999998"/>
        <n v="698.8"/>
        <n v="2940.84"/>
        <n v="429.2"/>
        <n v="1821.68"/>
        <n v="1710.45"/>
        <n v="856.72"/>
        <n v="4344.4799999999996"/>
        <n v="1021.6"/>
        <n v="1492.32"/>
        <n v="2025.78"/>
        <n v="1321.84"/>
        <n v="5406.48"/>
        <n v="4234.4399999999996"/>
        <n v="5274"/>
        <n v="124.71"/>
        <n v="4624.4799999999996"/>
        <n v="165.45"/>
        <n v="4233.6000000000004"/>
        <n v="2249.5500000000002"/>
        <n v="1954.85"/>
        <n v="4002.36"/>
        <n v="394.96"/>
        <n v="933"/>
        <n v="3117.44"/>
        <n v="3146.24"/>
        <n v="3110.64"/>
        <n v="4973.2"/>
        <n v="3638.55"/>
        <n v="787.44"/>
        <n v="1901.44"/>
        <n v="373.32"/>
        <n v="2356.96"/>
        <n v="238.08"/>
        <n v="5236.1400000000003"/>
        <n v="1574.28"/>
        <n v="1395.64"/>
        <n v="6379.68"/>
        <n v="561.33000000000004"/>
        <n v="5297.95"/>
        <n v="2930.1"/>
        <n v="1568.52"/>
        <n v="2060.1"/>
        <n v="127.54"/>
        <n v="674.91"/>
        <n v="160.57"/>
        <n v="1645.4"/>
        <n v="237.2"/>
        <n v="3015.88"/>
        <n v="2947.04"/>
        <n v="767.69"/>
        <n v="228.78"/>
        <n v="2118.66"/>
        <n v="3055.2"/>
        <n v="1661.1"/>
        <n v="4078.4"/>
        <n v="947.64"/>
        <n v="1427.58"/>
        <n v="464.38"/>
        <n v="4105.28"/>
        <n v="2176"/>
        <n v="3257.94"/>
        <n v="49.02"/>
        <n v="6017.68"/>
        <n v="5205.76"/>
        <n v="770.15"/>
        <n v="2470.9499999999998"/>
        <n v="2144.64"/>
        <n v="2033.96"/>
        <n v="195.71"/>
        <n v="713.79"/>
        <n v="50.19"/>
        <n v="3097.65"/>
        <n v="120.64"/>
        <n v="1174.74"/>
        <n v="2817.35"/>
        <n v="2114.48"/>
        <n v="3107.23"/>
        <n v="3163.68"/>
        <n v="287.2"/>
        <n v="1269.8399999999999"/>
        <n v="3925.74"/>
        <n v="1133.05"/>
        <n v="1680.85"/>
        <n v="264.98"/>
        <n v="1329.42"/>
        <n v="1242.33"/>
        <n v="210.05"/>
        <n v="346.52"/>
        <n v="2383.52"/>
        <n v="75.2"/>
        <n v="745"/>
        <n v="3588.4"/>
        <n v="3414"/>
        <n v="621.28"/>
        <n v="102.9"/>
        <n v="556.4"/>
        <n v="51.54"/>
        <n v="929.1"/>
        <n v="840.48"/>
        <n v="572.65"/>
        <n v="530.67999999999995"/>
        <n v="3028.92"/>
        <n v="698.52"/>
        <n v="3019.52"/>
        <n v="310.83"/>
        <n v="1008.26"/>
        <n v="3447.6"/>
        <n v="403.4"/>
        <n v="990.81"/>
        <n v="348.15"/>
        <n v="1636.4"/>
        <n v="1277.1600000000001"/>
        <n v="2173.5500000000002"/>
        <n v="247.15"/>
        <n v="4930.88"/>
        <n v="2014.46"/>
        <n v="2987.2"/>
        <n v="458.52"/>
        <n v="1911.6"/>
        <n v="1772.04"/>
        <n v="1400.72"/>
        <n v="580.23"/>
        <n v="4842.16"/>
        <n v="2419.08"/>
        <n v="3650.56"/>
        <n v="1515.24"/>
        <n v="644.41999999999996"/>
        <n v="586.55999999999995"/>
        <n v="614.88"/>
        <n v="817.24"/>
        <n v="2263.08"/>
        <n v="2849.52"/>
        <n v="423.84"/>
        <n v="3695.65"/>
        <n v="1122.6600000000001"/>
        <n v="2003.76"/>
        <n v="110.05"/>
        <n v="1182.94"/>
        <n v="626.28"/>
        <n v="4061.84"/>
        <n v="3858.84"/>
        <n v="2742.67"/>
        <n v="1214.58"/>
        <n v="4613.7700000000004"/>
        <n v="539.29999999999995"/>
        <n v="1130.1500000000001"/>
        <n v="2039.2"/>
        <n v="2337.3000000000002"/>
        <n v="3178.3"/>
        <n v="1819.92"/>
        <n v="3629.5"/>
        <n v="2481.36"/>
        <n v="746.81"/>
        <n v="468.88"/>
        <n v="1579.1"/>
        <n v="5238.1000000000004"/>
        <n v="1923.28"/>
        <n v="89.84"/>
        <n v="252.08"/>
        <n v="178.08"/>
        <n v="1351.52"/>
        <n v="128.56"/>
        <n v="2701.8"/>
        <n v="1371.78"/>
        <n v="4532.5600000000004"/>
        <n v="2874.36"/>
        <n v="1214.28"/>
        <n v="385.9"/>
        <n v="3895.36"/>
        <n v="755.42"/>
        <n v="588.28"/>
        <n v="3173.88"/>
        <n v="1796.68"/>
        <n v="562.16"/>
        <n v="4286.87"/>
        <n v="2795.2"/>
        <n v="113.78"/>
        <n v="256.92"/>
        <n v="707.16"/>
        <n v="314.94"/>
        <n v="637.32000000000005"/>
        <n v="3485.72"/>
        <n v="3101.16"/>
        <n v="5401.44"/>
        <n v="2091.56"/>
        <n v="425.22"/>
        <n v="1915.15"/>
        <n v="934.3"/>
        <n v="1049.3"/>
        <n v="114.84"/>
        <n v="2995.12"/>
        <n v="3459.26"/>
        <n v="3121.48"/>
        <n v="4600.8"/>
        <n v="416.57"/>
        <n v="2287.35"/>
        <n v="1493.58"/>
        <n v="1218.21"/>
        <n v="3150.91"/>
        <n v="759.51"/>
        <n v="52.44"/>
        <n v="1945.8"/>
        <n v="2721.42"/>
        <n v="827.28"/>
        <n v="367.06"/>
        <n v="3857.5"/>
        <n v="2568.96"/>
        <n v="1472.4"/>
        <n v="795.92"/>
        <n v="5411.42"/>
        <n v="4214.08"/>
        <n v="591.24"/>
        <n v="5258.4"/>
        <n v="1443.78"/>
        <n v="2836.16"/>
        <n v="776.79"/>
        <n v="1905.51"/>
        <n v="2319.33"/>
        <n v="3177.28"/>
        <n v="2829.4"/>
        <n v="1879.65"/>
        <n v="5210.72"/>
        <n v="544.53"/>
        <n v="1668.42"/>
        <n v="1088.78"/>
        <n v="2709.28"/>
        <n v="2846.68"/>
        <n v="347.08"/>
        <n v="1180.8"/>
        <n v="1950.8"/>
        <n v="782.08"/>
        <n v="1192.73"/>
        <n v="705.3"/>
        <n v="592.91999999999996"/>
        <n v="702.52"/>
        <n v="977.52"/>
        <n v="13.47"/>
        <n v="1717.15"/>
        <n v="56.84"/>
        <n v="3106.96"/>
        <n v="3117.12"/>
        <n v="3812.9"/>
        <n v="2584.4699999999998"/>
        <n v="2757.8"/>
        <n v="475.81"/>
        <n v="559.4"/>
        <n v="4923.76"/>
        <n v="1194.24"/>
        <n v="2420.39"/>
        <n v="1749.75"/>
        <n v="1536.26"/>
        <n v="3000.84"/>
        <n v="740.42"/>
        <n v="4055.59"/>
        <n v="4904.6899999999996"/>
        <n v="1734.66"/>
        <n v="678.22"/>
        <n v="1442.35"/>
        <n v="264.41000000000003"/>
        <n v="191.82"/>
        <n v="841.2"/>
        <n v="2031.54"/>
        <n v="4662.3500000000004"/>
        <n v="505.48"/>
        <n v="2022.96"/>
        <n v="372.48"/>
        <n v="2015.65"/>
        <n v="571.02"/>
        <n v="90.48"/>
        <n v="626.98"/>
        <n v="89.17"/>
        <n v="5543.37"/>
        <n v="2449.88"/>
        <n v="836.19"/>
        <n v="3069.2"/>
        <n v="1889.4"/>
        <n v="438.65"/>
        <n v="3478.2"/>
        <n v="5140.72"/>
        <n v="1121.54"/>
        <n v="45.3"/>
        <n v="1536.18"/>
        <n v="2585.2800000000002"/>
        <n v="1331.22"/>
        <n v="2279.6"/>
        <n v="4865.1400000000003"/>
        <n v="673.28"/>
        <n v="1133.55"/>
        <n v="4243.1899999999996"/>
        <n v="2164.25"/>
        <n v="614.79"/>
        <n v="3293.28"/>
        <n v="4504.24"/>
        <n v="4964.8"/>
        <n v="430.58"/>
        <n v="4051.44"/>
        <n v="3887.73"/>
        <n v="139.83000000000001"/>
        <n v="427"/>
        <n v="5076.4799999999996"/>
        <n v="6144.72"/>
        <n v="2369.36"/>
        <n v="769.5"/>
        <n v="592.24"/>
        <n v="483.84"/>
        <n v="385.56"/>
        <n v="420.78"/>
        <n v="3839.78"/>
        <n v="1674.36"/>
        <n v="2311.4699999999998"/>
        <n v="697.56"/>
        <n v="2258.1999999999998"/>
        <n v="976.14"/>
        <n v="1319.64"/>
        <n v="293.79000000000002"/>
        <n v="1994.02"/>
        <n v="867.18"/>
        <n v="79.900000000000006"/>
        <n v="1104.8800000000001"/>
        <n v="522.08000000000004"/>
        <n v="2108.48"/>
        <n v="4973.4399999999996"/>
        <n v="147.34"/>
        <n v="1153.02"/>
        <n v="3920.42"/>
        <n v="1050.08"/>
        <n v="231.08"/>
        <n v="596.55999999999995"/>
        <n v="3480.06"/>
        <n v="1486.53"/>
        <n v="2160.3000000000002"/>
        <n v="1383.75"/>
        <n v="4635.82"/>
        <n v="72.25"/>
        <n v="1981.12"/>
        <n v="645.24"/>
        <n v="923.75"/>
        <n v="1276.06"/>
        <n v="302.33999999999997"/>
        <n v="3191.28"/>
        <n v="3154.74"/>
        <n v="3401.25"/>
        <n v="5260.85"/>
        <n v="2771.76"/>
        <n v="441.82"/>
        <n v="3251.94"/>
        <n v="509.06"/>
        <n v="2485.6"/>
        <n v="343.27"/>
        <n v="2086.38"/>
        <n v="1831.47"/>
        <n v="742.11"/>
        <n v="22.9"/>
        <n v="926.85"/>
        <n v="1472.45"/>
        <n v="1435.92"/>
        <n v="3965.04"/>
        <n v="880.32"/>
        <n v="1225.78"/>
        <n v="192.82"/>
        <n v="743.28"/>
        <n v="1547.36"/>
        <n v="1296.5999999999999"/>
        <n v="1273.2"/>
        <n v="1163.2"/>
        <n v="4172.72"/>
        <n v="5099.3599999999997"/>
        <n v="5505.15"/>
        <n v="772.4"/>
        <n v="795"/>
        <n v="1983.84"/>
        <n v="1367.8"/>
        <n v="49.4"/>
        <n v="1300.98"/>
        <n v="5220.88"/>
        <n v="410.32"/>
        <n v="3829.7"/>
        <n v="909.04"/>
        <n v="70.98"/>
        <n v="1792.12"/>
        <n v="4974"/>
        <n v="3805.68"/>
        <n v="3763.2"/>
        <n v="1997.45"/>
        <n v="242.1"/>
        <n v="268.98"/>
        <n v="2564.94"/>
        <n v="776.86"/>
        <n v="898.42"/>
        <n v="22.89"/>
        <n v="290.55"/>
        <n v="2350.9499999999998"/>
        <n v="2264.92"/>
        <n v="361.59"/>
        <n v="499.22"/>
        <n v="2906"/>
        <n v="4106.5200000000004"/>
        <n v="2497.1999999999998"/>
        <n v="3752.91"/>
        <n v="2424.88"/>
        <n v="1327.36"/>
        <n v="6222.4"/>
        <n v="167.38"/>
        <n v="4236.96"/>
        <n v="2068.48"/>
        <n v="2650.14"/>
        <n v="827.79"/>
        <n v="190.29"/>
        <n v="631.80999999999995"/>
        <n v="3952.2"/>
        <n v="4251.66"/>
        <n v="3569.93"/>
        <n v="1111.3"/>
        <n v="122.52"/>
        <n v="365.4"/>
        <n v="234.79"/>
        <n v="949.38"/>
        <n v="450.66"/>
        <n v="139.94"/>
        <n v="3115.44"/>
        <n v="2683.52"/>
        <n v="3411.17"/>
        <n v="1949.9"/>
        <n v="738"/>
        <n v="2122.2600000000002"/>
        <n v="168.44"/>
        <n v="5327.28"/>
        <n v="2611.84"/>
        <n v="2052"/>
        <n v="1099.02"/>
        <n v="533.82000000000005"/>
        <n v="3878.95"/>
        <n v="3032.22"/>
        <n v="635.41999999999996"/>
        <n v="4817.6099999999997"/>
        <n v="5368.93"/>
        <n v="2445.48"/>
        <n v="1289.7"/>
        <n v="4804.3999999999996"/>
        <n v="1270.7"/>
        <n v="3667.09"/>
        <n v="1589.95"/>
        <n v="59.75"/>
        <n v="1349.95"/>
        <n v="683.65"/>
        <n v="2004.88"/>
        <n v="2673.06"/>
        <n v="332.76"/>
        <n v="592.98"/>
        <n v="4140.5"/>
        <n v="2430.6"/>
        <n v="4319.1400000000003"/>
        <n v="577.67999999999995"/>
        <n v="2271.0500000000002"/>
        <n v="278.12"/>
        <n v="4262.93"/>
        <n v="2939.92"/>
        <n v="4570.6400000000003"/>
        <n v="1436.3"/>
        <n v="542.88"/>
        <n v="2676.2"/>
        <n v="2065.44"/>
        <n v="2405.12"/>
        <n v="1836.03"/>
        <n v="909.22"/>
        <n v="49.86"/>
        <n v="827.82"/>
        <n v="1810.2"/>
        <n v="3854.95"/>
        <n v="2906.58"/>
        <n v="781.99"/>
        <n v="2033.2"/>
        <n v="261.17"/>
        <n v="3878.4"/>
        <n v="4975.6000000000004"/>
        <n v="1438.3"/>
        <n v="4130.6400000000003"/>
        <n v="903.32"/>
        <n v="17.78"/>
        <n v="1453.24"/>
        <n v="4061.92"/>
        <n v="3871.32"/>
        <n v="79.45"/>
        <n v="550.04999999999995"/>
        <n v="6311.28"/>
        <n v="365.94"/>
        <n v="359.68"/>
        <n v="750.46"/>
        <n v="84.3"/>
        <n v="2097.5700000000002"/>
        <n v="1014.8"/>
        <n v="3696.7"/>
        <n v="2970.87"/>
        <n v="1461.48"/>
        <n v="2005.64"/>
        <n v="17.12"/>
        <n v="108.18"/>
        <n v="462.31"/>
        <n v="1881.72"/>
        <n v="535.4"/>
        <n v="346.77"/>
        <n v="585.20000000000005"/>
        <n v="3038"/>
        <n v="573.74"/>
        <n v="258.12"/>
        <n v="50.33"/>
        <n v="909.6"/>
        <n v="756.38"/>
        <n v="645.85"/>
        <n v="249.36"/>
        <n v="3484.6"/>
        <n v="5158.6499999999996"/>
        <n v="107.67"/>
        <n v="192.81"/>
        <n v="2687.16"/>
        <n v="2555.52"/>
        <n v="529.94000000000005"/>
        <n v="122.06"/>
        <n v="572.04999999999995"/>
        <n v="1494.75"/>
        <n v="2673.75"/>
        <n v="2570.33"/>
        <n v="607.75"/>
        <n v="1627.4"/>
        <n v="1231.8399999999999"/>
        <n v="1008.3"/>
        <n v="5495.52"/>
        <n v="1863.03"/>
        <n v="1456.2"/>
        <n v="1108"/>
        <n v="638.11"/>
        <n v="421.47"/>
        <n v="4572.1899999999996"/>
        <n v="521.99"/>
        <n v="3028.76"/>
        <n v="3808.6"/>
        <n v="795.36"/>
        <n v="227.36"/>
        <n v="431.2"/>
        <n v="3235.92"/>
        <n v="116.58"/>
        <n v="1233.2"/>
        <n v="562.4"/>
        <n v="2877.6"/>
        <n v="1695.75"/>
        <n v="506.82"/>
        <n v="56.35"/>
        <n v="387.1"/>
        <n v="351.9"/>
        <n v="362.89"/>
        <n v="50.18"/>
        <n v="256.05"/>
        <n v="2975.35"/>
        <n v="2524.08"/>
        <n v="2631"/>
        <n v="2834.23"/>
        <n v="1711.9"/>
        <n v="4114.9799999999996"/>
        <n v="147.57"/>
        <n v="673.05"/>
        <n v="308.3"/>
        <n v="1397.04"/>
        <n v="992.49"/>
        <n v="1941.05"/>
        <n v="757.95"/>
        <n v="3451.8"/>
        <n v="1666.98"/>
        <n v="2525.7600000000002"/>
        <n v="3451.3"/>
        <n v="659.76"/>
        <n v="336.3"/>
        <n v="3603.55"/>
        <n v="3470.6"/>
        <n v="283.8"/>
        <n v="539.79999999999995"/>
        <n v="582.02"/>
        <n v="653.96"/>
        <n v="2507.25"/>
        <n v="970.55"/>
        <n v="4299.96"/>
        <n v="1766.28"/>
        <n v="2528.3000000000002"/>
        <n v="554.09"/>
        <n v="3100.4"/>
        <n v="3184.24"/>
        <n v="3341.4"/>
        <n v="1504"/>
        <n v="256.49"/>
        <n v="3740.4"/>
        <n v="86.51"/>
        <n v="3498.6"/>
        <n v="3450.72"/>
        <n v="1459.98"/>
        <n v="688.42"/>
        <n v="3445.44"/>
        <n v="2996"/>
        <n v="1638.91"/>
        <n v="2638.14"/>
        <n v="3455.85"/>
        <n v="3837.54"/>
        <n v="1310.6400000000001"/>
        <n v="1440.56"/>
        <n v="2798.72"/>
        <n v="2912.76"/>
        <n v="388.83"/>
        <n v="2365.65"/>
        <n v="1681.89"/>
        <n v="458.55"/>
        <n v="310.2"/>
        <n v="408.42"/>
        <n v="2843.64"/>
        <n v="3983.45"/>
        <n v="2399.58"/>
        <n v="192.43"/>
        <n v="99.63"/>
        <n v="5347.51"/>
        <n v="5134.3599999999997"/>
        <n v="3866.75"/>
        <n v="3962.63"/>
        <n v="1048"/>
        <n v="102.17"/>
        <n v="47.97"/>
        <n v="2368.98"/>
        <n v="3416.72"/>
        <n v="637.25"/>
        <n v="2613.64"/>
        <n v="2249.12"/>
        <n v="1858.96"/>
        <n v="2867.58"/>
        <n v="1542.26"/>
        <n v="1969.36"/>
        <n v="2966.04"/>
        <n v="3132.84"/>
        <n v="552.91999999999996"/>
        <n v="2567.94"/>
        <n v="1535.04"/>
        <n v="305.39999999999998"/>
        <n v="2608.6"/>
        <n v="1236.68"/>
        <n v="444.96"/>
        <n v="1380.45"/>
        <n v="391.49"/>
        <n v="1649.12"/>
        <n v="760.68"/>
        <n v="2186.58"/>
        <n v="1622.1"/>
        <n v="428.52"/>
        <n v="3085.53"/>
        <n v="64.400000000000006"/>
        <n v="1683.6"/>
        <n v="56.49"/>
        <n v="906.9"/>
        <n v="1510.5"/>
        <n v="300.52"/>
        <n v="583.26"/>
        <n v="2919.9"/>
        <n v="643.28"/>
        <n v="293.95999999999998"/>
        <n v="1189.72"/>
        <n v="26.92"/>
        <n v="958.22"/>
        <n v="5233.2"/>
        <n v="292.60000000000002"/>
        <n v="2754.64"/>
        <n v="2311.5500000000002"/>
        <n v="927.68"/>
        <n v="2033.75"/>
        <n v="1498.2"/>
        <n v="886.02"/>
        <n v="1102.55"/>
        <n v="2187.39"/>
        <n v="2414"/>
        <n v="3931.2"/>
        <n v="2908.38"/>
        <n v="1801.02"/>
        <n v="665.94"/>
        <n v="4441.4399999999996"/>
        <n v="469.5"/>
        <n v="1221.68"/>
        <n v="4575.4799999999996"/>
        <n v="83.94"/>
        <n v="683.64"/>
        <n v="2686.48"/>
        <n v="917.6"/>
        <n v="2144.92"/>
        <n v="654.47"/>
        <n v="1098.3"/>
        <n v="3471.92"/>
        <n v="482.69"/>
        <n v="2085.54"/>
        <n v="1363.6"/>
        <n v="346.78"/>
        <n v="3580.92"/>
        <n v="3918"/>
        <n v="2481.71"/>
        <n v="4112.3999999999996"/>
        <n v="583.41"/>
        <n v="1940.68"/>
        <n v="2278.8000000000002"/>
        <n v="4593.47"/>
        <n v="2380.0500000000002"/>
        <n v="199.99"/>
        <n v="503.37"/>
        <n v="1332.81"/>
        <n v="472.28"/>
        <n v="1372.64"/>
        <n v="837.48"/>
        <n v="3336.5"/>
        <n v="2125.6799999999998"/>
        <n v="3260.8"/>
        <n v="902.46"/>
        <n v="226.26"/>
        <n v="877.26"/>
        <n v="538.36"/>
        <n v="563.53"/>
        <n v="3955.15"/>
        <n v="534.12"/>
        <n v="2320.17"/>
        <n v="374.42"/>
        <n v="114.54"/>
        <n v="2232.9499999999998"/>
        <n v="894.52"/>
        <n v="4316.97"/>
        <n v="154.32"/>
        <n v="267.68"/>
        <n v="717.94"/>
        <n v="4573.4399999999996"/>
        <n v="1143.05"/>
        <n v="2954.64"/>
        <n v="531.54"/>
        <n v="3155.34"/>
        <n v="95.7"/>
        <n v="1026.96"/>
        <n v="4148.16"/>
        <n v="5192.67"/>
        <n v="518.74"/>
        <n v="3752.88"/>
        <n v="4418.82"/>
        <n v="580.17999999999995"/>
        <n v="2163.75"/>
        <n v="1394.52"/>
        <n v="600.52"/>
        <n v="2004.9"/>
        <n v="435.39"/>
        <n v="2704.56"/>
        <n v="2814"/>
        <n v="1980.72"/>
        <n v="543.08000000000004"/>
        <n v="391.35"/>
        <n v="2269.98"/>
        <n v="757.24"/>
        <n v="543.76"/>
        <n v="2301.25"/>
        <n v="1038.24"/>
        <n v="1519.65"/>
        <n v="5017.88"/>
        <n v="4573.5200000000004"/>
        <n v="77.78"/>
        <n v="502.04"/>
        <n v="2496.42"/>
        <n v="236.18"/>
        <n v="1948.2"/>
        <n v="193.13"/>
        <n v="1478.4"/>
        <n v="634.04999999999995"/>
        <n v="1704.9"/>
        <n v="1779.18"/>
        <n v="338.28"/>
        <n v="439.34"/>
        <n v="291.97000000000003"/>
        <n v="1481.04"/>
        <n v="852.64"/>
        <n v="5210.96"/>
        <n v="1228.17"/>
        <n v="3507.28"/>
        <n v="3352.32"/>
        <n v="2472.96"/>
        <n v="732.6"/>
        <n v="793.8"/>
        <n v="1940.72"/>
        <n v="4382.49"/>
        <n v="4235.5200000000004"/>
        <n v="2732.96"/>
        <n v="99.7"/>
        <n v="4899.37"/>
        <n v="325.48"/>
        <n v="609.6"/>
        <n v="729.15"/>
        <n v="1899.6"/>
        <n v="808.08"/>
        <n v="3491.2"/>
        <n v="2680.75"/>
        <n v="621.4"/>
        <n v="2856.84"/>
        <n v="1791.68"/>
        <n v="1011.92"/>
        <n v="583.89"/>
        <n v="4675.38"/>
        <n v="3558.65"/>
        <n v="73.23"/>
        <n v="621.01"/>
        <n v="5394.9"/>
        <n v="1496.76"/>
        <n v="2359.4"/>
        <n v="115.71"/>
        <n v="3219.36"/>
        <n v="4799.46"/>
        <n v="1939.95"/>
        <n v="87.28"/>
        <n v="4852.26"/>
        <n v="4093.46"/>
        <n v="295.86"/>
        <n v="598.91999999999996"/>
        <n v="860.85"/>
        <n v="220.45"/>
        <n v="309.24"/>
        <n v="4758"/>
        <n v="2422.35"/>
        <n v="676.64"/>
        <n v="578.04"/>
        <n v="2070.7199999999998"/>
        <n v="52.91"/>
        <n v="3800.4"/>
        <n v="417.04"/>
        <n v="599.58000000000004"/>
        <n v="1046.76"/>
        <n v="4787.84"/>
        <n v="5165.92"/>
        <n v="323.19"/>
        <n v="959.76"/>
        <n v="6283.92"/>
        <n v="1619.4"/>
        <n v="173.7"/>
        <n v="1062.4000000000001"/>
        <n v="4848.62"/>
        <n v="1469.09"/>
        <n v="1350.54"/>
        <n v="1454.07"/>
        <n v="3322.55"/>
        <n v="475.26"/>
        <n v="4663.47"/>
        <n v="1668.24"/>
        <n v="1811.61"/>
        <n v="965.58"/>
        <n v="471.12"/>
        <n v="1489.88"/>
        <n v="950.34"/>
        <n v="3995.64"/>
        <n v="614.78"/>
        <n v="3376.94"/>
        <n v="3630.35"/>
        <n v="2166.1"/>
        <n v="922.32"/>
        <n v="1616.16"/>
        <n v="3965.85"/>
        <n v="152.57"/>
        <n v="1411.2"/>
        <n v="1556.44"/>
        <n v="954"/>
        <n v="5535.39"/>
        <n v="939.56"/>
        <n v="452.06"/>
        <n v="522.42999999999995"/>
        <n v="879"/>
        <n v="1980.93"/>
        <n v="4194.0600000000004"/>
        <n v="212.45"/>
        <n v="6346.88"/>
        <n v="776.01"/>
        <n v="2866.64"/>
        <n v="173.64"/>
        <n v="1537.02"/>
        <n v="1102.95"/>
        <n v="1048.06"/>
        <n v="4567.04"/>
        <n v="4066.93"/>
        <n v="102.28"/>
        <n v="6.06"/>
        <n v="3318.2"/>
        <n v="1255.3800000000001"/>
        <n v="2527.77"/>
        <n v="5540.08"/>
        <n v="259.45"/>
        <n v="1834.8"/>
        <n v="143.5"/>
        <n v="2185.4699999999998"/>
        <n v="4587.84"/>
        <n v="709.52"/>
        <n v="3022.32"/>
        <n v="980.88"/>
        <n v="412.09"/>
        <n v="2437.2800000000002"/>
        <n v="2971.68"/>
        <n v="2307.8000000000002"/>
        <n v="277.32"/>
        <n v="766.75"/>
        <n v="1709.16"/>
        <n v="798.02"/>
        <n v="1278.72"/>
        <n v="167.49"/>
        <n v="6015.52"/>
        <n v="3264.4"/>
        <n v="711.94"/>
        <n v="1836.7"/>
        <n v="503.08"/>
        <n v="1497.5"/>
        <n v="2849.7"/>
        <n v="2795.6"/>
        <n v="1088.96"/>
        <n v="5135.92"/>
        <n v="902.64"/>
        <n v="963.48"/>
        <n v="824.43"/>
        <n v="694.85"/>
        <n v="261.2"/>
        <n v="3176.82"/>
        <n v="115.82"/>
        <n v="1149.6600000000001"/>
        <n v="1120.55"/>
        <n v="1910.96"/>
        <n v="1440.92"/>
        <n v="526.48"/>
        <n v="2697.32"/>
        <n v="4299.6000000000004"/>
        <n v="231.09"/>
        <n v="3408.7"/>
        <n v="226.86"/>
        <n v="4306.32"/>
        <n v="1645.76"/>
        <n v="2715.24"/>
        <n v="2042.48"/>
        <n v="729.26"/>
        <n v="3096.8"/>
        <n v="47.53"/>
        <n v="544.16"/>
        <n v="3320.34"/>
        <n v="329.7"/>
        <n v="3148.88"/>
        <n v="42.76"/>
        <n v="812.46"/>
        <n v="333.36"/>
        <n v="1082.56"/>
        <n v="367.44"/>
        <n v="401.55"/>
        <n v="1036.56"/>
        <n v="1322.23"/>
        <n v="743.33"/>
        <n v="139.88"/>
        <n v="3327.31"/>
        <n v="362.77"/>
        <n v="778.8"/>
        <n v="126.6"/>
        <n v="2876.46"/>
        <n v="49.35"/>
        <n v="116.12"/>
        <n v="1258.5"/>
        <n v="82.47"/>
        <n v="2939.3"/>
        <n v="4282.95"/>
        <n v="2080.38"/>
        <n v="27.02"/>
        <n v="2194.36"/>
        <n v="866.25"/>
        <n v="912.38"/>
        <n v="4907.91"/>
        <n v="2359.38"/>
        <n v="4852.1899999999996"/>
        <n v="5290.96"/>
        <n v="3558.48"/>
        <n v="2236.08"/>
        <n v="172.22"/>
        <n v="477.04"/>
        <n v="784.11"/>
        <n v="780.57"/>
        <n v="347.91"/>
        <n v="4759.1400000000003"/>
        <n v="1085.8"/>
        <n v="5229.28"/>
        <n v="1502.22"/>
        <n v="585.36"/>
        <n v="1298.8499999999999"/>
        <n v="3243.8"/>
        <n v="770.68"/>
        <n v="3574.97"/>
        <n v="64.81"/>
        <n v="1310.24"/>
        <n v="401.32"/>
        <n v="1297.08"/>
        <n v="2912.77"/>
        <n v="825.24"/>
        <n v="2268.3000000000002"/>
        <n v="5134.71"/>
        <n v="426.3"/>
        <n v="1411.64"/>
        <n v="172.05"/>
        <n v="1600.11"/>
        <n v="2860.48"/>
        <n v="480.06"/>
        <n v="1834.68"/>
        <n v="269.26"/>
        <n v="2950.36"/>
        <n v="752.57"/>
        <n v="564.99"/>
        <n v="2819.25"/>
        <n v="816.93"/>
        <n v="1739.16"/>
        <n v="1239.44"/>
        <n v="1940.7"/>
        <n v="867.78"/>
        <n v="3934.5"/>
        <n v="944.37"/>
        <n v="91.01"/>
        <n v="5740.16"/>
        <n v="154.22999999999999"/>
        <n v="4311.3"/>
        <n v="75.040000000000006"/>
        <n v="2226.9899999999998"/>
        <n v="1173.03"/>
        <n v="142.85"/>
        <n v="916.3"/>
        <n v="320.24"/>
        <n v="362.96"/>
        <n v="612.47"/>
        <n v="3659.44"/>
        <n v="565.32000000000005"/>
        <n v="2640.05"/>
        <n v="1610.32"/>
        <n v="475.45"/>
        <n v="735.73"/>
        <n v="2991.8"/>
        <n v="3590.05"/>
        <n v="1613.35"/>
        <n v="393.96"/>
        <n v="2225.6999999999998"/>
        <n v="1173.55"/>
        <n v="3331.26"/>
        <n v="466.31"/>
        <n v="2883.7"/>
        <n v="358.2"/>
        <n v="759.76"/>
        <n v="202.98"/>
        <n v="267.7"/>
        <n v="1122.1199999999999"/>
        <n v="1678.68"/>
        <n v="2883.32"/>
        <n v="428.73"/>
        <n v="728.52"/>
        <n v="1720.5"/>
        <n v="2795.08"/>
        <n v="3411.7"/>
        <n v="424.9"/>
        <n v="1133.8800000000001"/>
        <n v="2888.83"/>
        <n v="3118.29"/>
        <n v="140.6"/>
        <n v="1556"/>
        <n v="3067.68"/>
        <n v="2061.92"/>
        <n v="1636.8"/>
        <n v="697.16"/>
        <n v="2777.2"/>
        <n v="1349.32"/>
        <n v="1971.84"/>
        <n v="2052.66"/>
        <n v="2543.15"/>
        <n v="1324.38"/>
        <n v="434.97"/>
        <n v="586.44000000000005"/>
        <n v="170.16"/>
        <n v="2299.04"/>
        <n v="2301.16"/>
        <n v="1112.5999999999999"/>
        <n v="876.82"/>
        <n v="804.32"/>
        <n v="4594.5"/>
        <n v="888.65"/>
        <n v="3895.78"/>
        <n v="4749.43"/>
        <n v="979.68"/>
        <n v="2192.4899999999998"/>
        <n v="2425.12"/>
        <n v="2479.4"/>
        <n v="146"/>
        <n v="2163.66"/>
        <n v="1017.68"/>
        <n v="1683.52"/>
        <n v="2044.65"/>
        <n v="3626.58"/>
        <n v="1464.8"/>
        <n v="470.23"/>
        <n v="698.19"/>
        <n v="4465.62"/>
        <n v="2327.2800000000002"/>
        <n v="3402.4"/>
        <n v="2846.76"/>
        <n v="835.55"/>
        <n v="3643.38"/>
        <n v="3063.62"/>
        <n v="6062.48"/>
        <n v="2536.94"/>
        <n v="1664.8"/>
        <n v="3187.6"/>
        <n v="542.58000000000004"/>
        <n v="214.93"/>
        <n v="2625"/>
        <n v="1979.04"/>
        <n v="1192.94"/>
        <n v="3207.85"/>
        <n v="3235.96"/>
        <n v="2773.28"/>
        <n v="3198.6"/>
        <n v="3466.5"/>
        <n v="1845.9"/>
        <n v="362.4"/>
        <n v="1383.92"/>
        <n v="716.32"/>
        <n v="309.76"/>
        <n v="1191.2"/>
        <n v="418.04"/>
        <n v="2498"/>
        <n v="2873.96"/>
        <n v="1458.66"/>
        <n v="73.349999999999994"/>
        <n v="926.34"/>
        <n v="555.52"/>
        <n v="1104.08"/>
        <n v="558.24"/>
        <n v="1217.97"/>
        <n v="690.28"/>
        <n v="3662.45"/>
        <n v="3352.2"/>
        <n v="4899.93"/>
        <n v="1360.18"/>
        <n v="509.84"/>
        <n v="1066.4000000000001"/>
        <n v="660.13"/>
        <n v="2081.8000000000002"/>
        <n v="148.75"/>
        <n v="358.32"/>
        <n v="1435.22"/>
        <n v="2164.44"/>
        <n v="939.16"/>
        <n v="2381.16"/>
        <n v="326.10000000000002"/>
        <n v="2628.72"/>
        <n v="2386.4"/>
        <n v="3260.48"/>
        <n v="2342.7199999999998"/>
        <n v="1509.36"/>
        <n v="276.68"/>
        <n v="4710.72"/>
        <n v="2749.76"/>
        <n v="4955.6000000000004"/>
        <n v="1466.4"/>
        <n v="1377.84"/>
        <n v="2935.88"/>
        <n v="1618.95"/>
        <n v="560"/>
        <n v="4513.28"/>
        <n v="387.28"/>
        <n v="1511.19"/>
        <n v="605.94000000000005"/>
        <n v="308.02"/>
        <n v="658.32"/>
        <n v="404.4"/>
        <n v="1339.92"/>
        <n v="683.82"/>
        <n v="776.47"/>
        <n v="1379.56"/>
        <n v="55.74"/>
        <n v="5310.64"/>
        <n v="4171.5200000000004"/>
        <n v="2245.52"/>
        <n v="1872.45"/>
        <n v="3594.57"/>
        <n v="232.23"/>
        <n v="2262.6"/>
        <n v="289.72000000000003"/>
        <n v="2305.4"/>
        <n v="1953.33"/>
        <n v="56.08"/>
        <n v="1154.1600000000001"/>
        <n v="5139.12"/>
        <n v="2025.44"/>
        <n v="6389.12"/>
        <n v="1013.68"/>
        <n v="1362.84"/>
        <n v="3866.15"/>
        <n v="1164.1500000000001"/>
        <n v="1790.88"/>
        <n v="1095.6300000000001"/>
        <n v="413.19"/>
        <n v="448.58"/>
        <n v="155.58000000000001"/>
        <n v="1835.04"/>
        <n v="418.12"/>
        <n v="2151.52"/>
        <n v="1614.13"/>
        <n v="272.25"/>
        <n v="112.22"/>
        <n v="640.98"/>
        <n v="1544.28"/>
        <n v="838.95"/>
        <n v="213.48"/>
        <n v="185.12"/>
        <n v="433.15"/>
        <n v="4516.3999999999996"/>
        <n v="1605.5"/>
        <n v="1754.96"/>
        <n v="5364.56"/>
        <n v="295.56"/>
        <n v="719.55"/>
        <n v="3680.95"/>
        <n v="3125.16"/>
        <n v="1409.82"/>
        <n v="1664.34"/>
        <n v="729.45"/>
        <n v="328.64"/>
        <n v="297.06"/>
        <n v="2959.26"/>
        <n v="317.56"/>
        <n v="4707.12"/>
        <n v="4607.34"/>
        <n v="4253.28"/>
        <n v="635.85"/>
        <n v="417.92"/>
        <n v="891.8"/>
        <n v="117.5"/>
        <n v="181.44"/>
        <n v="2195.34"/>
        <n v="4736.8999999999996"/>
        <n v="72.650000000000006"/>
        <n v="74.97"/>
        <n v="228.75"/>
        <n v="5199.67"/>
        <n v="3120"/>
        <n v="5517.33"/>
        <n v="4742.6400000000003"/>
        <n v="502.03"/>
        <n v="662.14"/>
        <n v="39.24"/>
        <n v="1292.1199999999999"/>
        <n v="649.29999999999995"/>
        <n v="1479.45"/>
        <n v="2736.0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efreshedDate="46299.808620949072" createdVersion="8" refreshedVersion="8" minRefreshableVersion="3" recordCount="1800" xr:uid="{C34E856E-9AC7-4F7E-9ECD-1636FD6D1F93}">
  <cacheSource type="worksheet">
    <worksheetSource name="Table2"/>
  </cacheSource>
  <cacheFields count="14">
    <cacheField name="CustomerID" numFmtId="0">
      <sharedItems count="1642">
        <s v="C1003"/>
        <s v="C1009"/>
        <s v="C1010"/>
        <s v="C1014"/>
        <s v="C1023"/>
        <s v="C1030"/>
        <s v="C1036"/>
        <s v="C1043"/>
        <s v="C1045"/>
        <s v="C1059"/>
        <s v="C1067"/>
        <s v="C1078"/>
        <s v="C1080"/>
        <s v="C1086"/>
        <s v="C1088"/>
        <s v="C1091"/>
        <s v="C1094"/>
        <s v="C1099"/>
        <s v="C1108"/>
        <s v="C1110"/>
        <s v="C1113"/>
        <s v="C1118"/>
        <s v="C1125"/>
        <s v="C1135"/>
        <s v="C1146"/>
        <s v="C1147"/>
        <s v="C1150"/>
        <s v="C1151"/>
        <s v="C1156"/>
        <s v="C1157"/>
        <s v="C1161"/>
        <s v="C1166"/>
        <s v="C1170"/>
        <s v="C1172"/>
        <s v="C1179"/>
        <s v="C1180"/>
        <s v="C1181"/>
        <s v="C1184"/>
        <s v="C1186"/>
        <s v="C1187"/>
        <s v="C1200"/>
        <s v="C1215"/>
        <s v="C1216"/>
        <s v="C1224"/>
        <s v="C1228"/>
        <s v="C1230"/>
        <s v="C1232"/>
        <s v="C1241"/>
        <s v="C1248"/>
        <s v="C1254"/>
        <s v="C1267"/>
        <s v="C1268"/>
        <s v="C1271"/>
        <s v="C1280"/>
        <s v="C1290"/>
        <s v="C1292"/>
        <s v="C1296"/>
        <s v="C1299"/>
        <s v="C1301"/>
        <s v="C1312"/>
        <s v="C1314"/>
        <s v="C1315"/>
        <s v="C1319"/>
        <s v="C1325"/>
        <s v="C1326"/>
        <s v="C1334"/>
        <s v="C1337"/>
        <s v="C1338"/>
        <s v="C1340"/>
        <s v="C1349"/>
        <s v="C1353"/>
        <s v="C1359"/>
        <s v="C1362"/>
        <s v="C1365"/>
        <s v="C1366"/>
        <s v="C1391"/>
        <s v="C1393"/>
        <s v="C1418"/>
        <s v="C1425"/>
        <s v="C1427"/>
        <s v="C1433"/>
        <s v="C1435"/>
        <s v="C1446"/>
        <s v="C1452"/>
        <s v="C1453"/>
        <s v="C1455"/>
        <s v="C1467"/>
        <s v="C1470"/>
        <s v="C1472"/>
        <s v="C1482"/>
        <s v="C1483"/>
        <s v="C1486"/>
        <s v="C1494"/>
        <s v="C1500"/>
        <s v="C1503"/>
        <s v="C1509"/>
        <s v="C1517"/>
        <s v="C1524"/>
        <s v="C1528"/>
        <s v="C1529"/>
        <s v="C1544"/>
        <s v="C1547"/>
        <s v="C1555"/>
        <s v="C1563"/>
        <s v="C1570"/>
        <s v="C1578"/>
        <s v="C1579"/>
        <s v="C1583"/>
        <s v="C1587"/>
        <s v="C1588"/>
        <s v="C1589"/>
        <s v="C1596"/>
        <s v="C1604"/>
        <s v="C1617"/>
        <s v="C1619"/>
        <s v="C1623"/>
        <s v="C1626"/>
        <s v="C1631"/>
        <s v="C1634"/>
        <s v="C1645"/>
        <s v="C1652"/>
        <s v="C1657"/>
        <s v="C1661"/>
        <s v="C1667"/>
        <s v="C1671"/>
        <s v="C1675"/>
        <s v="C1683"/>
        <s v="C1688"/>
        <s v="C1690"/>
        <s v="C1694"/>
        <s v="C1699"/>
        <s v="C1706"/>
        <s v="C1708"/>
        <s v="C1717"/>
        <s v="C1728"/>
        <s v="C1736"/>
        <s v="C1742"/>
        <s v="C1754"/>
        <s v="C1757"/>
        <s v="C1763"/>
        <s v="C1765"/>
        <s v="C1770"/>
        <s v="C1772"/>
        <s v="C1785"/>
        <s v="C1786"/>
        <s v="C1813"/>
        <s v="C1814"/>
        <s v="C1819"/>
        <s v="C1822"/>
        <s v="C1828"/>
        <s v="C1835"/>
        <s v="C1837"/>
        <s v="C1840"/>
        <s v="C1844"/>
        <s v="C1854"/>
        <s v="C1857"/>
        <s v="C1862"/>
        <s v="C1873"/>
        <s v="C1882"/>
        <s v="C1885"/>
        <s v="C1886"/>
        <s v="C1887"/>
        <s v="C1889"/>
        <s v="C1895"/>
        <s v="C1898"/>
        <s v="C1909"/>
        <s v="C1927"/>
        <s v="C1936"/>
        <s v="C1946"/>
        <s v="C1949"/>
        <s v="C1956"/>
        <s v="C1957"/>
        <s v="C1972"/>
        <s v="C1978"/>
        <s v="C1982"/>
        <s v="C1984"/>
        <s v="C1988"/>
        <s v="C1989"/>
        <s v="C1999"/>
        <s v="C2008"/>
        <s v="C2011"/>
        <s v="C2013"/>
        <s v="C2018"/>
        <s v="C2023"/>
        <s v="C2026"/>
        <s v="C2029"/>
        <s v="C2037"/>
        <s v="C2039"/>
        <s v="C2043"/>
        <s v="C2057"/>
        <s v="C2062"/>
        <s v="C2063"/>
        <s v="C2073"/>
        <s v="C2077"/>
        <s v="C2081"/>
        <s v="C2089"/>
        <s v="C2090"/>
        <s v="C2091"/>
        <s v="C2095"/>
        <s v="C2101"/>
        <s v="C2102"/>
        <s v="C2105"/>
        <s v="C2109"/>
        <s v="C2125"/>
        <s v="C2130"/>
        <s v="C2137"/>
        <s v="C2143"/>
        <s v="C2148"/>
        <s v="C2155"/>
        <s v="C2161"/>
        <s v="C2162"/>
        <s v="C2168"/>
        <s v="C2172"/>
        <s v="C2179"/>
        <s v="C2188"/>
        <s v="C2191"/>
        <s v="C2193"/>
        <s v="C2194"/>
        <s v="C2195"/>
        <s v="C2203"/>
        <s v="C2211"/>
        <s v="C2215"/>
        <s v="C2225"/>
        <s v="C2227"/>
        <s v="C2228"/>
        <s v="C2231"/>
        <s v="C2232"/>
        <s v="C2241"/>
        <s v="C2255"/>
        <s v="C2263"/>
        <s v="C2268"/>
        <s v="C2279"/>
        <s v="C2280"/>
        <s v="C2295"/>
        <s v="C2307"/>
        <s v="C2312"/>
        <s v="C2313"/>
        <s v="C2317"/>
        <s v="C2319"/>
        <s v="C2320"/>
        <s v="C2323"/>
        <s v="C2326"/>
        <s v="C2327"/>
        <s v="C2330"/>
        <s v="C2333"/>
        <s v="C2341"/>
        <s v="C2346"/>
        <s v="C2352"/>
        <s v="C2357"/>
        <s v="C2364"/>
        <s v="C2378"/>
        <s v="C2379"/>
        <s v="C2387"/>
        <s v="C2392"/>
        <s v="C2393"/>
        <s v="C2401"/>
        <s v="C2406"/>
        <s v="C2409"/>
        <s v="C2411"/>
        <s v="C2422"/>
        <s v="C2424"/>
        <s v="C2426"/>
        <s v="C2431"/>
        <s v="C2436"/>
        <s v="C2443"/>
        <s v="C2461"/>
        <s v="C2462"/>
        <s v="C2463"/>
        <s v="C2464"/>
        <s v="C2471"/>
        <s v="C2482"/>
        <s v="C2483"/>
        <s v="C2487"/>
        <s v="C2491"/>
        <s v="C2499"/>
        <s v="C2501"/>
        <s v="C2503"/>
        <s v="C2509"/>
        <s v="C2512"/>
        <s v="C2550"/>
        <s v="C2553"/>
        <s v="C2562"/>
        <s v="C2564"/>
        <s v="C2565"/>
        <s v="C2573"/>
        <s v="C2576"/>
        <s v="C2580"/>
        <s v="C2593"/>
        <s v="C2608"/>
        <s v="C2613"/>
        <s v="C2621"/>
        <s v="C2626"/>
        <s v="C2636"/>
        <s v="C2642"/>
        <s v="C2645"/>
        <s v="C2651"/>
        <s v="C2652"/>
        <s v="C2653"/>
        <s v="C2659"/>
        <s v="C2680"/>
        <s v="C2687"/>
        <s v="C2690"/>
        <s v="C2696"/>
        <s v="C2697"/>
        <s v="C2704"/>
        <s v="C2706"/>
        <s v="C2708"/>
        <s v="C2718"/>
        <s v="C2719"/>
        <s v="C2727"/>
        <s v="C2728"/>
        <s v="C2733"/>
        <s v="C2734"/>
        <s v="C2747"/>
        <s v="C2751"/>
        <s v="C2764"/>
        <s v="C2768"/>
        <s v="C2772"/>
        <s v="C2776"/>
        <s v="C2777"/>
        <s v="C2782"/>
        <s v="C2792"/>
        <s v="C2801"/>
        <s v="C2802"/>
        <s v="C2823"/>
        <s v="C2830"/>
        <s v="C2838"/>
        <s v="C2841"/>
        <s v="C2847"/>
        <s v="C2860"/>
        <s v="C2865"/>
        <s v="C2867"/>
        <s v="C2872"/>
        <s v="C2873"/>
        <s v="C2881"/>
        <s v="C2882"/>
        <s v="C2904"/>
        <s v="C2910"/>
        <s v="C2923"/>
        <s v="C2929"/>
        <s v="C2930"/>
        <s v="C2931"/>
        <s v="C2932"/>
        <s v="C2933"/>
        <s v="C2935"/>
        <s v="C2945"/>
        <s v="C2946"/>
        <s v="C2950"/>
        <s v="C2958"/>
        <s v="C2966"/>
        <s v="C2967"/>
        <s v="C2969"/>
        <s v="C2970"/>
        <s v="C2973"/>
        <s v="C2980"/>
        <s v="C2981"/>
        <s v="C2984"/>
        <s v="C2985"/>
        <s v="C3006"/>
        <s v="C3010"/>
        <s v="C3026"/>
        <s v="C3032"/>
        <s v="C3039"/>
        <s v="C3054"/>
        <s v="C3056"/>
        <s v="C3059"/>
        <s v="C3073"/>
        <s v="C3076"/>
        <s v="C3078"/>
        <s v="C3081"/>
        <s v="C3096"/>
        <s v="C3103"/>
        <s v="C3104"/>
        <s v="C3106"/>
        <s v="C3111"/>
        <s v="C3118"/>
        <s v="C3124"/>
        <s v="C3127"/>
        <s v="C3130"/>
        <s v="C3137"/>
        <s v="C3141"/>
        <s v="C3144"/>
        <s v="C3152"/>
        <s v="C3160"/>
        <s v="C3161"/>
        <s v="C3162"/>
        <s v="C3180"/>
        <s v="C3182"/>
        <s v="C3190"/>
        <s v="C3201"/>
        <s v="C3205"/>
        <s v="C3207"/>
        <s v="C3214"/>
        <s v="C3216"/>
        <s v="C3217"/>
        <s v="C3218"/>
        <s v="C3222"/>
        <s v="C3231"/>
        <s v="C3236"/>
        <s v="C3239"/>
        <s v="C3242"/>
        <s v="C3244"/>
        <s v="C3251"/>
        <s v="C3253"/>
        <s v="C3254"/>
        <s v="C3257"/>
        <s v="C3265"/>
        <s v="C3267"/>
        <s v="C3269"/>
        <s v="C3280"/>
        <s v="C3285"/>
        <s v="C3288"/>
        <s v="C3308"/>
        <s v="C3311"/>
        <s v="C3312"/>
        <s v="C3313"/>
        <s v="C3316"/>
        <s v="C3331"/>
        <s v="C3333"/>
        <s v="C3334"/>
        <s v="C3335"/>
        <s v="C3336"/>
        <s v="C3354"/>
        <s v="C3356"/>
        <s v="C3364"/>
        <s v="C3370"/>
        <s v="C3381"/>
        <s v="C3383"/>
        <s v="C3385"/>
        <s v="C3388"/>
        <s v="C3390"/>
        <s v="C3400"/>
        <s v="C3402"/>
        <s v="C3406"/>
        <s v="C3407"/>
        <s v="C3411"/>
        <s v="C3416"/>
        <s v="C3417"/>
        <s v="C3423"/>
        <s v="C3426"/>
        <s v="C3428"/>
        <s v="C3431"/>
        <s v="C3439"/>
        <s v="C3440"/>
        <s v="C3450"/>
        <s v="C3454"/>
        <s v="C3455"/>
        <s v="C3458"/>
        <s v="C3459"/>
        <s v="C3460"/>
        <s v="C3463"/>
        <s v="C3472"/>
        <s v="C3477"/>
        <s v="C3479"/>
        <s v="C3487"/>
        <s v="C3490"/>
        <s v="C3492"/>
        <s v="C3497"/>
        <s v="C3498"/>
        <s v="C3499"/>
        <s v="C3501"/>
        <s v="C3505"/>
        <s v="C3509"/>
        <s v="C3513"/>
        <s v="C3516"/>
        <s v="C3517"/>
        <s v="C3519"/>
        <s v="C3527"/>
        <s v="C3528"/>
        <s v="C3533"/>
        <s v="C3536"/>
        <s v="C3555"/>
        <s v="C3557"/>
        <s v="C3561"/>
        <s v="C3571"/>
        <s v="C3577"/>
        <s v="C3578"/>
        <s v="C3579"/>
        <s v="C3589"/>
        <s v="C3593"/>
        <s v="C3603"/>
        <s v="C3626"/>
        <s v="C3635"/>
        <s v="C3636"/>
        <s v="C3641"/>
        <s v="C3647"/>
        <s v="C3656"/>
        <s v="C3658"/>
        <s v="C3659"/>
        <s v="C3663"/>
        <s v="C3666"/>
        <s v="C3669"/>
        <s v="C3674"/>
        <s v="C3677"/>
        <s v="C3679"/>
        <s v="C3684"/>
        <s v="C3690"/>
        <s v="C3695"/>
        <s v="C3696"/>
        <s v="C3699"/>
        <s v="C3704"/>
        <s v="C3708"/>
        <s v="C3709"/>
        <s v="C3714"/>
        <s v="C3716"/>
        <s v="C3719"/>
        <s v="C3720"/>
        <s v="C3722"/>
        <s v="C3723"/>
        <s v="C3726"/>
        <s v="C3732"/>
        <s v="C3739"/>
        <s v="C3743"/>
        <s v="C3745"/>
        <s v="C3756"/>
        <s v="C3759"/>
        <s v="C3761"/>
        <s v="C3763"/>
        <s v="C3765"/>
        <s v="C3770"/>
        <s v="C3772"/>
        <s v="C3773"/>
        <s v="C3783"/>
        <s v="C3787"/>
        <s v="C3788"/>
        <s v="C3796"/>
        <s v="C3802"/>
        <s v="C3813"/>
        <s v="C3816"/>
        <s v="C3817"/>
        <s v="C3826"/>
        <s v="C3828"/>
        <s v="C3832"/>
        <s v="C3834"/>
        <s v="C3839"/>
        <s v="C3842"/>
        <s v="C3845"/>
        <s v="C3846"/>
        <s v="C3852"/>
        <s v="C3863"/>
        <s v="C3872"/>
        <s v="C3877"/>
        <s v="C3885"/>
        <s v="C3888"/>
        <s v="C3897"/>
        <s v="C3900"/>
        <s v="C3901"/>
        <s v="C3903"/>
        <s v="C3920"/>
        <s v="C3923"/>
        <s v="C3924"/>
        <s v="C3925"/>
        <s v="C3926"/>
        <s v="C3932"/>
        <s v="C3940"/>
        <s v="C3960"/>
        <s v="C3964"/>
        <s v="C3970"/>
        <s v="C3976"/>
        <s v="C3979"/>
        <s v="C3988"/>
        <s v="C3990"/>
        <s v="C4000"/>
        <s v="C4001"/>
        <s v="C4007"/>
        <s v="C4011"/>
        <s v="C4013"/>
        <s v="C4020"/>
        <s v="C4024"/>
        <s v="C4025"/>
        <s v="C4033"/>
        <s v="C4034"/>
        <s v="C4037"/>
        <s v="C4040"/>
        <s v="C4042"/>
        <s v="C4055"/>
        <s v="C4057"/>
        <s v="C4069"/>
        <s v="C4070"/>
        <s v="C4082"/>
        <s v="C4090"/>
        <s v="C4099"/>
        <s v="C4103"/>
        <s v="C4107"/>
        <s v="C4118"/>
        <s v="C4133"/>
        <s v="C4136"/>
        <s v="C4142"/>
        <s v="C4155"/>
        <s v="C4157"/>
        <s v="C4159"/>
        <s v="C4160"/>
        <s v="C4161"/>
        <s v="C4162"/>
        <s v="C4169"/>
        <s v="C4172"/>
        <s v="C4184"/>
        <s v="C4199"/>
        <s v="C4204"/>
        <s v="C4213"/>
        <s v="C4214"/>
        <s v="C4219"/>
        <s v="C4222"/>
        <s v="C4225"/>
        <s v="C4226"/>
        <s v="C4229"/>
        <s v="C4231"/>
        <s v="C4237"/>
        <s v="C4247"/>
        <s v="C4251"/>
        <s v="C4260"/>
        <s v="C4272"/>
        <s v="C4274"/>
        <s v="C4287"/>
        <s v="C4311"/>
        <s v="C4315"/>
        <s v="C4324"/>
        <s v="C4332"/>
        <s v="C4333"/>
        <s v="C4338"/>
        <s v="C4343"/>
        <s v="C4347"/>
        <s v="C4348"/>
        <s v="C4367"/>
        <s v="C4369"/>
        <s v="C4370"/>
        <s v="C4384"/>
        <s v="C4385"/>
        <s v="C4387"/>
        <s v="C4399"/>
        <s v="C4402"/>
        <s v="C4405"/>
        <s v="C4409"/>
        <s v="C4413"/>
        <s v="C4414"/>
        <s v="C4420"/>
        <s v="C4425"/>
        <s v="C4434"/>
        <s v="C4437"/>
        <s v="C4445"/>
        <s v="C4446"/>
        <s v="C4451"/>
        <s v="C4452"/>
        <s v="C4455"/>
        <s v="C4465"/>
        <s v="C4475"/>
        <s v="C4479"/>
        <s v="C4488"/>
        <s v="C4501"/>
        <s v="C4507"/>
        <s v="C4512"/>
        <s v="C4515"/>
        <s v="C4542"/>
        <s v="C4543"/>
        <s v="C4549"/>
        <s v="C4555"/>
        <s v="C4565"/>
        <s v="C4566"/>
        <s v="C4576"/>
        <s v="C4588"/>
        <s v="C4597"/>
        <s v="C4598"/>
        <s v="C4601"/>
        <s v="C4604"/>
        <s v="C4605"/>
        <s v="C4617"/>
        <s v="C4623"/>
        <s v="C4628"/>
        <s v="C4637"/>
        <s v="C4639"/>
        <s v="C4648"/>
        <s v="C4649"/>
        <s v="C4650"/>
        <s v="C4651"/>
        <s v="C4666"/>
        <s v="C4670"/>
        <s v="C4674"/>
        <s v="C4679"/>
        <s v="C4681"/>
        <s v="C4685"/>
        <s v="C4686"/>
        <s v="C4690"/>
        <s v="C4693"/>
        <s v="C4699"/>
        <s v="C4702"/>
        <s v="C4704"/>
        <s v="C4705"/>
        <s v="C4706"/>
        <s v="C4707"/>
        <s v="C4715"/>
        <s v="C4720"/>
        <s v="C4730"/>
        <s v="C4731"/>
        <s v="C4737"/>
        <s v="C4745"/>
        <s v="C4755"/>
        <s v="C4758"/>
        <s v="C4760"/>
        <s v="C4770"/>
        <s v="C4771"/>
        <s v="C4773"/>
        <s v="C4778"/>
        <s v="C4785"/>
        <s v="C4788"/>
        <s v="C4790"/>
        <s v="C4793"/>
        <s v="C4818"/>
        <s v="C4820"/>
        <s v="C4822"/>
        <s v="C4830"/>
        <s v="C4839"/>
        <s v="C4847"/>
        <s v="C4849"/>
        <s v="C4852"/>
        <s v="C4856"/>
        <s v="C4858"/>
        <s v="C4859"/>
        <s v="C4862"/>
        <s v="C4863"/>
        <s v="C4865"/>
        <s v="C4889"/>
        <s v="C4896"/>
        <s v="C4901"/>
        <s v="C4906"/>
        <s v="C4917"/>
        <s v="C4933"/>
        <s v="C4936"/>
        <s v="C4946"/>
        <s v="C4953"/>
        <s v="C4962"/>
        <s v="C4969"/>
        <s v="C4971"/>
        <s v="C4979"/>
        <s v="C4980"/>
        <s v="C4981"/>
        <s v="C4991"/>
        <s v="C4992"/>
        <s v="C4998"/>
        <s v="C5000"/>
        <s v="C5002"/>
        <s v="C5003"/>
        <s v="C5007"/>
        <s v="C5012"/>
        <s v="C5017"/>
        <s v="C5020"/>
        <s v="C5024"/>
        <s v="C5027"/>
        <s v="C5032"/>
        <s v="C5034"/>
        <s v="C5037"/>
        <s v="C5039"/>
        <s v="C5041"/>
        <s v="C5042"/>
        <s v="C5045"/>
        <s v="C5049"/>
        <s v="C5050"/>
        <s v="C5058"/>
        <s v="C5062"/>
        <s v="C5066"/>
        <s v="C5072"/>
        <s v="C5076"/>
        <s v="C5078"/>
        <s v="C5081"/>
        <s v="C5083"/>
        <s v="C5085"/>
        <s v="C5091"/>
        <s v="C5096"/>
        <s v="C5102"/>
        <s v="C5106"/>
        <s v="C5111"/>
        <s v="C5119"/>
        <s v="C5127"/>
        <s v="C5140"/>
        <s v="C5151"/>
        <s v="C5158"/>
        <s v="C5168"/>
        <s v="C5169"/>
        <s v="C5170"/>
        <s v="C5171"/>
        <s v="C5178"/>
        <s v="C5180"/>
        <s v="C5181"/>
        <s v="C5185"/>
        <s v="C5194"/>
        <s v="C5197"/>
        <s v="C5204"/>
        <s v="C5216"/>
        <s v="C5225"/>
        <s v="C5230"/>
        <s v="C5232"/>
        <s v="C5235"/>
        <s v="C5240"/>
        <s v="C5241"/>
        <s v="C5253"/>
        <s v="C5254"/>
        <s v="C5265"/>
        <s v="C5267"/>
        <s v="C5271"/>
        <s v="C5274"/>
        <s v="C5278"/>
        <s v="C5282"/>
        <s v="C5293"/>
        <s v="C5298"/>
        <s v="C5311"/>
        <s v="C5314"/>
        <s v="C5320"/>
        <s v="C5324"/>
        <s v="C5329"/>
        <s v="C5331"/>
        <s v="C5332"/>
        <s v="C5336"/>
        <s v="C5338"/>
        <s v="C5342"/>
        <s v="C5346"/>
        <s v="C5348"/>
        <s v="C5361"/>
        <s v="C5363"/>
        <s v="C5365"/>
        <s v="C5366"/>
        <s v="C5385"/>
        <s v="C5392"/>
        <s v="C5402"/>
        <s v="C5406"/>
        <s v="C5408"/>
        <s v="C5410"/>
        <s v="C5412"/>
        <s v="C5413"/>
        <s v="C5417"/>
        <s v="C5421"/>
        <s v="C5431"/>
        <s v="C5435"/>
        <s v="C5439"/>
        <s v="C5448"/>
        <s v="C5457"/>
        <s v="C5469"/>
        <s v="C5477"/>
        <s v="C5481"/>
        <s v="C5482"/>
        <s v="C5488"/>
        <s v="C5504"/>
        <s v="C5506"/>
        <s v="C5514"/>
        <s v="C5516"/>
        <s v="C5519"/>
        <s v="C5535"/>
        <s v="C5538"/>
        <s v="C5543"/>
        <s v="C5544"/>
        <s v="C5550"/>
        <s v="C5554"/>
        <s v="C5564"/>
        <s v="C5568"/>
        <s v="C5571"/>
        <s v="C5572"/>
        <s v="C5579"/>
        <s v="C5585"/>
        <s v="C5586"/>
        <s v="C5589"/>
        <s v="C5591"/>
        <s v="C5592"/>
        <s v="C5595"/>
        <s v="C5596"/>
        <s v="C5598"/>
        <s v="C5605"/>
        <s v="C5607"/>
        <s v="C5608"/>
        <s v="C5612"/>
        <s v="C5614"/>
        <s v="C5617"/>
        <s v="C5620"/>
        <s v="C5623"/>
        <s v="C5639"/>
        <s v="C5641"/>
        <s v="C5649"/>
        <s v="C5663"/>
        <s v="C5687"/>
        <s v="C5690"/>
        <s v="C5691"/>
        <s v="C5693"/>
        <s v="C5695"/>
        <s v="C5708"/>
        <s v="C5728"/>
        <s v="C5730"/>
        <s v="C5739"/>
        <s v="C5745"/>
        <s v="C5759"/>
        <s v="C5760"/>
        <s v="C5767"/>
        <s v="C5776"/>
        <s v="C5779"/>
        <s v="C5781"/>
        <s v="C5784"/>
        <s v="C5790"/>
        <s v="C5797"/>
        <s v="C5803"/>
        <s v="C5804"/>
        <s v="C5806"/>
        <s v="C5809"/>
        <s v="C5813"/>
        <s v="C5830"/>
        <s v="C5834"/>
        <s v="C5842"/>
        <s v="C5845"/>
        <s v="C5846"/>
        <s v="C5855"/>
        <s v="C5868"/>
        <s v="C5874"/>
        <s v="C5877"/>
        <s v="C5882"/>
        <s v="C5889"/>
        <s v="C5890"/>
        <s v="C5898"/>
        <s v="C5900"/>
        <s v="C5902"/>
        <s v="C5903"/>
        <s v="C5922"/>
        <s v="C5925"/>
        <s v="C5929"/>
        <s v="C5933"/>
        <s v="C5934"/>
        <s v="C5935"/>
        <s v="C5938"/>
        <s v="C5953"/>
        <s v="C5964"/>
        <s v="C5968"/>
        <s v="C5971"/>
        <s v="C5975"/>
        <s v="C5977"/>
        <s v="C5978"/>
        <s v="C5980"/>
        <s v="C5981"/>
        <s v="C5983"/>
        <s v="C5989"/>
        <s v="C5993"/>
        <s v="C5999"/>
        <s v="C6011"/>
        <s v="C6015"/>
        <s v="C6018"/>
        <s v="C6020"/>
        <s v="C6022"/>
        <s v="C6024"/>
        <s v="C6028"/>
        <s v="C6029"/>
        <s v="C6035"/>
        <s v="C6059"/>
        <s v="C6063"/>
        <s v="C6070"/>
        <s v="C6077"/>
        <s v="C6079"/>
        <s v="C6085"/>
        <s v="C6093"/>
        <s v="C6106"/>
        <s v="C6116"/>
        <s v="C6117"/>
        <s v="C6145"/>
        <s v="C6147"/>
        <s v="C6149"/>
        <s v="C6156"/>
        <s v="C6157"/>
        <s v="C6164"/>
        <s v="C6165"/>
        <s v="C6166"/>
        <s v="C6170"/>
        <s v="C6174"/>
        <s v="C6177"/>
        <s v="C6181"/>
        <s v="C6184"/>
        <s v="C6194"/>
        <s v="C6200"/>
        <s v="C6203"/>
        <s v="C6215"/>
        <s v="C6218"/>
        <s v="C6228"/>
        <s v="C6229"/>
        <s v="C6231"/>
        <s v="C6239"/>
        <s v="C6256"/>
        <s v="C6267"/>
        <s v="C6270"/>
        <s v="C6278"/>
        <s v="C6283"/>
        <s v="C6286"/>
        <s v="C6288"/>
        <s v="C6296"/>
        <s v="C6301"/>
        <s v="C6308"/>
        <s v="C6316"/>
        <s v="C6318"/>
        <s v="C6326"/>
        <s v="C6341"/>
        <s v="C6343"/>
        <s v="C6344"/>
        <s v="C6350"/>
        <s v="C6355"/>
        <s v="C6372"/>
        <s v="C6373"/>
        <s v="C6377"/>
        <s v="C6385"/>
        <s v="C6408"/>
        <s v="C6415"/>
        <s v="C6424"/>
        <s v="C6425"/>
        <s v="C6426"/>
        <s v="C6431"/>
        <s v="C6441"/>
        <s v="C6442"/>
        <s v="C6444"/>
        <s v="C6458"/>
        <s v="C6469"/>
        <s v="C6498"/>
        <s v="C6503"/>
        <s v="C6504"/>
        <s v="C6514"/>
        <s v="C6520"/>
        <s v="C6524"/>
        <s v="C6526"/>
        <s v="C6539"/>
        <s v="C6547"/>
        <s v="C6550"/>
        <s v="C6551"/>
        <s v="C6559"/>
        <s v="C6560"/>
        <s v="C6576"/>
        <s v="C6584"/>
        <s v="C6587"/>
        <s v="C6591"/>
        <s v="C6599"/>
        <s v="C6600"/>
        <s v="C6607"/>
        <s v="C6609"/>
        <s v="C6614"/>
        <s v="C6619"/>
        <s v="C6620"/>
        <s v="C6627"/>
        <s v="C6629"/>
        <s v="C6632"/>
        <s v="C6633"/>
        <s v="C6636"/>
        <s v="C6643"/>
        <s v="C6647"/>
        <s v="C6653"/>
        <s v="C6671"/>
        <s v="C6675"/>
        <s v="C6676"/>
        <s v="C6688"/>
        <s v="C6695"/>
        <s v="C6697"/>
        <s v="C6705"/>
        <s v="C6707"/>
        <s v="C6723"/>
        <s v="C6726"/>
        <s v="C6727"/>
        <s v="C6729"/>
        <s v="C6730"/>
        <s v="C6734"/>
        <s v="C6735"/>
        <s v="C6737"/>
        <s v="C6738"/>
        <s v="C6744"/>
        <s v="C6753"/>
        <s v="C6758"/>
        <s v="C6759"/>
        <s v="C6767"/>
        <s v="C6776"/>
        <s v="C6777"/>
        <s v="C6780"/>
        <s v="C6781"/>
        <s v="C6785"/>
        <s v="C6789"/>
        <s v="C6802"/>
        <s v="C6805"/>
        <s v="C6807"/>
        <s v="C6809"/>
        <s v="C6812"/>
        <s v="C6826"/>
        <s v="C6835"/>
        <s v="C6836"/>
        <s v="C6843"/>
        <s v="C6852"/>
        <s v="C6871"/>
        <s v="C6873"/>
        <s v="C6883"/>
        <s v="C6898"/>
        <s v="C6901"/>
        <s v="C6903"/>
        <s v="C6915"/>
        <s v="C6918"/>
        <s v="C6921"/>
        <s v="C6942"/>
        <s v="C6953"/>
        <s v="C6979"/>
        <s v="C6982"/>
        <s v="C6985"/>
        <s v="C6992"/>
        <s v="C6997"/>
        <s v="C7004"/>
        <s v="C7009"/>
        <s v="C7015"/>
        <s v="C7016"/>
        <s v="C7027"/>
        <s v="C7031"/>
        <s v="C7038"/>
        <s v="C7045"/>
        <s v="C7046"/>
        <s v="C7052"/>
        <s v="C7058"/>
        <s v="C7065"/>
        <s v="C7069"/>
        <s v="C7071"/>
        <s v="C7089"/>
        <s v="C7102"/>
        <s v="C7107"/>
        <s v="C7108"/>
        <s v="C7113"/>
        <s v="C7115"/>
        <s v="C7118"/>
        <s v="C7122"/>
        <s v="C7132"/>
        <s v="C7143"/>
        <s v="C7147"/>
        <s v="C7149"/>
        <s v="C7152"/>
        <s v="C7153"/>
        <s v="C7155"/>
        <s v="C7163"/>
        <s v="C7167"/>
        <s v="C7175"/>
        <s v="C7183"/>
        <s v="C7184"/>
        <s v="C7185"/>
        <s v="C7194"/>
        <s v="C7195"/>
        <s v="C7210"/>
        <s v="C7220"/>
        <s v="C7227"/>
        <s v="C7231"/>
        <s v="C7242"/>
        <s v="C7243"/>
        <s v="C7248"/>
        <s v="C7250"/>
        <s v="C7254"/>
        <s v="C7272"/>
        <s v="C7275"/>
        <s v="C7284"/>
        <s v="C7286"/>
        <s v="C7287"/>
        <s v="C7291"/>
        <s v="C7298"/>
        <s v="C7304"/>
        <s v="C7317"/>
        <s v="C7319"/>
        <s v="C7325"/>
        <s v="C7328"/>
        <s v="C7330"/>
        <s v="C7331"/>
        <s v="C7332"/>
        <s v="C7333"/>
        <s v="C7339"/>
        <s v="C7345"/>
        <s v="C7346"/>
        <s v="C7355"/>
        <s v="C7357"/>
        <s v="C7360"/>
        <s v="C7363"/>
        <s v="C7366"/>
        <s v="C7382"/>
        <s v="C7397"/>
        <s v="C7401"/>
        <s v="C7405"/>
        <s v="C7409"/>
        <s v="C7411"/>
        <s v="C7413"/>
        <s v="C7426"/>
        <s v="C7433"/>
        <s v="C7436"/>
        <s v="C7438"/>
        <s v="C7444"/>
        <s v="C7447"/>
        <s v="C7457"/>
        <s v="C7459"/>
        <s v="C7460"/>
        <s v="C7461"/>
        <s v="C7462"/>
        <s v="C7466"/>
        <s v="C7470"/>
        <s v="C7476"/>
        <s v="C7480"/>
        <s v="C7483"/>
        <s v="C7487"/>
        <s v="C7488"/>
        <s v="C7496"/>
        <s v="C7497"/>
        <s v="C7510"/>
        <s v="C7514"/>
        <s v="C7521"/>
        <s v="C7523"/>
        <s v="C7526"/>
        <s v="C7530"/>
        <s v="C7531"/>
        <s v="C7532"/>
        <s v="C7533"/>
        <s v="C7535"/>
        <s v="C7537"/>
        <s v="C7543"/>
        <s v="C7544"/>
        <s v="C7551"/>
        <s v="C7552"/>
        <s v="C7557"/>
        <s v="C7559"/>
        <s v="C7561"/>
        <s v="C7564"/>
        <s v="C7576"/>
        <s v="C7580"/>
        <s v="C7581"/>
        <s v="C7586"/>
        <s v="C7590"/>
        <s v="C7600"/>
        <s v="C7602"/>
        <s v="C7603"/>
        <s v="C7613"/>
        <s v="C7617"/>
        <s v="C7621"/>
        <s v="C7628"/>
        <s v="C7629"/>
        <s v="C7631"/>
        <s v="C7633"/>
        <s v="C7641"/>
        <s v="C7645"/>
        <s v="C7651"/>
        <s v="C7655"/>
        <s v="C7659"/>
        <s v="C7661"/>
        <s v="C7672"/>
        <s v="C7673"/>
        <s v="C7680"/>
        <s v="C7684"/>
        <s v="C7692"/>
        <s v="C7696"/>
        <s v="C7704"/>
        <s v="C7713"/>
        <s v="C7721"/>
        <s v="C7726"/>
        <s v="C7729"/>
        <s v="C7736"/>
        <s v="C7750"/>
        <s v="C7754"/>
        <s v="C7760"/>
        <s v="C7767"/>
        <s v="C7782"/>
        <s v="C7784"/>
        <s v="C7785"/>
        <s v="C7787"/>
        <s v="C7789"/>
        <s v="C7793"/>
        <s v="C7795"/>
        <s v="C7798"/>
        <s v="C7799"/>
        <s v="C7810"/>
        <s v="C7816"/>
        <s v="C7824"/>
        <s v="C7830"/>
        <s v="C7838"/>
        <s v="C7846"/>
        <s v="C7855"/>
        <s v="C7859"/>
        <s v="C7866"/>
        <s v="C7878"/>
        <s v="C7884"/>
        <s v="C7891"/>
        <s v="C7895"/>
        <s v="C7896"/>
        <s v="C7897"/>
        <s v="C7899"/>
        <s v="C7900"/>
        <s v="C7903"/>
        <s v="C7916"/>
        <s v="C7924"/>
        <s v="C7925"/>
        <s v="C7931"/>
        <s v="C7956"/>
        <s v="C7988"/>
        <s v="C7989"/>
        <s v="C7994"/>
        <s v="C7999"/>
        <s v="C8001"/>
        <s v="C8014"/>
        <s v="C8021"/>
        <s v="C8030"/>
        <s v="C8033"/>
        <s v="C8036"/>
        <s v="C8044"/>
        <s v="C8052"/>
        <s v="C8053"/>
        <s v="C8055"/>
        <s v="C8065"/>
        <s v="C8067"/>
        <s v="C8072"/>
        <s v="C8077"/>
        <s v="C8085"/>
        <s v="C8088"/>
        <s v="C8097"/>
        <s v="C8098"/>
        <s v="C8104"/>
        <s v="C8109"/>
        <s v="C8117"/>
        <s v="C8121"/>
        <s v="C8124"/>
        <s v="C8133"/>
        <s v="C8138"/>
        <s v="C8156"/>
        <s v="C8158"/>
        <s v="C8160"/>
        <s v="C8164"/>
        <s v="C8169"/>
        <s v="C8176"/>
        <s v="C8199"/>
        <s v="C8201"/>
        <s v="C8203"/>
        <s v="C8205"/>
        <s v="C8210"/>
        <s v="C8214"/>
        <s v="C8217"/>
        <s v="C8220"/>
        <s v="C8228"/>
        <s v="C8229"/>
        <s v="C8230"/>
        <s v="C8236"/>
        <s v="C8238"/>
        <s v="C8244"/>
        <s v="C8245"/>
        <s v="C8246"/>
        <s v="C8247"/>
        <s v="C8254"/>
        <s v="C8257"/>
        <s v="C8260"/>
        <s v="C8263"/>
        <s v="C8267"/>
        <s v="C8269"/>
        <s v="C8272"/>
        <s v="C8283"/>
        <s v="C8285"/>
        <s v="C8292"/>
        <s v="C8293"/>
        <s v="C8295"/>
        <s v="C8296"/>
        <s v="C8297"/>
        <s v="C8299"/>
        <s v="C8303"/>
        <s v="C8311"/>
        <s v="C8318"/>
        <s v="C8319"/>
        <s v="C8322"/>
        <s v="C8327"/>
        <s v="C8328"/>
        <s v="C8333"/>
        <s v="C8338"/>
        <s v="C8351"/>
        <s v="C8360"/>
        <s v="C8366"/>
        <s v="C8372"/>
        <s v="C8382"/>
        <s v="C8383"/>
        <s v="C8392"/>
        <s v="C8406"/>
        <s v="C8417"/>
        <s v="C8428"/>
        <s v="C8440"/>
        <s v="C8444"/>
        <s v="C8446"/>
        <s v="C8449"/>
        <s v="C8455"/>
        <s v="C8457"/>
        <s v="C8469"/>
        <s v="C8474"/>
        <s v="C8476"/>
        <s v="C8480"/>
        <s v="C8484"/>
        <s v="C8486"/>
        <s v="C8496"/>
        <s v="C8498"/>
        <s v="C8504"/>
        <s v="C8507"/>
        <s v="C8509"/>
        <s v="C8515"/>
        <s v="C8523"/>
        <s v="C8532"/>
        <s v="C8554"/>
        <s v="C8555"/>
        <s v="C8563"/>
        <s v="C8564"/>
        <s v="C8571"/>
        <s v="C8574"/>
        <s v="C8575"/>
        <s v="C8577"/>
        <s v="C8579"/>
        <s v="C8590"/>
        <s v="C8605"/>
        <s v="C8618"/>
        <s v="C8622"/>
        <s v="C8628"/>
        <s v="C8639"/>
        <s v="C8642"/>
        <s v="C8648"/>
        <s v="C8651"/>
        <s v="C8663"/>
        <s v="C8668"/>
        <s v="C8670"/>
        <s v="C8694"/>
        <s v="C8697"/>
        <s v="C8702"/>
        <s v="C8704"/>
        <s v="C8711"/>
        <s v="C8718"/>
        <s v="C8723"/>
        <s v="C8727"/>
        <s v="C8730"/>
        <s v="C8736"/>
        <s v="C8739"/>
        <s v="C8741"/>
        <s v="C8746"/>
        <s v="C8750"/>
        <s v="C8751"/>
        <s v="C8755"/>
        <s v="C8762"/>
        <s v="C8768"/>
        <s v="C8774"/>
        <s v="C8777"/>
        <s v="C8780"/>
        <s v="C8781"/>
        <s v="C8788"/>
        <s v="C8789"/>
        <s v="C8794"/>
        <s v="C8795"/>
        <s v="C8796"/>
        <s v="C8799"/>
        <s v="C8813"/>
        <s v="C8814"/>
        <s v="C8827"/>
        <s v="C8829"/>
        <s v="C8831"/>
        <s v="C8851"/>
        <s v="C8856"/>
        <s v="C8863"/>
        <s v="C8869"/>
        <s v="C8871"/>
        <s v="C8877"/>
        <s v="C8884"/>
        <s v="C8888"/>
        <s v="C8889"/>
        <s v="C8912"/>
        <s v="C8923"/>
        <s v="C8933"/>
        <s v="C8940"/>
        <s v="C8946"/>
        <s v="C8964"/>
        <s v="C8966"/>
        <s v="C8970"/>
        <s v="C8981"/>
        <s v="C8986"/>
        <s v="C8987"/>
        <s v="C8988"/>
        <s v="C8995"/>
        <s v="C8997"/>
        <s v="C9000"/>
        <s v="C9006"/>
        <s v="C9008"/>
        <s v="C9009"/>
        <s v="C9011"/>
        <s v="C9015"/>
        <s v="C9019"/>
        <s v="C9021"/>
        <s v="C9032"/>
        <s v="C9033"/>
        <s v="C9034"/>
        <s v="C9037"/>
        <s v="C9039"/>
        <s v="C9040"/>
        <s v="C9052"/>
        <s v="C9074"/>
        <s v="C9075"/>
        <s v="C9078"/>
        <s v="C9079"/>
        <s v="C9093"/>
        <s v="C9094"/>
        <s v="C9097"/>
        <s v="C9098"/>
        <s v="C9101"/>
        <s v="C9129"/>
        <s v="C9130"/>
        <s v="C9136"/>
        <s v="C9137"/>
        <s v="C9150"/>
        <s v="C9154"/>
        <s v="C9157"/>
        <s v="C9159"/>
        <s v="C9163"/>
        <s v="C9164"/>
        <s v="C9172"/>
        <s v="C9173"/>
        <s v="C9175"/>
        <s v="C9176"/>
        <s v="C9194"/>
        <s v="C9206"/>
        <s v="C9209"/>
        <s v="C9217"/>
        <s v="C9222"/>
        <s v="C9225"/>
        <s v="C9229"/>
        <s v="C9237"/>
        <s v="C9244"/>
        <s v="C9248"/>
        <s v="C9251"/>
        <s v="C9254"/>
        <s v="C9264"/>
        <s v="C9267"/>
        <s v="C9268"/>
        <s v="C9269"/>
        <s v="C9275"/>
        <s v="C9295"/>
        <s v="C9307"/>
        <s v="C9312"/>
        <s v="C9318"/>
        <s v="C9323"/>
        <s v="C9324"/>
        <s v="C9328"/>
        <s v="C9329"/>
        <s v="C9330"/>
        <s v="C9332"/>
        <s v="C9336"/>
        <s v="C9337"/>
        <s v="C9345"/>
        <s v="C9356"/>
        <s v="C9367"/>
        <s v="C9376"/>
        <s v="C9390"/>
        <s v="C9401"/>
        <s v="C9406"/>
        <s v="C9421"/>
        <s v="C9428"/>
        <s v="C9443"/>
        <s v="C9446"/>
        <s v="C9453"/>
        <s v="C9464"/>
        <s v="C9472"/>
        <s v="C9484"/>
        <s v="C9486"/>
        <s v="C9488"/>
        <s v="C9505"/>
        <s v="C9511"/>
        <s v="C9517"/>
        <s v="C9524"/>
        <s v="C9528"/>
        <s v="C9533"/>
        <s v="C9534"/>
        <s v="C9541"/>
        <s v="C9545"/>
        <s v="C9553"/>
        <s v="C9554"/>
        <s v="C9559"/>
        <s v="C9561"/>
        <s v="C9564"/>
        <s v="C9569"/>
        <s v="C9570"/>
        <s v="C9577"/>
        <s v="C9578"/>
        <s v="C9579"/>
        <s v="C9581"/>
        <s v="C9590"/>
        <s v="C9593"/>
        <s v="C9595"/>
        <s v="C9606"/>
        <s v="C9608"/>
        <s v="C9614"/>
        <s v="C9617"/>
        <s v="C9618"/>
        <s v="C9620"/>
        <s v="C9622"/>
        <s v="C9624"/>
        <s v="C9625"/>
        <s v="C9628"/>
        <s v="C9636"/>
        <s v="C9640"/>
        <s v="C9641"/>
        <s v="C9650"/>
        <s v="C9667"/>
        <s v="C9670"/>
        <s v="C9678"/>
        <s v="C9680"/>
        <s v="C9685"/>
        <s v="C9693"/>
        <s v="C9700"/>
        <s v="C9702"/>
        <s v="C9706"/>
        <s v="C9709"/>
        <s v="C9710"/>
        <s v="C9712"/>
        <s v="C9717"/>
        <s v="C9723"/>
        <s v="C9725"/>
        <s v="C9739"/>
        <s v="C9742"/>
        <s v="C9749"/>
        <s v="C9750"/>
        <s v="C9756"/>
        <s v="C9760"/>
        <s v="C9767"/>
        <s v="C9771"/>
        <s v="C9792"/>
        <s v="C9797"/>
        <s v="C9800"/>
        <s v="C9803"/>
        <s v="C9806"/>
        <s v="C9808"/>
        <s v="C9811"/>
        <s v="C9813"/>
        <s v="C9814"/>
        <s v="C9822"/>
        <s v="C9835"/>
        <s v="C9841"/>
        <s v="C9853"/>
        <s v="C9857"/>
        <s v="C9859"/>
        <s v="C9880"/>
        <s v="C9893"/>
        <s v="C9898"/>
        <s v="C9901"/>
        <s v="C9904"/>
        <s v="C9907"/>
        <s v="C9913"/>
        <s v="C9916"/>
        <s v="C9923"/>
        <s v="C9925"/>
        <s v="C9947"/>
        <s v="C9957"/>
        <s v="C9958"/>
        <s v="C9960"/>
        <s v="C9965"/>
        <s v="C9972"/>
        <s v="C9976"/>
        <s v="C9984"/>
        <s v="C9986"/>
        <s v="C9993"/>
      </sharedItems>
    </cacheField>
    <cacheField name="Product" numFmtId="0">
      <sharedItems count="7">
        <s v="Laptop"/>
        <s v="Printer"/>
        <s v="Chair"/>
        <s v="Phone"/>
        <s v="Desk"/>
        <s v="Monitor"/>
        <s v="Tablet"/>
      </sharedItems>
    </cacheField>
    <cacheField name="Purchas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May"/>
        <s v="Jun"/>
        <s v="Jul"/>
        <s v="Oct"/>
        <s v="Apr"/>
        <s v="Aug"/>
        <s v="Dec"/>
        <s v="Nov"/>
        <s v="Feb"/>
        <s v="Mar"/>
        <s v="Sep"/>
      </sharedItems>
    </cacheField>
    <cacheField name="Quantity" numFmtId="0">
      <sharedItems containsSemiMixedTypes="0" containsString="0" containsNumber="1" containsInteger="1" minValue="1" maxValue="8" count="8">
        <n v="8"/>
        <n v="3"/>
        <n v="6"/>
        <n v="5"/>
        <n v="1"/>
        <n v="2"/>
        <n v="7"/>
        <n v="4"/>
      </sharedItems>
    </cacheField>
    <cacheField name="UnitPrice" numFmtId="0">
      <sharedItems containsSemiMixedTypes="0" containsString="0" containsNumber="1" minValue="5.18" maxValue="799.91"/>
    </cacheField>
    <cacheField name="CustomerName" numFmtId="0">
      <sharedItems/>
    </cacheField>
    <cacheField name="ProductCategory" numFmtId="0">
      <sharedItems count="3">
        <s v="Office Supplies"/>
        <s v="Electronics"/>
        <s v="Furniture"/>
      </sharedItems>
    </cacheField>
    <cacheField name="PaymentMethod" numFmtId="0">
      <sharedItems count="5">
        <s v="Cash"/>
        <s v="Credit Card"/>
        <s v="Gift Card"/>
        <s v="Online"/>
        <s v="Debit Card"/>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acheField>
  </cacheFields>
  <extLst>
    <ext xmlns:x14="http://schemas.microsoft.com/office/spreadsheetml/2009/9/main" uri="{725AE2AE-9491-48be-B2B4-4EB974FC3084}">
      <x14:pivotCacheDefinition pivotCacheId="970865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d v="2024-03-05T00:00:00"/>
    <n v="2024"/>
    <s v="Q1"/>
    <n v="3"/>
    <s v="Mar"/>
    <n v="8"/>
    <n v="618.83000000000004"/>
    <x v="0"/>
    <s v="Office Supplies"/>
    <s v="Cash"/>
    <n v="1"/>
    <x v="0"/>
  </r>
  <r>
    <x v="1"/>
    <x v="1"/>
    <d v="2025-06-21T00:00:00"/>
    <n v="2025"/>
    <s v="Q2"/>
    <n v="6"/>
    <s v="Jun"/>
    <n v="7"/>
    <n v="366.22"/>
    <x v="1"/>
    <s v="Electronics"/>
    <s v="Debit Card"/>
    <n v="3"/>
    <x v="1"/>
  </r>
  <r>
    <x v="2"/>
    <x v="2"/>
    <d v="2023-06-25T00:00:00"/>
    <n v="2023"/>
    <s v="Q2"/>
    <n v="6"/>
    <s v="Jun"/>
    <n v="5"/>
    <n v="634.51"/>
    <x v="2"/>
    <s v="Office Supplies"/>
    <s v="Credit Card"/>
    <n v="4"/>
    <x v="2"/>
  </r>
  <r>
    <x v="3"/>
    <x v="3"/>
    <d v="2023-09-30T00:00:00"/>
    <n v="2023"/>
    <s v="Q3"/>
    <n v="9"/>
    <s v="Sep"/>
    <n v="3"/>
    <n v="508.63"/>
    <x v="3"/>
    <s v="Office Supplies"/>
    <s v="Gift Card"/>
    <n v="1"/>
    <x v="3"/>
  </r>
  <r>
    <x v="4"/>
    <x v="4"/>
    <d v="2023-04-03T00:00:00"/>
    <n v="2023"/>
    <s v="Q2"/>
    <n v="4"/>
    <s v="Apr"/>
    <n v="4"/>
    <n v="452.06"/>
    <x v="4"/>
    <s v="Electronics"/>
    <s v="Credit Card"/>
    <n v="2"/>
    <x v="4"/>
  </r>
  <r>
    <x v="5"/>
    <x v="2"/>
    <d v="2023-04-11T00:00:00"/>
    <n v="2023"/>
    <s v="Q2"/>
    <n v="4"/>
    <s v="Apr"/>
    <n v="3"/>
    <n v="209.79"/>
    <x v="5"/>
    <s v="Office Supplies"/>
    <s v="Gift Card"/>
    <n v="1"/>
    <x v="5"/>
  </r>
  <r>
    <x v="6"/>
    <x v="5"/>
    <d v="2024-06-19T00:00:00"/>
    <n v="2024"/>
    <s v="Q2"/>
    <n v="6"/>
    <s v="Jun"/>
    <n v="3"/>
    <n v="88.74"/>
    <x v="6"/>
    <s v="Office Supplies"/>
    <s v="Debit Card"/>
    <n v="3"/>
    <x v="6"/>
  </r>
  <r>
    <x v="7"/>
    <x v="2"/>
    <d v="2023-08-16T00:00:00"/>
    <n v="2023"/>
    <s v="Q3"/>
    <n v="8"/>
    <s v="Aug"/>
    <n v="8"/>
    <n v="273.92"/>
    <x v="7"/>
    <s v="Furniture"/>
    <s v="Credit Card"/>
    <n v="2"/>
    <x v="7"/>
  </r>
  <r>
    <x v="8"/>
    <x v="4"/>
    <d v="2023-02-11T00:00:00"/>
    <n v="2023"/>
    <s v="Q1"/>
    <n v="2"/>
    <s v="Feb"/>
    <n v="6"/>
    <n v="718.79"/>
    <x v="8"/>
    <s v="Electronics"/>
    <s v="Gift Card"/>
    <n v="3"/>
    <x v="8"/>
  </r>
  <r>
    <x v="9"/>
    <x v="6"/>
    <d v="2025-06-14T00:00:00"/>
    <n v="2025"/>
    <s v="Q2"/>
    <n v="6"/>
    <s v="Jun"/>
    <n v="7"/>
    <n v="100.37"/>
    <x v="9"/>
    <s v="Office Supplies"/>
    <s v="Debit Card"/>
    <n v="4"/>
    <x v="9"/>
  </r>
  <r>
    <x v="10"/>
    <x v="5"/>
    <d v="2023-09-24T00:00:00"/>
    <n v="2023"/>
    <s v="Q3"/>
    <n v="9"/>
    <s v="Sep"/>
    <n v="2"/>
    <n v="453.05"/>
    <x v="10"/>
    <s v="Electronics"/>
    <s v="Credit Card"/>
    <n v="4"/>
    <x v="10"/>
  </r>
  <r>
    <x v="11"/>
    <x v="5"/>
    <d v="2025-04-25T00:00:00"/>
    <n v="2025"/>
    <s v="Q2"/>
    <n v="4"/>
    <s v="Apr"/>
    <n v="7"/>
    <n v="528.22"/>
    <x v="11"/>
    <s v="Furniture"/>
    <s v="Debit Card"/>
    <n v="4"/>
    <x v="11"/>
  </r>
  <r>
    <x v="12"/>
    <x v="1"/>
    <d v="2024-09-28T00:00:00"/>
    <n v="2024"/>
    <s v="Q3"/>
    <n v="9"/>
    <s v="Sep"/>
    <n v="1"/>
    <n v="539.66999999999996"/>
    <x v="12"/>
    <s v="Furniture"/>
    <s v="Cash"/>
    <n v="3"/>
    <x v="12"/>
  </r>
  <r>
    <x v="13"/>
    <x v="0"/>
    <d v="2025-01-26T00:00:00"/>
    <n v="2025"/>
    <s v="Q1"/>
    <n v="1"/>
    <s v="Jan"/>
    <n v="2"/>
    <n v="797.46"/>
    <x v="13"/>
    <s v="Electronics"/>
    <s v="Credit Card"/>
    <n v="3"/>
    <x v="13"/>
  </r>
  <r>
    <x v="14"/>
    <x v="0"/>
    <d v="2023-11-16T00:00:00"/>
    <n v="2023"/>
    <s v="Q4"/>
    <n v="11"/>
    <s v="Nov"/>
    <n v="8"/>
    <n v="283.94"/>
    <x v="14"/>
    <s v="Electronics"/>
    <s v="Cash"/>
    <n v="1"/>
    <x v="14"/>
  </r>
  <r>
    <x v="15"/>
    <x v="1"/>
    <d v="2024-11-20T00:00:00"/>
    <n v="2024"/>
    <s v="Q4"/>
    <n v="11"/>
    <s v="Nov"/>
    <n v="8"/>
    <n v="569.55999999999995"/>
    <x v="15"/>
    <s v="Electronics"/>
    <s v="Debit Card"/>
    <n v="5"/>
    <x v="15"/>
  </r>
  <r>
    <x v="16"/>
    <x v="0"/>
    <d v="2023-09-06T00:00:00"/>
    <n v="2023"/>
    <s v="Q3"/>
    <n v="9"/>
    <s v="Sep"/>
    <n v="5"/>
    <n v="467.51"/>
    <x v="16"/>
    <s v="Furniture"/>
    <s v="Online"/>
    <n v="2"/>
    <x v="16"/>
  </r>
  <r>
    <x v="17"/>
    <x v="4"/>
    <d v="2024-12-01T00:00:00"/>
    <n v="2024"/>
    <s v="Q4"/>
    <n v="12"/>
    <s v="Dec"/>
    <n v="5"/>
    <n v="600.51"/>
    <x v="17"/>
    <s v="Electronics"/>
    <s v="Debit Card"/>
    <n v="4"/>
    <x v="17"/>
  </r>
  <r>
    <x v="18"/>
    <x v="6"/>
    <d v="2024-10-12T00:00:00"/>
    <n v="2024"/>
    <s v="Q4"/>
    <n v="10"/>
    <s v="Oct"/>
    <n v="7"/>
    <n v="6.92"/>
    <x v="18"/>
    <s v="Office Supplies"/>
    <s v="Gift Card"/>
    <n v="5"/>
    <x v="18"/>
  </r>
  <r>
    <x v="19"/>
    <x v="4"/>
    <d v="2023-09-29T00:00:00"/>
    <n v="2023"/>
    <s v="Q3"/>
    <n v="9"/>
    <s v="Sep"/>
    <n v="3"/>
    <n v="194.81"/>
    <x v="19"/>
    <s v="Furniture"/>
    <s v="Cash"/>
    <n v="5"/>
    <x v="19"/>
  </r>
  <r>
    <x v="20"/>
    <x v="2"/>
    <d v="2024-06-15T00:00:00"/>
    <n v="2024"/>
    <s v="Q2"/>
    <n v="6"/>
    <s v="Jun"/>
    <n v="2"/>
    <n v="559.15"/>
    <x v="20"/>
    <s v="Office Supplies"/>
    <s v="Online"/>
    <n v="1"/>
    <x v="20"/>
  </r>
  <r>
    <x v="21"/>
    <x v="5"/>
    <d v="2024-10-09T00:00:00"/>
    <n v="2024"/>
    <s v="Q4"/>
    <n v="10"/>
    <s v="Oct"/>
    <n v="3"/>
    <n v="224.5"/>
    <x v="21"/>
    <s v="Furniture"/>
    <s v="Debit Card"/>
    <n v="5"/>
    <x v="21"/>
  </r>
  <r>
    <x v="22"/>
    <x v="2"/>
    <d v="2024-01-03T00:00:00"/>
    <n v="2024"/>
    <s v="Q1"/>
    <n v="1"/>
    <s v="Jan"/>
    <n v="2"/>
    <n v="749.32"/>
    <x v="22"/>
    <s v="Furniture"/>
    <s v="Credit Card"/>
    <n v="3"/>
    <x v="22"/>
  </r>
  <r>
    <x v="23"/>
    <x v="1"/>
    <d v="2024-06-11T00:00:00"/>
    <n v="2024"/>
    <s v="Q2"/>
    <n v="6"/>
    <s v="Jun"/>
    <n v="2"/>
    <n v="492.58"/>
    <x v="23"/>
    <s v="Furniture"/>
    <s v="Cash"/>
    <n v="5"/>
    <x v="23"/>
  </r>
  <r>
    <x v="24"/>
    <x v="3"/>
    <d v="2024-08-22T00:00:00"/>
    <n v="2024"/>
    <s v="Q3"/>
    <n v="8"/>
    <s v="Aug"/>
    <n v="2"/>
    <n v="148.12"/>
    <x v="24"/>
    <s v="Furniture"/>
    <s v="Debit Card"/>
    <n v="5"/>
    <x v="24"/>
  </r>
  <r>
    <x v="25"/>
    <x v="1"/>
    <d v="2024-08-18T00:00:00"/>
    <n v="2024"/>
    <s v="Q3"/>
    <n v="8"/>
    <s v="Aug"/>
    <n v="7"/>
    <n v="705.72"/>
    <x v="25"/>
    <s v="Furniture"/>
    <s v="Credit Card"/>
    <n v="4"/>
    <x v="25"/>
  </r>
  <r>
    <x v="26"/>
    <x v="6"/>
    <d v="2023-12-29T00:00:00"/>
    <n v="2023"/>
    <s v="Q4"/>
    <n v="12"/>
    <s v="Dec"/>
    <n v="1"/>
    <n v="157.44999999999999"/>
    <x v="26"/>
    <s v="Furniture"/>
    <s v="Gift Card"/>
    <n v="2"/>
    <x v="26"/>
  </r>
  <r>
    <x v="27"/>
    <x v="1"/>
    <d v="2025-02-09T00:00:00"/>
    <n v="2025"/>
    <s v="Q1"/>
    <n v="2"/>
    <s v="Feb"/>
    <n v="2"/>
    <n v="584.04999999999995"/>
    <x v="27"/>
    <s v="Office Supplies"/>
    <s v="Credit Card"/>
    <n v="4"/>
    <x v="27"/>
  </r>
  <r>
    <x v="28"/>
    <x v="0"/>
    <d v="2024-10-24T00:00:00"/>
    <n v="2024"/>
    <s v="Q4"/>
    <n v="10"/>
    <s v="Oct"/>
    <n v="8"/>
    <n v="267.56"/>
    <x v="28"/>
    <s v="Office Supplies"/>
    <s v="Debit Card"/>
    <n v="2"/>
    <x v="28"/>
  </r>
  <r>
    <x v="29"/>
    <x v="4"/>
    <d v="2024-09-13T00:00:00"/>
    <n v="2024"/>
    <s v="Q3"/>
    <n v="9"/>
    <s v="Sep"/>
    <n v="2"/>
    <n v="756.45"/>
    <x v="29"/>
    <s v="Furniture"/>
    <s v="Credit Card"/>
    <n v="2"/>
    <x v="29"/>
  </r>
  <r>
    <x v="30"/>
    <x v="0"/>
    <d v="2023-05-18T00:00:00"/>
    <n v="2023"/>
    <s v="Q2"/>
    <n v="5"/>
    <s v="May"/>
    <n v="2"/>
    <n v="121.84"/>
    <x v="30"/>
    <s v="Office Supplies"/>
    <s v="Debit Card"/>
    <n v="1"/>
    <x v="30"/>
  </r>
  <r>
    <x v="31"/>
    <x v="0"/>
    <d v="2025-01-03T00:00:00"/>
    <n v="2025"/>
    <s v="Q1"/>
    <n v="1"/>
    <s v="Jan"/>
    <n v="2"/>
    <n v="219.1"/>
    <x v="31"/>
    <s v="Office Supplies"/>
    <s v="Cash"/>
    <n v="5"/>
    <x v="31"/>
  </r>
  <r>
    <x v="32"/>
    <x v="2"/>
    <d v="2023-07-28T00:00:00"/>
    <n v="2023"/>
    <s v="Q3"/>
    <n v="7"/>
    <s v="Jul"/>
    <n v="4"/>
    <n v="322.31"/>
    <x v="32"/>
    <s v="Electronics"/>
    <s v="Debit Card"/>
    <n v="3"/>
    <x v="32"/>
  </r>
  <r>
    <x v="33"/>
    <x v="1"/>
    <d v="2023-03-22T00:00:00"/>
    <n v="2023"/>
    <s v="Q1"/>
    <n v="3"/>
    <s v="Mar"/>
    <n v="3"/>
    <n v="477.77"/>
    <x v="33"/>
    <s v="Furniture"/>
    <s v="Cash"/>
    <n v="1"/>
    <x v="33"/>
  </r>
  <r>
    <x v="34"/>
    <x v="4"/>
    <d v="2023-10-29T00:00:00"/>
    <n v="2023"/>
    <s v="Q4"/>
    <n v="10"/>
    <s v="Oct"/>
    <n v="1"/>
    <n v="45.88"/>
    <x v="34"/>
    <s v="Office Supplies"/>
    <s v="Credit Card"/>
    <n v="4"/>
    <x v="34"/>
  </r>
  <r>
    <x v="35"/>
    <x v="3"/>
    <d v="2024-03-21T00:00:00"/>
    <n v="2024"/>
    <s v="Q1"/>
    <n v="3"/>
    <s v="Mar"/>
    <n v="3"/>
    <n v="185.15"/>
    <x v="35"/>
    <s v="Office Supplies"/>
    <s v="Cash"/>
    <n v="1"/>
    <x v="35"/>
  </r>
  <r>
    <x v="36"/>
    <x v="1"/>
    <d v="2023-03-15T00:00:00"/>
    <n v="2023"/>
    <s v="Q1"/>
    <n v="3"/>
    <s v="Mar"/>
    <n v="3"/>
    <n v="562.1"/>
    <x v="36"/>
    <s v="Office Supplies"/>
    <s v="Gift Card"/>
    <n v="1"/>
    <x v="36"/>
  </r>
  <r>
    <x v="37"/>
    <x v="1"/>
    <d v="2025-02-21T00:00:00"/>
    <n v="2025"/>
    <s v="Q1"/>
    <n v="2"/>
    <s v="Feb"/>
    <n v="3"/>
    <n v="142.41"/>
    <x v="37"/>
    <s v="Office Supplies"/>
    <s v="Gift Card"/>
    <n v="1"/>
    <x v="37"/>
  </r>
  <r>
    <x v="38"/>
    <x v="1"/>
    <d v="2023-01-03T00:00:00"/>
    <n v="2023"/>
    <s v="Q1"/>
    <n v="1"/>
    <s v="Jan"/>
    <n v="7"/>
    <n v="422.55"/>
    <x v="38"/>
    <s v="Furniture"/>
    <s v="Cash"/>
    <n v="1"/>
    <x v="38"/>
  </r>
  <r>
    <x v="39"/>
    <x v="4"/>
    <d v="2024-02-01T00:00:00"/>
    <n v="2024"/>
    <s v="Q1"/>
    <n v="2"/>
    <s v="Feb"/>
    <n v="4"/>
    <n v="442.91"/>
    <x v="39"/>
    <s v="Furniture"/>
    <s v="Credit Card"/>
    <n v="5"/>
    <x v="39"/>
  </r>
  <r>
    <x v="40"/>
    <x v="1"/>
    <d v="2024-08-18T00:00:00"/>
    <n v="2024"/>
    <s v="Q3"/>
    <n v="8"/>
    <s v="Aug"/>
    <n v="8"/>
    <n v="35"/>
    <x v="40"/>
    <s v="Electronics"/>
    <s v="Credit Card"/>
    <n v="4"/>
    <x v="40"/>
  </r>
  <r>
    <x v="41"/>
    <x v="6"/>
    <d v="2024-12-06T00:00:00"/>
    <n v="2024"/>
    <s v="Q4"/>
    <n v="12"/>
    <s v="Dec"/>
    <n v="5"/>
    <n v="242.27"/>
    <x v="41"/>
    <s v="Electronics"/>
    <s v="Cash"/>
    <n v="5"/>
    <x v="41"/>
  </r>
  <r>
    <x v="42"/>
    <x v="1"/>
    <d v="2023-03-27T00:00:00"/>
    <n v="2023"/>
    <s v="Q1"/>
    <n v="3"/>
    <s v="Mar"/>
    <n v="6"/>
    <n v="354.48"/>
    <x v="42"/>
    <s v="Office Supplies"/>
    <s v="Gift Card"/>
    <n v="5"/>
    <x v="42"/>
  </r>
  <r>
    <x v="43"/>
    <x v="6"/>
    <d v="2024-11-24T00:00:00"/>
    <n v="2024"/>
    <s v="Q4"/>
    <n v="11"/>
    <s v="Nov"/>
    <n v="8"/>
    <n v="268.22000000000003"/>
    <x v="43"/>
    <s v="Office Supplies"/>
    <s v="Debit Card"/>
    <n v="2"/>
    <x v="43"/>
  </r>
  <r>
    <x v="44"/>
    <x v="1"/>
    <d v="2024-04-30T00:00:00"/>
    <n v="2024"/>
    <s v="Q2"/>
    <n v="4"/>
    <s v="Apr"/>
    <n v="2"/>
    <n v="208.61"/>
    <x v="44"/>
    <s v="Electronics"/>
    <s v="Cash"/>
    <n v="2"/>
    <x v="44"/>
  </r>
  <r>
    <x v="45"/>
    <x v="6"/>
    <d v="2023-03-12T00:00:00"/>
    <n v="2023"/>
    <s v="Q1"/>
    <n v="3"/>
    <s v="Mar"/>
    <n v="4"/>
    <n v="108.63"/>
    <x v="45"/>
    <s v="Office Supplies"/>
    <s v="Gift Card"/>
    <n v="3"/>
    <x v="45"/>
  </r>
  <r>
    <x v="46"/>
    <x v="4"/>
    <d v="2024-08-10T00:00:00"/>
    <n v="2024"/>
    <s v="Q3"/>
    <n v="8"/>
    <s v="Aug"/>
    <n v="8"/>
    <n v="164.45"/>
    <x v="46"/>
    <s v="Electronics"/>
    <s v="Credit Card"/>
    <n v="2"/>
    <x v="46"/>
  </r>
  <r>
    <x v="47"/>
    <x v="5"/>
    <d v="2025-04-05T00:00:00"/>
    <n v="2025"/>
    <s v="Q2"/>
    <n v="4"/>
    <s v="Apr"/>
    <n v="8"/>
    <n v="207.35"/>
    <x v="47"/>
    <s v="Office Supplies"/>
    <s v="Credit Card"/>
    <n v="5"/>
    <x v="47"/>
  </r>
  <r>
    <x v="48"/>
    <x v="5"/>
    <d v="2025-06-20T00:00:00"/>
    <n v="2025"/>
    <s v="Q2"/>
    <n v="6"/>
    <s v="Jun"/>
    <n v="5"/>
    <n v="223.34"/>
    <x v="48"/>
    <s v="Electronics"/>
    <s v="Online"/>
    <n v="2"/>
    <x v="48"/>
  </r>
  <r>
    <x v="49"/>
    <x v="1"/>
    <d v="2023-03-19T00:00:00"/>
    <n v="2023"/>
    <s v="Q1"/>
    <n v="3"/>
    <s v="Mar"/>
    <n v="8"/>
    <n v="193.52"/>
    <x v="49"/>
    <s v="Furniture"/>
    <s v="Cash"/>
    <n v="4"/>
    <x v="49"/>
  </r>
  <r>
    <x v="50"/>
    <x v="5"/>
    <d v="2023-12-19T00:00:00"/>
    <n v="2023"/>
    <s v="Q4"/>
    <n v="12"/>
    <s v="Dec"/>
    <n v="8"/>
    <n v="446.4"/>
    <x v="50"/>
    <s v="Electronics"/>
    <s v="Credit Card"/>
    <n v="3"/>
    <x v="50"/>
  </r>
  <r>
    <x v="51"/>
    <x v="3"/>
    <d v="2023-02-14T00:00:00"/>
    <n v="2023"/>
    <s v="Q1"/>
    <n v="2"/>
    <s v="Feb"/>
    <n v="4"/>
    <n v="77.48"/>
    <x v="51"/>
    <s v="Office Supplies"/>
    <s v="Cash"/>
    <n v="2"/>
    <x v="51"/>
  </r>
  <r>
    <x v="52"/>
    <x v="5"/>
    <d v="2025-03-08T00:00:00"/>
    <n v="2025"/>
    <s v="Q1"/>
    <n v="3"/>
    <s v="Mar"/>
    <n v="7"/>
    <n v="283.8"/>
    <x v="52"/>
    <s v="Furniture"/>
    <s v="Credit Card"/>
    <n v="5"/>
    <x v="52"/>
  </r>
  <r>
    <x v="53"/>
    <x v="5"/>
    <d v="2023-09-02T00:00:00"/>
    <n v="2023"/>
    <s v="Q3"/>
    <n v="9"/>
    <s v="Sep"/>
    <n v="5"/>
    <n v="696.64"/>
    <x v="53"/>
    <s v="Electronics"/>
    <s v="Gift Card"/>
    <n v="1"/>
    <x v="53"/>
  </r>
  <r>
    <x v="54"/>
    <x v="6"/>
    <d v="2024-04-16T00:00:00"/>
    <n v="2024"/>
    <s v="Q2"/>
    <n v="4"/>
    <s v="Apr"/>
    <n v="4"/>
    <n v="102.51"/>
    <x v="54"/>
    <s v="Electronics"/>
    <s v="Online"/>
    <n v="4"/>
    <x v="54"/>
  </r>
  <r>
    <x v="55"/>
    <x v="3"/>
    <d v="2023-06-17T00:00:00"/>
    <n v="2023"/>
    <s v="Q2"/>
    <n v="6"/>
    <s v="Jun"/>
    <n v="5"/>
    <n v="532.44000000000005"/>
    <x v="55"/>
    <s v="Office Supplies"/>
    <s v="Gift Card"/>
    <n v="1"/>
    <x v="55"/>
  </r>
  <r>
    <x v="56"/>
    <x v="3"/>
    <d v="2024-07-20T00:00:00"/>
    <n v="2024"/>
    <s v="Q3"/>
    <n v="7"/>
    <s v="Jul"/>
    <n v="1"/>
    <n v="551.09"/>
    <x v="56"/>
    <s v="Electronics"/>
    <s v="Cash"/>
    <n v="5"/>
    <x v="56"/>
  </r>
  <r>
    <x v="57"/>
    <x v="3"/>
    <d v="2023-05-16T00:00:00"/>
    <n v="2023"/>
    <s v="Q2"/>
    <n v="5"/>
    <s v="May"/>
    <n v="6"/>
    <n v="431.45"/>
    <x v="57"/>
    <s v="Furniture"/>
    <s v="Debit Card"/>
    <n v="5"/>
    <x v="57"/>
  </r>
  <r>
    <x v="58"/>
    <x v="3"/>
    <d v="2023-02-04T00:00:00"/>
    <n v="2023"/>
    <s v="Q1"/>
    <n v="2"/>
    <s v="Feb"/>
    <n v="6"/>
    <n v="733.87"/>
    <x v="58"/>
    <s v="Furniture"/>
    <s v="Online"/>
    <n v="5"/>
    <x v="58"/>
  </r>
  <r>
    <x v="59"/>
    <x v="3"/>
    <d v="2024-09-27T00:00:00"/>
    <n v="2024"/>
    <s v="Q3"/>
    <n v="9"/>
    <s v="Sep"/>
    <n v="5"/>
    <n v="275.86"/>
    <x v="59"/>
    <s v="Office Supplies"/>
    <s v="Credit Card"/>
    <n v="5"/>
    <x v="59"/>
  </r>
  <r>
    <x v="60"/>
    <x v="6"/>
    <d v="2024-06-05T00:00:00"/>
    <n v="2024"/>
    <s v="Q2"/>
    <n v="6"/>
    <s v="Jun"/>
    <n v="8"/>
    <n v="310.69"/>
    <x v="60"/>
    <s v="Furniture"/>
    <s v="Debit Card"/>
    <n v="1"/>
    <x v="60"/>
  </r>
  <r>
    <x v="61"/>
    <x v="6"/>
    <d v="2025-06-23T00:00:00"/>
    <n v="2025"/>
    <s v="Q2"/>
    <n v="6"/>
    <s v="Jun"/>
    <n v="6"/>
    <n v="755.15"/>
    <x v="61"/>
    <s v="Office Supplies"/>
    <s v="Credit Card"/>
    <n v="3"/>
    <x v="61"/>
  </r>
  <r>
    <x v="62"/>
    <x v="3"/>
    <d v="2023-01-15T00:00:00"/>
    <n v="2023"/>
    <s v="Q1"/>
    <n v="1"/>
    <s v="Jan"/>
    <n v="7"/>
    <n v="714.61"/>
    <x v="62"/>
    <s v="Electronics"/>
    <s v="Debit Card"/>
    <n v="2"/>
    <x v="62"/>
  </r>
  <r>
    <x v="63"/>
    <x v="2"/>
    <d v="2023-10-03T00:00:00"/>
    <n v="2023"/>
    <s v="Q4"/>
    <n v="10"/>
    <s v="Oct"/>
    <n v="7"/>
    <n v="518"/>
    <x v="63"/>
    <s v="Office Supplies"/>
    <s v="Credit Card"/>
    <n v="2"/>
    <x v="63"/>
  </r>
  <r>
    <x v="64"/>
    <x v="4"/>
    <d v="2023-03-06T00:00:00"/>
    <n v="2023"/>
    <s v="Q1"/>
    <n v="3"/>
    <s v="Mar"/>
    <n v="4"/>
    <n v="137.51"/>
    <x v="64"/>
    <s v="Electronics"/>
    <s v="Cash"/>
    <n v="4"/>
    <x v="64"/>
  </r>
  <r>
    <x v="65"/>
    <x v="1"/>
    <d v="2024-05-30T00:00:00"/>
    <n v="2024"/>
    <s v="Q2"/>
    <n v="5"/>
    <s v="May"/>
    <n v="3"/>
    <n v="532.46"/>
    <x v="65"/>
    <s v="Office Supplies"/>
    <s v="Gift Card"/>
    <n v="1"/>
    <x v="65"/>
  </r>
  <r>
    <x v="66"/>
    <x v="5"/>
    <d v="2024-11-19T00:00:00"/>
    <n v="2024"/>
    <s v="Q4"/>
    <n v="11"/>
    <s v="Nov"/>
    <n v="4"/>
    <n v="180.72"/>
    <x v="66"/>
    <s v="Office Supplies"/>
    <s v="Online"/>
    <n v="2"/>
    <x v="66"/>
  </r>
  <r>
    <x v="67"/>
    <x v="4"/>
    <d v="2023-03-28T00:00:00"/>
    <n v="2023"/>
    <s v="Q1"/>
    <n v="3"/>
    <s v="Mar"/>
    <n v="1"/>
    <n v="724.47"/>
    <x v="67"/>
    <s v="Office Supplies"/>
    <s v="Cash"/>
    <n v="5"/>
    <x v="67"/>
  </r>
  <r>
    <x v="68"/>
    <x v="2"/>
    <d v="2023-06-29T00:00:00"/>
    <n v="2023"/>
    <s v="Q2"/>
    <n v="6"/>
    <s v="Jun"/>
    <n v="1"/>
    <n v="324.92"/>
    <x v="68"/>
    <s v="Furniture"/>
    <s v="Debit Card"/>
    <n v="3"/>
    <x v="68"/>
  </r>
  <r>
    <x v="69"/>
    <x v="5"/>
    <d v="2025-03-28T00:00:00"/>
    <n v="2025"/>
    <s v="Q1"/>
    <n v="3"/>
    <s v="Mar"/>
    <n v="8"/>
    <n v="73.739999999999995"/>
    <x v="69"/>
    <s v="Electronics"/>
    <s v="Debit Card"/>
    <n v="1"/>
    <x v="69"/>
  </r>
  <r>
    <x v="70"/>
    <x v="4"/>
    <d v="2025-05-02T00:00:00"/>
    <n v="2025"/>
    <s v="Q2"/>
    <n v="5"/>
    <s v="May"/>
    <n v="6"/>
    <n v="428.89"/>
    <x v="70"/>
    <s v="Furniture"/>
    <s v="Gift Card"/>
    <n v="4"/>
    <x v="70"/>
  </r>
  <r>
    <x v="71"/>
    <x v="2"/>
    <d v="2024-02-22T00:00:00"/>
    <n v="2024"/>
    <s v="Q1"/>
    <n v="2"/>
    <s v="Feb"/>
    <n v="3"/>
    <n v="239.55"/>
    <x v="71"/>
    <s v="Furniture"/>
    <s v="Cash"/>
    <n v="4"/>
    <x v="71"/>
  </r>
  <r>
    <x v="72"/>
    <x v="4"/>
    <d v="2025-03-02T00:00:00"/>
    <n v="2025"/>
    <s v="Q1"/>
    <n v="3"/>
    <s v="Mar"/>
    <n v="5"/>
    <n v="780.03"/>
    <x v="72"/>
    <s v="Furniture"/>
    <s v="Credit Card"/>
    <n v="2"/>
    <x v="72"/>
  </r>
  <r>
    <x v="73"/>
    <x v="3"/>
    <d v="2024-09-06T00:00:00"/>
    <n v="2024"/>
    <s v="Q3"/>
    <n v="9"/>
    <s v="Sep"/>
    <n v="2"/>
    <n v="778.43"/>
    <x v="73"/>
    <s v="Furniture"/>
    <s v="Gift Card"/>
    <n v="4"/>
    <x v="73"/>
  </r>
  <r>
    <x v="74"/>
    <x v="4"/>
    <d v="2024-12-29T00:00:00"/>
    <n v="2024"/>
    <s v="Q4"/>
    <n v="12"/>
    <s v="Dec"/>
    <n v="3"/>
    <n v="512.36"/>
    <x v="74"/>
    <s v="Furniture"/>
    <s v="Online"/>
    <n v="5"/>
    <x v="74"/>
  </r>
  <r>
    <x v="75"/>
    <x v="6"/>
    <d v="2023-06-30T00:00:00"/>
    <n v="2023"/>
    <s v="Q2"/>
    <n v="6"/>
    <s v="Jun"/>
    <n v="2"/>
    <n v="235.11"/>
    <x v="75"/>
    <s v="Furniture"/>
    <s v="Debit Card"/>
    <n v="1"/>
    <x v="75"/>
  </r>
  <r>
    <x v="76"/>
    <x v="0"/>
    <d v="2024-06-06T00:00:00"/>
    <n v="2024"/>
    <s v="Q2"/>
    <n v="6"/>
    <s v="Jun"/>
    <n v="2"/>
    <n v="406.09"/>
    <x v="76"/>
    <s v="Electronics"/>
    <s v="Debit Card"/>
    <n v="5"/>
    <x v="76"/>
  </r>
  <r>
    <x v="77"/>
    <x v="6"/>
    <d v="2025-04-09T00:00:00"/>
    <n v="2025"/>
    <s v="Q2"/>
    <n v="4"/>
    <s v="Apr"/>
    <n v="8"/>
    <n v="23.72"/>
    <x v="77"/>
    <s v="Electronics"/>
    <s v="Debit Card"/>
    <n v="5"/>
    <x v="77"/>
  </r>
  <r>
    <x v="78"/>
    <x v="0"/>
    <d v="2024-02-25T00:00:00"/>
    <n v="2024"/>
    <s v="Q1"/>
    <n v="2"/>
    <s v="Feb"/>
    <n v="1"/>
    <n v="566.54"/>
    <x v="78"/>
    <s v="Office Supplies"/>
    <s v="Online"/>
    <n v="2"/>
    <x v="78"/>
  </r>
  <r>
    <x v="79"/>
    <x v="1"/>
    <d v="2025-02-13T00:00:00"/>
    <n v="2025"/>
    <s v="Q1"/>
    <n v="2"/>
    <s v="Feb"/>
    <n v="1"/>
    <n v="286.54000000000002"/>
    <x v="79"/>
    <s v="Furniture"/>
    <s v="Gift Card"/>
    <n v="4"/>
    <x v="79"/>
  </r>
  <r>
    <x v="80"/>
    <x v="5"/>
    <d v="2023-08-21T00:00:00"/>
    <n v="2023"/>
    <s v="Q3"/>
    <n v="8"/>
    <s v="Aug"/>
    <n v="5"/>
    <n v="452.08"/>
    <x v="80"/>
    <s v="Office Supplies"/>
    <s v="Online"/>
    <n v="2"/>
    <x v="80"/>
  </r>
  <r>
    <x v="81"/>
    <x v="1"/>
    <d v="2025-01-13T00:00:00"/>
    <n v="2025"/>
    <s v="Q1"/>
    <n v="1"/>
    <s v="Jan"/>
    <n v="1"/>
    <n v="471.49"/>
    <x v="81"/>
    <s v="Office Supplies"/>
    <s v="Debit Card"/>
    <n v="2"/>
    <x v="81"/>
  </r>
  <r>
    <x v="82"/>
    <x v="4"/>
    <d v="2025-05-24T00:00:00"/>
    <n v="2025"/>
    <s v="Q2"/>
    <n v="5"/>
    <s v="May"/>
    <n v="1"/>
    <n v="362.07"/>
    <x v="82"/>
    <s v="Electronics"/>
    <s v="Debit Card"/>
    <n v="4"/>
    <x v="82"/>
  </r>
  <r>
    <x v="83"/>
    <x v="0"/>
    <d v="2023-05-11T00:00:00"/>
    <n v="2023"/>
    <s v="Q2"/>
    <n v="5"/>
    <s v="May"/>
    <n v="6"/>
    <n v="769.43"/>
    <x v="83"/>
    <s v="Office Supplies"/>
    <s v="Online"/>
    <n v="2"/>
    <x v="83"/>
  </r>
  <r>
    <x v="84"/>
    <x v="3"/>
    <d v="2023-04-21T00:00:00"/>
    <n v="2023"/>
    <s v="Q2"/>
    <n v="4"/>
    <s v="Apr"/>
    <n v="3"/>
    <n v="379.63"/>
    <x v="84"/>
    <s v="Office Supplies"/>
    <s v="Cash"/>
    <n v="4"/>
    <x v="84"/>
  </r>
  <r>
    <x v="85"/>
    <x v="6"/>
    <d v="2024-05-27T00:00:00"/>
    <n v="2024"/>
    <s v="Q2"/>
    <n v="5"/>
    <s v="May"/>
    <n v="2"/>
    <n v="322.94"/>
    <x v="85"/>
    <s v="Furniture"/>
    <s v="Debit Card"/>
    <n v="3"/>
    <x v="85"/>
  </r>
  <r>
    <x v="86"/>
    <x v="1"/>
    <d v="2023-08-06T00:00:00"/>
    <n v="2023"/>
    <s v="Q3"/>
    <n v="8"/>
    <s v="Aug"/>
    <n v="6"/>
    <n v="729.68"/>
    <x v="86"/>
    <s v="Furniture"/>
    <s v="Gift Card"/>
    <n v="4"/>
    <x v="86"/>
  </r>
  <r>
    <x v="87"/>
    <x v="3"/>
    <d v="2024-11-04T00:00:00"/>
    <n v="2024"/>
    <s v="Q4"/>
    <n v="11"/>
    <s v="Nov"/>
    <n v="1"/>
    <n v="693.07"/>
    <x v="87"/>
    <s v="Electronics"/>
    <s v="Online"/>
    <n v="3"/>
    <x v="87"/>
  </r>
  <r>
    <x v="88"/>
    <x v="3"/>
    <d v="2024-02-22T00:00:00"/>
    <n v="2024"/>
    <s v="Q1"/>
    <n v="2"/>
    <s v="Feb"/>
    <n v="6"/>
    <n v="657.93"/>
    <x v="88"/>
    <s v="Furniture"/>
    <s v="Cash"/>
    <n v="2"/>
    <x v="88"/>
  </r>
  <r>
    <x v="89"/>
    <x v="6"/>
    <d v="2024-12-10T00:00:00"/>
    <n v="2024"/>
    <s v="Q4"/>
    <n v="12"/>
    <s v="Dec"/>
    <n v="2"/>
    <n v="656.86"/>
    <x v="89"/>
    <s v="Electronics"/>
    <s v="Online"/>
    <n v="5"/>
    <x v="89"/>
  </r>
  <r>
    <x v="20"/>
    <x v="1"/>
    <d v="2025-05-20T00:00:00"/>
    <n v="2025"/>
    <s v="Q2"/>
    <n v="5"/>
    <s v="May"/>
    <n v="6"/>
    <n v="286.05"/>
    <x v="20"/>
    <s v="Furniture"/>
    <s v="Cash"/>
    <n v="3"/>
    <x v="90"/>
  </r>
  <r>
    <x v="90"/>
    <x v="6"/>
    <d v="2024-06-12T00:00:00"/>
    <n v="2024"/>
    <s v="Q2"/>
    <n v="6"/>
    <s v="Jun"/>
    <n v="7"/>
    <n v="19.66"/>
    <x v="90"/>
    <s v="Electronics"/>
    <s v="Debit Card"/>
    <n v="5"/>
    <x v="91"/>
  </r>
  <r>
    <x v="91"/>
    <x v="2"/>
    <d v="2023-11-03T00:00:00"/>
    <n v="2023"/>
    <s v="Q4"/>
    <n v="11"/>
    <s v="Nov"/>
    <n v="4"/>
    <n v="43.43"/>
    <x v="91"/>
    <s v="Electronics"/>
    <s v="Gift Card"/>
    <n v="4"/>
    <x v="92"/>
  </r>
  <r>
    <x v="92"/>
    <x v="6"/>
    <d v="2024-01-03T00:00:00"/>
    <n v="2024"/>
    <s v="Q1"/>
    <n v="1"/>
    <s v="Jan"/>
    <n v="6"/>
    <n v="475.09"/>
    <x v="92"/>
    <s v="Electronics"/>
    <s v="Cash"/>
    <n v="4"/>
    <x v="93"/>
  </r>
  <r>
    <x v="93"/>
    <x v="0"/>
    <d v="2023-10-08T00:00:00"/>
    <n v="2023"/>
    <s v="Q4"/>
    <n v="10"/>
    <s v="Oct"/>
    <n v="3"/>
    <n v="179.24"/>
    <x v="93"/>
    <s v="Electronics"/>
    <s v="Cash"/>
    <n v="2"/>
    <x v="94"/>
  </r>
  <r>
    <x v="94"/>
    <x v="0"/>
    <d v="2024-10-19T00:00:00"/>
    <n v="2024"/>
    <s v="Q4"/>
    <n v="10"/>
    <s v="Oct"/>
    <n v="5"/>
    <n v="628.39"/>
    <x v="94"/>
    <s v="Furniture"/>
    <s v="Cash"/>
    <n v="2"/>
    <x v="95"/>
  </r>
  <r>
    <x v="95"/>
    <x v="5"/>
    <d v="2023-11-01T00:00:00"/>
    <n v="2023"/>
    <s v="Q4"/>
    <n v="11"/>
    <s v="Nov"/>
    <n v="7"/>
    <n v="485.73"/>
    <x v="95"/>
    <s v="Electronics"/>
    <s v="Gift Card"/>
    <n v="3"/>
    <x v="96"/>
  </r>
  <r>
    <x v="96"/>
    <x v="2"/>
    <d v="2025-04-20T00:00:00"/>
    <n v="2025"/>
    <s v="Q2"/>
    <n v="4"/>
    <s v="Apr"/>
    <n v="6"/>
    <n v="236.38"/>
    <x v="96"/>
    <s v="Furniture"/>
    <s v="Cash"/>
    <n v="4"/>
    <x v="97"/>
  </r>
  <r>
    <x v="97"/>
    <x v="0"/>
    <d v="2023-04-29T00:00:00"/>
    <n v="2023"/>
    <s v="Q2"/>
    <n v="4"/>
    <s v="Apr"/>
    <n v="8"/>
    <n v="719.65"/>
    <x v="97"/>
    <s v="Office Supplies"/>
    <s v="Gift Card"/>
    <n v="5"/>
    <x v="98"/>
  </r>
  <r>
    <x v="98"/>
    <x v="2"/>
    <d v="2023-01-14T00:00:00"/>
    <n v="2023"/>
    <s v="Q1"/>
    <n v="1"/>
    <s v="Jan"/>
    <n v="7"/>
    <n v="768.99"/>
    <x v="98"/>
    <s v="Furniture"/>
    <s v="Cash"/>
    <n v="2"/>
    <x v="99"/>
  </r>
  <r>
    <x v="99"/>
    <x v="3"/>
    <d v="2024-08-03T00:00:00"/>
    <n v="2024"/>
    <s v="Q3"/>
    <n v="8"/>
    <s v="Aug"/>
    <n v="8"/>
    <n v="401.32"/>
    <x v="99"/>
    <s v="Office Supplies"/>
    <s v="Online"/>
    <n v="3"/>
    <x v="100"/>
  </r>
  <r>
    <x v="100"/>
    <x v="5"/>
    <d v="2024-01-15T00:00:00"/>
    <n v="2024"/>
    <s v="Q1"/>
    <n v="1"/>
    <s v="Jan"/>
    <n v="8"/>
    <n v="353.5"/>
    <x v="100"/>
    <s v="Office Supplies"/>
    <s v="Online"/>
    <n v="2"/>
    <x v="101"/>
  </r>
  <r>
    <x v="101"/>
    <x v="1"/>
    <d v="2025-02-17T00:00:00"/>
    <n v="2025"/>
    <s v="Q1"/>
    <n v="2"/>
    <s v="Feb"/>
    <n v="3"/>
    <n v="179.52"/>
    <x v="101"/>
    <s v="Electronics"/>
    <s v="Online"/>
    <n v="2"/>
    <x v="102"/>
  </r>
  <r>
    <x v="102"/>
    <x v="5"/>
    <d v="2023-02-04T00:00:00"/>
    <n v="2023"/>
    <s v="Q1"/>
    <n v="2"/>
    <s v="Feb"/>
    <n v="4"/>
    <n v="330.14"/>
    <x v="102"/>
    <s v="Electronics"/>
    <s v="Cash"/>
    <n v="4"/>
    <x v="103"/>
  </r>
  <r>
    <x v="103"/>
    <x v="2"/>
    <d v="2023-11-06T00:00:00"/>
    <n v="2023"/>
    <s v="Q4"/>
    <n v="11"/>
    <s v="Nov"/>
    <n v="2"/>
    <n v="770.06"/>
    <x v="103"/>
    <s v="Office Supplies"/>
    <s v="Credit Card"/>
    <n v="5"/>
    <x v="104"/>
  </r>
  <r>
    <x v="104"/>
    <x v="2"/>
    <d v="2023-03-07T00:00:00"/>
    <n v="2023"/>
    <s v="Q1"/>
    <n v="3"/>
    <s v="Mar"/>
    <n v="6"/>
    <n v="129.85"/>
    <x v="104"/>
    <s v="Electronics"/>
    <s v="Cash"/>
    <n v="1"/>
    <x v="105"/>
  </r>
  <r>
    <x v="105"/>
    <x v="4"/>
    <d v="2023-11-21T00:00:00"/>
    <n v="2023"/>
    <s v="Q4"/>
    <n v="11"/>
    <s v="Nov"/>
    <n v="3"/>
    <n v="251.56"/>
    <x v="105"/>
    <s v="Office Supplies"/>
    <s v="Credit Card"/>
    <n v="2"/>
    <x v="106"/>
  </r>
  <r>
    <x v="106"/>
    <x v="5"/>
    <d v="2025-04-01T00:00:00"/>
    <n v="2025"/>
    <s v="Q2"/>
    <n v="4"/>
    <s v="Apr"/>
    <n v="6"/>
    <n v="520.01"/>
    <x v="106"/>
    <s v="Furniture"/>
    <s v="Debit Card"/>
    <n v="2"/>
    <x v="107"/>
  </r>
  <r>
    <x v="107"/>
    <x v="0"/>
    <d v="2024-09-03T00:00:00"/>
    <n v="2024"/>
    <s v="Q3"/>
    <n v="9"/>
    <s v="Sep"/>
    <n v="6"/>
    <n v="117.79"/>
    <x v="107"/>
    <s v="Electronics"/>
    <s v="Credit Card"/>
    <n v="2"/>
    <x v="108"/>
  </r>
  <r>
    <x v="108"/>
    <x v="1"/>
    <d v="2024-12-20T00:00:00"/>
    <n v="2024"/>
    <s v="Q4"/>
    <n v="12"/>
    <s v="Dec"/>
    <n v="3"/>
    <n v="159.38"/>
    <x v="108"/>
    <s v="Electronics"/>
    <s v="Online"/>
    <n v="5"/>
    <x v="109"/>
  </r>
  <r>
    <x v="109"/>
    <x v="3"/>
    <d v="2024-04-21T00:00:00"/>
    <n v="2024"/>
    <s v="Q2"/>
    <n v="4"/>
    <s v="Apr"/>
    <n v="3"/>
    <n v="684.11"/>
    <x v="109"/>
    <s v="Furniture"/>
    <s v="Credit Card"/>
    <n v="5"/>
    <x v="110"/>
  </r>
  <r>
    <x v="110"/>
    <x v="3"/>
    <d v="2023-11-15T00:00:00"/>
    <n v="2023"/>
    <s v="Q4"/>
    <n v="11"/>
    <s v="Nov"/>
    <n v="3"/>
    <n v="242.71"/>
    <x v="110"/>
    <s v="Electronics"/>
    <s v="Gift Card"/>
    <n v="5"/>
    <x v="111"/>
  </r>
  <r>
    <x v="111"/>
    <x v="3"/>
    <d v="2023-10-08T00:00:00"/>
    <n v="2023"/>
    <s v="Q4"/>
    <n v="10"/>
    <s v="Oct"/>
    <n v="2"/>
    <n v="704.73"/>
    <x v="111"/>
    <s v="Electronics"/>
    <s v="Credit Card"/>
    <n v="1"/>
    <x v="112"/>
  </r>
  <r>
    <x v="112"/>
    <x v="4"/>
    <d v="2023-09-25T00:00:00"/>
    <n v="2023"/>
    <s v="Q3"/>
    <n v="9"/>
    <s v="Sep"/>
    <n v="1"/>
    <n v="661.06"/>
    <x v="112"/>
    <s v="Furniture"/>
    <s v="Debit Card"/>
    <n v="4"/>
    <x v="113"/>
  </r>
  <r>
    <x v="113"/>
    <x v="0"/>
    <d v="2024-09-12T00:00:00"/>
    <n v="2024"/>
    <s v="Q3"/>
    <n v="9"/>
    <s v="Sep"/>
    <n v="2"/>
    <n v="571.9"/>
    <x v="113"/>
    <s v="Office Supplies"/>
    <s v="Debit Card"/>
    <n v="2"/>
    <x v="114"/>
  </r>
  <r>
    <x v="114"/>
    <x v="3"/>
    <d v="2024-10-20T00:00:00"/>
    <n v="2024"/>
    <s v="Q4"/>
    <n v="10"/>
    <s v="Oct"/>
    <n v="1"/>
    <n v="748.55"/>
    <x v="114"/>
    <s v="Electronics"/>
    <s v="Debit Card"/>
    <n v="4"/>
    <x v="115"/>
  </r>
  <r>
    <x v="115"/>
    <x v="5"/>
    <d v="2024-03-16T00:00:00"/>
    <n v="2024"/>
    <s v="Q1"/>
    <n v="3"/>
    <s v="Mar"/>
    <n v="1"/>
    <n v="463.78"/>
    <x v="115"/>
    <s v="Furniture"/>
    <s v="Debit Card"/>
    <n v="3"/>
    <x v="116"/>
  </r>
  <r>
    <x v="116"/>
    <x v="5"/>
    <d v="2023-08-11T00:00:00"/>
    <n v="2023"/>
    <s v="Q3"/>
    <n v="8"/>
    <s v="Aug"/>
    <n v="7"/>
    <n v="363.49"/>
    <x v="116"/>
    <s v="Electronics"/>
    <s v="Credit Card"/>
    <n v="4"/>
    <x v="117"/>
  </r>
  <r>
    <x v="117"/>
    <x v="3"/>
    <d v="2023-08-25T00:00:00"/>
    <n v="2023"/>
    <s v="Q3"/>
    <n v="8"/>
    <s v="Aug"/>
    <n v="7"/>
    <n v="417.97"/>
    <x v="117"/>
    <s v="Electronics"/>
    <s v="Gift Card"/>
    <n v="2"/>
    <x v="118"/>
  </r>
  <r>
    <x v="118"/>
    <x v="5"/>
    <d v="2023-03-20T00:00:00"/>
    <n v="2023"/>
    <s v="Q1"/>
    <n v="3"/>
    <s v="Mar"/>
    <n v="2"/>
    <n v="173.91"/>
    <x v="118"/>
    <s v="Furniture"/>
    <s v="Gift Card"/>
    <n v="2"/>
    <x v="119"/>
  </r>
  <r>
    <x v="119"/>
    <x v="2"/>
    <d v="2023-07-04T00:00:00"/>
    <n v="2023"/>
    <s v="Q3"/>
    <n v="7"/>
    <s v="Jul"/>
    <n v="3"/>
    <n v="765.71"/>
    <x v="119"/>
    <s v="Electronics"/>
    <s v="Cash"/>
    <n v="2"/>
    <x v="120"/>
  </r>
  <r>
    <x v="120"/>
    <x v="0"/>
    <d v="2024-06-27T00:00:00"/>
    <n v="2024"/>
    <s v="Q2"/>
    <n v="6"/>
    <s v="Jun"/>
    <n v="6"/>
    <n v="182.24"/>
    <x v="120"/>
    <s v="Office Supplies"/>
    <s v="Gift Card"/>
    <n v="2"/>
    <x v="121"/>
  </r>
  <r>
    <x v="121"/>
    <x v="2"/>
    <d v="2024-03-26T00:00:00"/>
    <n v="2024"/>
    <s v="Q1"/>
    <n v="3"/>
    <s v="Mar"/>
    <n v="5"/>
    <n v="32.119999999999997"/>
    <x v="121"/>
    <s v="Electronics"/>
    <s v="Gift Card"/>
    <n v="2"/>
    <x v="122"/>
  </r>
  <r>
    <x v="122"/>
    <x v="6"/>
    <d v="2023-10-31T00:00:00"/>
    <n v="2023"/>
    <s v="Q4"/>
    <n v="10"/>
    <s v="Oct"/>
    <n v="3"/>
    <n v="371.15"/>
    <x v="122"/>
    <s v="Furniture"/>
    <s v="Cash"/>
    <n v="5"/>
    <x v="123"/>
  </r>
  <r>
    <x v="123"/>
    <x v="1"/>
    <d v="2024-08-22T00:00:00"/>
    <n v="2024"/>
    <s v="Q3"/>
    <n v="8"/>
    <s v="Aug"/>
    <n v="7"/>
    <n v="233.93"/>
    <x v="123"/>
    <s v="Electronics"/>
    <s v="Cash"/>
    <n v="3"/>
    <x v="124"/>
  </r>
  <r>
    <x v="124"/>
    <x v="4"/>
    <d v="2023-10-23T00:00:00"/>
    <n v="2023"/>
    <s v="Q4"/>
    <n v="10"/>
    <s v="Oct"/>
    <n v="4"/>
    <n v="570.12"/>
    <x v="124"/>
    <s v="Furniture"/>
    <s v="Debit Card"/>
    <n v="5"/>
    <x v="125"/>
  </r>
  <r>
    <x v="125"/>
    <x v="2"/>
    <d v="2025-04-19T00:00:00"/>
    <n v="2025"/>
    <s v="Q2"/>
    <n v="4"/>
    <s v="Apr"/>
    <n v="3"/>
    <n v="247.99"/>
    <x v="125"/>
    <s v="Office Supplies"/>
    <s v="Cash"/>
    <n v="5"/>
    <x v="126"/>
  </r>
  <r>
    <x v="126"/>
    <x v="2"/>
    <d v="2025-03-24T00:00:00"/>
    <n v="2025"/>
    <s v="Q1"/>
    <n v="3"/>
    <s v="Mar"/>
    <n v="1"/>
    <n v="304"/>
    <x v="126"/>
    <s v="Electronics"/>
    <s v="Cash"/>
    <n v="3"/>
    <x v="127"/>
  </r>
  <r>
    <x v="127"/>
    <x v="2"/>
    <d v="2023-06-15T00:00:00"/>
    <n v="2023"/>
    <s v="Q2"/>
    <n v="6"/>
    <s v="Jun"/>
    <n v="7"/>
    <n v="791.31"/>
    <x v="127"/>
    <s v="Electronics"/>
    <s v="Gift Card"/>
    <n v="2"/>
    <x v="128"/>
  </r>
  <r>
    <x v="128"/>
    <x v="4"/>
    <d v="2024-02-08T00:00:00"/>
    <n v="2024"/>
    <s v="Q1"/>
    <n v="2"/>
    <s v="Feb"/>
    <n v="7"/>
    <n v="122.16"/>
    <x v="128"/>
    <s v="Office Supplies"/>
    <s v="Gift Card"/>
    <n v="5"/>
    <x v="129"/>
  </r>
  <r>
    <x v="129"/>
    <x v="3"/>
    <d v="2024-02-16T00:00:00"/>
    <n v="2024"/>
    <s v="Q1"/>
    <n v="2"/>
    <s v="Feb"/>
    <n v="3"/>
    <n v="250.16"/>
    <x v="129"/>
    <s v="Office Supplies"/>
    <s v="Debit Card"/>
    <n v="3"/>
    <x v="130"/>
  </r>
  <r>
    <x v="130"/>
    <x v="1"/>
    <d v="2024-09-08T00:00:00"/>
    <n v="2024"/>
    <s v="Q3"/>
    <n v="9"/>
    <s v="Sep"/>
    <n v="6"/>
    <n v="778.27"/>
    <x v="130"/>
    <s v="Office Supplies"/>
    <s v="Cash"/>
    <n v="5"/>
    <x v="131"/>
  </r>
  <r>
    <x v="131"/>
    <x v="4"/>
    <d v="2024-04-01T00:00:00"/>
    <n v="2024"/>
    <s v="Q2"/>
    <n v="4"/>
    <s v="Apr"/>
    <n v="3"/>
    <n v="146.37"/>
    <x v="131"/>
    <s v="Office Supplies"/>
    <s v="Online"/>
    <n v="5"/>
    <x v="132"/>
  </r>
  <r>
    <x v="132"/>
    <x v="3"/>
    <d v="2023-12-16T00:00:00"/>
    <n v="2023"/>
    <s v="Q4"/>
    <n v="12"/>
    <s v="Dec"/>
    <n v="2"/>
    <n v="179.71"/>
    <x v="132"/>
    <s v="Office Supplies"/>
    <s v="Online"/>
    <n v="5"/>
    <x v="133"/>
  </r>
  <r>
    <x v="133"/>
    <x v="3"/>
    <d v="2023-06-23T00:00:00"/>
    <n v="2023"/>
    <s v="Q2"/>
    <n v="6"/>
    <s v="Jun"/>
    <n v="7"/>
    <n v="788.9"/>
    <x v="133"/>
    <s v="Office Supplies"/>
    <s v="Online"/>
    <n v="2"/>
    <x v="134"/>
  </r>
  <r>
    <x v="134"/>
    <x v="4"/>
    <d v="2023-04-16T00:00:00"/>
    <n v="2023"/>
    <s v="Q2"/>
    <n v="4"/>
    <s v="Apr"/>
    <n v="5"/>
    <n v="653.01"/>
    <x v="134"/>
    <s v="Furniture"/>
    <s v="Credit Card"/>
    <n v="3"/>
    <x v="135"/>
  </r>
  <r>
    <x v="135"/>
    <x v="3"/>
    <d v="2023-12-26T00:00:00"/>
    <n v="2023"/>
    <s v="Q4"/>
    <n v="12"/>
    <s v="Dec"/>
    <n v="4"/>
    <n v="164.36"/>
    <x v="135"/>
    <s v="Office Supplies"/>
    <s v="Cash"/>
    <n v="1"/>
    <x v="136"/>
  </r>
  <r>
    <x v="136"/>
    <x v="4"/>
    <d v="2024-11-22T00:00:00"/>
    <n v="2024"/>
    <s v="Q4"/>
    <n v="11"/>
    <s v="Nov"/>
    <n v="3"/>
    <n v="320.64999999999998"/>
    <x v="136"/>
    <s v="Office Supplies"/>
    <s v="Online"/>
    <n v="5"/>
    <x v="137"/>
  </r>
  <r>
    <x v="137"/>
    <x v="1"/>
    <d v="2023-02-05T00:00:00"/>
    <n v="2023"/>
    <s v="Q1"/>
    <n v="2"/>
    <s v="Feb"/>
    <n v="8"/>
    <n v="664.08"/>
    <x v="137"/>
    <s v="Office Supplies"/>
    <s v="Gift Card"/>
    <n v="2"/>
    <x v="138"/>
  </r>
  <r>
    <x v="138"/>
    <x v="0"/>
    <d v="2023-02-01T00:00:00"/>
    <n v="2023"/>
    <s v="Q1"/>
    <n v="2"/>
    <s v="Feb"/>
    <n v="3"/>
    <n v="709.1"/>
    <x v="138"/>
    <s v="Furniture"/>
    <s v="Credit Card"/>
    <n v="4"/>
    <x v="139"/>
  </r>
  <r>
    <x v="139"/>
    <x v="4"/>
    <d v="2023-06-24T00:00:00"/>
    <n v="2023"/>
    <s v="Q2"/>
    <n v="6"/>
    <s v="Jun"/>
    <n v="2"/>
    <n v="577.4"/>
    <x v="139"/>
    <s v="Electronics"/>
    <s v="Gift Card"/>
    <n v="4"/>
    <x v="140"/>
  </r>
  <r>
    <x v="140"/>
    <x v="1"/>
    <d v="2024-07-26T00:00:00"/>
    <n v="2024"/>
    <s v="Q3"/>
    <n v="7"/>
    <s v="Jul"/>
    <n v="4"/>
    <n v="223.88"/>
    <x v="140"/>
    <s v="Electronics"/>
    <s v="Gift Card"/>
    <n v="2"/>
    <x v="141"/>
  </r>
  <r>
    <x v="141"/>
    <x v="4"/>
    <d v="2024-10-20T00:00:00"/>
    <n v="2024"/>
    <s v="Q4"/>
    <n v="10"/>
    <s v="Oct"/>
    <n v="4"/>
    <n v="794.6"/>
    <x v="141"/>
    <s v="Electronics"/>
    <s v="Gift Card"/>
    <n v="2"/>
    <x v="142"/>
  </r>
  <r>
    <x v="142"/>
    <x v="1"/>
    <d v="2024-04-29T00:00:00"/>
    <n v="2024"/>
    <s v="Q2"/>
    <n v="4"/>
    <s v="Apr"/>
    <n v="4"/>
    <n v="31.12"/>
    <x v="142"/>
    <s v="Furniture"/>
    <s v="Cash"/>
    <n v="4"/>
    <x v="143"/>
  </r>
  <r>
    <x v="143"/>
    <x v="3"/>
    <d v="2024-04-24T00:00:00"/>
    <n v="2024"/>
    <s v="Q2"/>
    <n v="4"/>
    <s v="Apr"/>
    <n v="8"/>
    <n v="689.21"/>
    <x v="143"/>
    <s v="Office Supplies"/>
    <s v="Debit Card"/>
    <n v="3"/>
    <x v="144"/>
  </r>
  <r>
    <x v="64"/>
    <x v="2"/>
    <d v="2024-08-14T00:00:00"/>
    <n v="2024"/>
    <s v="Q3"/>
    <n v="8"/>
    <s v="Aug"/>
    <n v="6"/>
    <n v="290.5"/>
    <x v="64"/>
    <s v="Electronics"/>
    <s v="Online"/>
    <n v="2"/>
    <x v="145"/>
  </r>
  <r>
    <x v="144"/>
    <x v="3"/>
    <d v="2023-12-27T00:00:00"/>
    <n v="2023"/>
    <s v="Q4"/>
    <n v="12"/>
    <s v="Dec"/>
    <n v="4"/>
    <n v="367.42"/>
    <x v="144"/>
    <s v="Furniture"/>
    <s v="Gift Card"/>
    <n v="3"/>
    <x v="146"/>
  </r>
  <r>
    <x v="145"/>
    <x v="4"/>
    <d v="2025-01-19T00:00:00"/>
    <n v="2025"/>
    <s v="Q1"/>
    <n v="1"/>
    <s v="Jan"/>
    <n v="7"/>
    <n v="445.37"/>
    <x v="145"/>
    <s v="Electronics"/>
    <s v="Debit Card"/>
    <n v="5"/>
    <x v="147"/>
  </r>
  <r>
    <x v="146"/>
    <x v="1"/>
    <d v="2024-05-06T00:00:00"/>
    <n v="2024"/>
    <s v="Q2"/>
    <n v="5"/>
    <s v="May"/>
    <n v="5"/>
    <n v="404.52"/>
    <x v="146"/>
    <s v="Furniture"/>
    <s v="Cash"/>
    <n v="2"/>
    <x v="148"/>
  </r>
  <r>
    <x v="147"/>
    <x v="4"/>
    <d v="2025-02-22T00:00:00"/>
    <n v="2025"/>
    <s v="Q1"/>
    <n v="2"/>
    <s v="Feb"/>
    <n v="6"/>
    <n v="181.87"/>
    <x v="147"/>
    <s v="Furniture"/>
    <s v="Cash"/>
    <n v="5"/>
    <x v="149"/>
  </r>
  <r>
    <x v="148"/>
    <x v="0"/>
    <d v="2023-03-31T00:00:00"/>
    <n v="2023"/>
    <s v="Q1"/>
    <n v="3"/>
    <s v="Mar"/>
    <n v="7"/>
    <n v="501.68"/>
    <x v="148"/>
    <s v="Furniture"/>
    <s v="Online"/>
    <n v="5"/>
    <x v="150"/>
  </r>
  <r>
    <x v="149"/>
    <x v="0"/>
    <d v="2024-06-04T00:00:00"/>
    <n v="2024"/>
    <s v="Q2"/>
    <n v="6"/>
    <s v="Jun"/>
    <n v="1"/>
    <n v="55.85"/>
    <x v="149"/>
    <s v="Office Supplies"/>
    <s v="Debit Card"/>
    <n v="3"/>
    <x v="151"/>
  </r>
  <r>
    <x v="150"/>
    <x v="0"/>
    <d v="2025-01-16T00:00:00"/>
    <n v="2025"/>
    <s v="Q1"/>
    <n v="1"/>
    <s v="Jan"/>
    <n v="1"/>
    <n v="386.93"/>
    <x v="150"/>
    <s v="Furniture"/>
    <s v="Cash"/>
    <n v="4"/>
    <x v="152"/>
  </r>
  <r>
    <x v="151"/>
    <x v="0"/>
    <d v="2023-09-11T00:00:00"/>
    <n v="2023"/>
    <s v="Q3"/>
    <n v="9"/>
    <s v="Sep"/>
    <n v="7"/>
    <n v="227.2"/>
    <x v="151"/>
    <s v="Office Supplies"/>
    <s v="Credit Card"/>
    <n v="3"/>
    <x v="153"/>
  </r>
  <r>
    <x v="152"/>
    <x v="6"/>
    <d v="2023-01-13T00:00:00"/>
    <n v="2023"/>
    <s v="Q1"/>
    <n v="1"/>
    <s v="Jan"/>
    <n v="5"/>
    <n v="536.13"/>
    <x v="152"/>
    <s v="Office Supplies"/>
    <s v="Debit Card"/>
    <n v="2"/>
    <x v="154"/>
  </r>
  <r>
    <x v="153"/>
    <x v="3"/>
    <d v="2025-05-07T00:00:00"/>
    <n v="2025"/>
    <s v="Q2"/>
    <n v="5"/>
    <s v="May"/>
    <n v="7"/>
    <n v="406.32"/>
    <x v="153"/>
    <s v="Electronics"/>
    <s v="Debit Card"/>
    <n v="2"/>
    <x v="155"/>
  </r>
  <r>
    <x v="154"/>
    <x v="3"/>
    <d v="2024-04-25T00:00:00"/>
    <n v="2024"/>
    <s v="Q2"/>
    <n v="4"/>
    <s v="Apr"/>
    <n v="4"/>
    <n v="9.0299999999999994"/>
    <x v="154"/>
    <s v="Electronics"/>
    <s v="Debit Card"/>
    <n v="2"/>
    <x v="156"/>
  </r>
  <r>
    <x v="155"/>
    <x v="1"/>
    <d v="2024-08-21T00:00:00"/>
    <n v="2024"/>
    <s v="Q3"/>
    <n v="8"/>
    <s v="Aug"/>
    <n v="3"/>
    <n v="505.98"/>
    <x v="155"/>
    <s v="Office Supplies"/>
    <s v="Gift Card"/>
    <n v="4"/>
    <x v="157"/>
  </r>
  <r>
    <x v="156"/>
    <x v="2"/>
    <d v="2025-04-14T00:00:00"/>
    <n v="2025"/>
    <s v="Q2"/>
    <n v="4"/>
    <s v="Apr"/>
    <n v="3"/>
    <n v="25.9"/>
    <x v="156"/>
    <s v="Furniture"/>
    <s v="Debit Card"/>
    <n v="5"/>
    <x v="158"/>
  </r>
  <r>
    <x v="157"/>
    <x v="4"/>
    <d v="2023-06-04T00:00:00"/>
    <n v="2023"/>
    <s v="Q2"/>
    <n v="6"/>
    <s v="Jun"/>
    <n v="7"/>
    <n v="785.29"/>
    <x v="157"/>
    <s v="Office Supplies"/>
    <s v="Credit Card"/>
    <n v="4"/>
    <x v="159"/>
  </r>
  <r>
    <x v="158"/>
    <x v="1"/>
    <d v="2024-09-07T00:00:00"/>
    <n v="2024"/>
    <s v="Q3"/>
    <n v="9"/>
    <s v="Sep"/>
    <n v="7"/>
    <n v="580.44000000000005"/>
    <x v="158"/>
    <s v="Furniture"/>
    <s v="Online"/>
    <n v="2"/>
    <x v="160"/>
  </r>
  <r>
    <x v="159"/>
    <x v="5"/>
    <d v="2025-06-23T00:00:00"/>
    <n v="2025"/>
    <s v="Q2"/>
    <n v="6"/>
    <s v="Jun"/>
    <n v="6"/>
    <n v="239.44"/>
    <x v="159"/>
    <s v="Office Supplies"/>
    <s v="Credit Card"/>
    <n v="1"/>
    <x v="161"/>
  </r>
  <r>
    <x v="160"/>
    <x v="6"/>
    <d v="2024-07-07T00:00:00"/>
    <n v="2024"/>
    <s v="Q3"/>
    <n v="7"/>
    <s v="Jul"/>
    <n v="5"/>
    <n v="487.97"/>
    <x v="160"/>
    <s v="Office Supplies"/>
    <s v="Debit Card"/>
    <n v="3"/>
    <x v="162"/>
  </r>
  <r>
    <x v="161"/>
    <x v="0"/>
    <d v="2025-05-25T00:00:00"/>
    <n v="2025"/>
    <s v="Q2"/>
    <n v="5"/>
    <s v="May"/>
    <n v="4"/>
    <n v="630.54999999999995"/>
    <x v="161"/>
    <s v="Office Supplies"/>
    <s v="Online"/>
    <n v="3"/>
    <x v="163"/>
  </r>
  <r>
    <x v="162"/>
    <x v="1"/>
    <d v="2025-05-02T00:00:00"/>
    <n v="2025"/>
    <s v="Q2"/>
    <n v="5"/>
    <s v="May"/>
    <n v="6"/>
    <n v="372.12"/>
    <x v="162"/>
    <s v="Electronics"/>
    <s v="Credit Card"/>
    <n v="2"/>
    <x v="164"/>
  </r>
  <r>
    <x v="163"/>
    <x v="3"/>
    <d v="2023-08-22T00:00:00"/>
    <n v="2023"/>
    <s v="Q3"/>
    <n v="8"/>
    <s v="Aug"/>
    <n v="8"/>
    <n v="439.21"/>
    <x v="163"/>
    <s v="Furniture"/>
    <s v="Credit Card"/>
    <n v="3"/>
    <x v="165"/>
  </r>
  <r>
    <x v="164"/>
    <x v="0"/>
    <d v="2023-03-20T00:00:00"/>
    <n v="2023"/>
    <s v="Q1"/>
    <n v="3"/>
    <s v="Mar"/>
    <n v="6"/>
    <n v="536.97"/>
    <x v="164"/>
    <s v="Office Supplies"/>
    <s v="Online"/>
    <n v="3"/>
    <x v="166"/>
  </r>
  <r>
    <x v="165"/>
    <x v="5"/>
    <d v="2024-08-05T00:00:00"/>
    <n v="2024"/>
    <s v="Q3"/>
    <n v="8"/>
    <s v="Aug"/>
    <n v="4"/>
    <n v="15.12"/>
    <x v="165"/>
    <s v="Electronics"/>
    <s v="Debit Card"/>
    <n v="5"/>
    <x v="167"/>
  </r>
  <r>
    <x v="166"/>
    <x v="5"/>
    <d v="2023-01-20T00:00:00"/>
    <n v="2023"/>
    <s v="Q1"/>
    <n v="1"/>
    <s v="Jan"/>
    <n v="4"/>
    <n v="375.05"/>
    <x v="166"/>
    <s v="Furniture"/>
    <s v="Online"/>
    <n v="3"/>
    <x v="168"/>
  </r>
  <r>
    <x v="167"/>
    <x v="4"/>
    <d v="2023-05-13T00:00:00"/>
    <n v="2023"/>
    <s v="Q2"/>
    <n v="5"/>
    <s v="May"/>
    <n v="4"/>
    <n v="651.67999999999995"/>
    <x v="167"/>
    <s v="Electronics"/>
    <s v="Online"/>
    <n v="2"/>
    <x v="169"/>
  </r>
  <r>
    <x v="168"/>
    <x v="1"/>
    <d v="2023-10-27T00:00:00"/>
    <n v="2023"/>
    <s v="Q4"/>
    <n v="10"/>
    <s v="Oct"/>
    <n v="2"/>
    <n v="757.03"/>
    <x v="168"/>
    <s v="Office Supplies"/>
    <s v="Online"/>
    <n v="2"/>
    <x v="170"/>
  </r>
  <r>
    <x v="169"/>
    <x v="4"/>
    <d v="2025-01-06T00:00:00"/>
    <n v="2025"/>
    <s v="Q1"/>
    <n v="1"/>
    <s v="Jan"/>
    <n v="6"/>
    <n v="665.62"/>
    <x v="169"/>
    <s v="Office Supplies"/>
    <s v="Cash"/>
    <n v="3"/>
    <x v="171"/>
  </r>
  <r>
    <x v="170"/>
    <x v="6"/>
    <d v="2023-03-16T00:00:00"/>
    <n v="2023"/>
    <s v="Q1"/>
    <n v="3"/>
    <s v="Mar"/>
    <n v="2"/>
    <n v="327.63"/>
    <x v="170"/>
    <s v="Electronics"/>
    <s v="Debit Card"/>
    <n v="3"/>
    <x v="172"/>
  </r>
  <r>
    <x v="171"/>
    <x v="1"/>
    <d v="2024-02-05T00:00:00"/>
    <n v="2024"/>
    <s v="Q1"/>
    <n v="2"/>
    <s v="Feb"/>
    <n v="7"/>
    <n v="231.77"/>
    <x v="171"/>
    <s v="Office Supplies"/>
    <s v="Debit Card"/>
    <n v="3"/>
    <x v="173"/>
  </r>
  <r>
    <x v="172"/>
    <x v="2"/>
    <d v="2025-06-21T00:00:00"/>
    <n v="2025"/>
    <s v="Q2"/>
    <n v="6"/>
    <s v="Jun"/>
    <n v="6"/>
    <n v="118.25"/>
    <x v="172"/>
    <s v="Electronics"/>
    <s v="Cash"/>
    <n v="2"/>
    <x v="174"/>
  </r>
  <r>
    <x v="173"/>
    <x v="1"/>
    <d v="2024-07-25T00:00:00"/>
    <n v="2024"/>
    <s v="Q3"/>
    <n v="7"/>
    <s v="Jul"/>
    <n v="4"/>
    <n v="492.28"/>
    <x v="173"/>
    <s v="Office Supplies"/>
    <s v="Cash"/>
    <n v="4"/>
    <x v="175"/>
  </r>
  <r>
    <x v="174"/>
    <x v="6"/>
    <d v="2024-11-16T00:00:00"/>
    <n v="2024"/>
    <s v="Q4"/>
    <n v="11"/>
    <s v="Nov"/>
    <n v="5"/>
    <n v="115.02"/>
    <x v="174"/>
    <s v="Office Supplies"/>
    <s v="Credit Card"/>
    <n v="4"/>
    <x v="176"/>
  </r>
  <r>
    <x v="175"/>
    <x v="5"/>
    <d v="2024-04-21T00:00:00"/>
    <n v="2024"/>
    <s v="Q2"/>
    <n v="4"/>
    <s v="Apr"/>
    <n v="3"/>
    <n v="531.52"/>
    <x v="175"/>
    <s v="Electronics"/>
    <s v="Credit Card"/>
    <n v="5"/>
    <x v="177"/>
  </r>
  <r>
    <x v="176"/>
    <x v="0"/>
    <d v="2025-06-27T00:00:00"/>
    <n v="2025"/>
    <s v="Q2"/>
    <n v="6"/>
    <s v="Jun"/>
    <n v="1"/>
    <n v="469.68"/>
    <x v="176"/>
    <s v="Furniture"/>
    <s v="Gift Card"/>
    <n v="1"/>
    <x v="178"/>
  </r>
  <r>
    <x v="177"/>
    <x v="2"/>
    <d v="2024-01-02T00:00:00"/>
    <n v="2024"/>
    <s v="Q1"/>
    <n v="1"/>
    <s v="Jan"/>
    <n v="4"/>
    <n v="709.14"/>
    <x v="177"/>
    <s v="Office Supplies"/>
    <s v="Debit Card"/>
    <n v="2"/>
    <x v="179"/>
  </r>
  <r>
    <x v="178"/>
    <x v="3"/>
    <d v="2024-04-14T00:00:00"/>
    <n v="2024"/>
    <s v="Q2"/>
    <n v="4"/>
    <s v="Apr"/>
    <n v="5"/>
    <n v="295.23"/>
    <x v="178"/>
    <s v="Furniture"/>
    <s v="Debit Card"/>
    <n v="5"/>
    <x v="180"/>
  </r>
  <r>
    <x v="179"/>
    <x v="3"/>
    <d v="2025-03-30T00:00:00"/>
    <n v="2025"/>
    <s v="Q1"/>
    <n v="3"/>
    <s v="Mar"/>
    <n v="4"/>
    <n v="778.62"/>
    <x v="179"/>
    <s v="Furniture"/>
    <s v="Cash"/>
    <n v="1"/>
    <x v="181"/>
  </r>
  <r>
    <x v="180"/>
    <x v="3"/>
    <d v="2024-06-23T00:00:00"/>
    <n v="2024"/>
    <s v="Q2"/>
    <n v="6"/>
    <s v="Jun"/>
    <n v="3"/>
    <n v="752.43"/>
    <x v="180"/>
    <s v="Office Supplies"/>
    <s v="Cash"/>
    <n v="5"/>
    <x v="182"/>
  </r>
  <r>
    <x v="181"/>
    <x v="6"/>
    <d v="2023-06-16T00:00:00"/>
    <n v="2023"/>
    <s v="Q2"/>
    <n v="6"/>
    <s v="Jun"/>
    <n v="7"/>
    <n v="671.35"/>
    <x v="181"/>
    <s v="Electronics"/>
    <s v="Credit Card"/>
    <n v="2"/>
    <x v="183"/>
  </r>
  <r>
    <x v="182"/>
    <x v="6"/>
    <d v="2023-08-26T00:00:00"/>
    <n v="2023"/>
    <s v="Q3"/>
    <n v="8"/>
    <s v="Aug"/>
    <n v="6"/>
    <n v="656.86"/>
    <x v="182"/>
    <s v="Office Supplies"/>
    <s v="Cash"/>
    <n v="5"/>
    <x v="184"/>
  </r>
  <r>
    <x v="183"/>
    <x v="6"/>
    <d v="2024-12-02T00:00:00"/>
    <n v="2024"/>
    <s v="Q4"/>
    <n v="12"/>
    <s v="Dec"/>
    <n v="1"/>
    <n v="656.85"/>
    <x v="183"/>
    <s v="Electronics"/>
    <s v="Online"/>
    <n v="1"/>
    <x v="185"/>
  </r>
  <r>
    <x v="184"/>
    <x v="3"/>
    <d v="2023-03-12T00:00:00"/>
    <n v="2023"/>
    <s v="Q1"/>
    <n v="3"/>
    <s v="Mar"/>
    <n v="5"/>
    <n v="268.68"/>
    <x v="184"/>
    <s v="Office Supplies"/>
    <s v="Credit Card"/>
    <n v="5"/>
    <x v="186"/>
  </r>
  <r>
    <x v="185"/>
    <x v="1"/>
    <d v="2023-06-29T00:00:00"/>
    <n v="2023"/>
    <s v="Q2"/>
    <n v="6"/>
    <s v="Jun"/>
    <n v="2"/>
    <n v="504.1"/>
    <x v="185"/>
    <s v="Electronics"/>
    <s v="Credit Card"/>
    <n v="2"/>
    <x v="187"/>
  </r>
  <r>
    <x v="186"/>
    <x v="0"/>
    <d v="2025-04-16T00:00:00"/>
    <n v="2025"/>
    <s v="Q2"/>
    <n v="4"/>
    <s v="Apr"/>
    <n v="7"/>
    <n v="709.55"/>
    <x v="186"/>
    <s v="Electronics"/>
    <s v="Online"/>
    <n v="2"/>
    <x v="188"/>
  </r>
  <r>
    <x v="187"/>
    <x v="6"/>
    <d v="2023-07-27T00:00:00"/>
    <n v="2023"/>
    <s v="Q3"/>
    <n v="7"/>
    <s v="Jul"/>
    <n v="2"/>
    <n v="504.14"/>
    <x v="187"/>
    <s v="Office Supplies"/>
    <s v="Gift Card"/>
    <n v="3"/>
    <x v="189"/>
  </r>
  <r>
    <x v="188"/>
    <x v="3"/>
    <d v="2024-05-31T00:00:00"/>
    <n v="2024"/>
    <s v="Q2"/>
    <n v="5"/>
    <s v="May"/>
    <n v="1"/>
    <n v="789.77"/>
    <x v="188"/>
    <s v="Office Supplies"/>
    <s v="Online"/>
    <n v="4"/>
    <x v="190"/>
  </r>
  <r>
    <x v="189"/>
    <x v="3"/>
    <d v="2024-10-15T00:00:00"/>
    <n v="2024"/>
    <s v="Q4"/>
    <n v="10"/>
    <s v="Oct"/>
    <n v="7"/>
    <n v="449.79"/>
    <x v="189"/>
    <s v="Furniture"/>
    <s v="Online"/>
    <n v="1"/>
    <x v="191"/>
  </r>
  <r>
    <x v="190"/>
    <x v="3"/>
    <d v="2024-09-20T00:00:00"/>
    <n v="2024"/>
    <s v="Q3"/>
    <n v="9"/>
    <s v="Sep"/>
    <n v="5"/>
    <n v="651.59"/>
    <x v="190"/>
    <s v="Office Supplies"/>
    <s v="Credit Card"/>
    <n v="5"/>
    <x v="192"/>
  </r>
  <r>
    <x v="191"/>
    <x v="2"/>
    <d v="2023-07-31T00:00:00"/>
    <n v="2023"/>
    <s v="Q3"/>
    <n v="7"/>
    <s v="Jul"/>
    <n v="1"/>
    <n v="455.62"/>
    <x v="191"/>
    <s v="Electronics"/>
    <s v="Online"/>
    <n v="1"/>
    <x v="193"/>
  </r>
  <r>
    <x v="192"/>
    <x v="0"/>
    <d v="2024-11-22T00:00:00"/>
    <n v="2024"/>
    <s v="Q4"/>
    <n v="11"/>
    <s v="Nov"/>
    <n v="6"/>
    <n v="794.18"/>
    <x v="192"/>
    <s v="Furniture"/>
    <s v="Debit Card"/>
    <n v="2"/>
    <x v="194"/>
  </r>
  <r>
    <x v="193"/>
    <x v="6"/>
    <d v="2023-12-30T00:00:00"/>
    <n v="2023"/>
    <s v="Q4"/>
    <n v="12"/>
    <s v="Dec"/>
    <n v="3"/>
    <n v="434.87"/>
    <x v="193"/>
    <s v="Electronics"/>
    <s v="Gift Card"/>
    <n v="3"/>
    <x v="195"/>
  </r>
  <r>
    <x v="194"/>
    <x v="5"/>
    <d v="2023-08-04T00:00:00"/>
    <n v="2023"/>
    <s v="Q3"/>
    <n v="8"/>
    <s v="Aug"/>
    <n v="1"/>
    <n v="584.1"/>
    <x v="194"/>
    <s v="Electronics"/>
    <s v="Cash"/>
    <n v="2"/>
    <x v="196"/>
  </r>
  <r>
    <x v="195"/>
    <x v="5"/>
    <d v="2024-05-27T00:00:00"/>
    <n v="2024"/>
    <s v="Q2"/>
    <n v="5"/>
    <s v="May"/>
    <n v="6"/>
    <n v="280.63"/>
    <x v="195"/>
    <s v="Furniture"/>
    <s v="Gift Card"/>
    <n v="3"/>
    <x v="197"/>
  </r>
  <r>
    <x v="196"/>
    <x v="6"/>
    <d v="2025-03-27T00:00:00"/>
    <n v="2025"/>
    <s v="Q1"/>
    <n v="3"/>
    <s v="Mar"/>
    <n v="2"/>
    <n v="258.95999999999998"/>
    <x v="196"/>
    <s v="Office Supplies"/>
    <s v="Credit Card"/>
    <n v="4"/>
    <x v="198"/>
  </r>
  <r>
    <x v="197"/>
    <x v="4"/>
    <d v="2024-08-18T00:00:00"/>
    <n v="2024"/>
    <s v="Q3"/>
    <n v="8"/>
    <s v="Aug"/>
    <n v="8"/>
    <n v="207.94"/>
    <x v="197"/>
    <s v="Office Supplies"/>
    <s v="Debit Card"/>
    <n v="5"/>
    <x v="199"/>
  </r>
  <r>
    <x v="198"/>
    <x v="3"/>
    <d v="2024-12-26T00:00:00"/>
    <n v="2024"/>
    <s v="Q4"/>
    <n v="12"/>
    <s v="Dec"/>
    <n v="8"/>
    <n v="90.3"/>
    <x v="198"/>
    <s v="Office Supplies"/>
    <s v="Cash"/>
    <n v="3"/>
    <x v="200"/>
  </r>
  <r>
    <x v="199"/>
    <x v="5"/>
    <d v="2025-03-18T00:00:00"/>
    <n v="2025"/>
    <s v="Q1"/>
    <n v="3"/>
    <s v="Mar"/>
    <n v="8"/>
    <n v="612.74"/>
    <x v="199"/>
    <s v="Electronics"/>
    <s v="Gift Card"/>
    <n v="5"/>
    <x v="201"/>
  </r>
  <r>
    <x v="200"/>
    <x v="0"/>
    <d v="2024-12-02T00:00:00"/>
    <n v="2024"/>
    <s v="Q4"/>
    <n v="12"/>
    <s v="Dec"/>
    <n v="1"/>
    <n v="711.15"/>
    <x v="200"/>
    <s v="Furniture"/>
    <s v="Gift Card"/>
    <n v="4"/>
    <x v="202"/>
  </r>
  <r>
    <x v="201"/>
    <x v="2"/>
    <d v="2024-07-20T00:00:00"/>
    <n v="2024"/>
    <s v="Q3"/>
    <n v="7"/>
    <s v="Jul"/>
    <n v="5"/>
    <n v="114.92"/>
    <x v="201"/>
    <s v="Electronics"/>
    <s v="Debit Card"/>
    <n v="1"/>
    <x v="203"/>
  </r>
  <r>
    <x v="202"/>
    <x v="5"/>
    <d v="2025-05-27T00:00:00"/>
    <n v="2025"/>
    <s v="Q2"/>
    <n v="5"/>
    <s v="May"/>
    <n v="7"/>
    <n v="437.99"/>
    <x v="202"/>
    <s v="Office Supplies"/>
    <s v="Online"/>
    <n v="1"/>
    <x v="204"/>
  </r>
  <r>
    <x v="203"/>
    <x v="3"/>
    <d v="2023-04-15T00:00:00"/>
    <n v="2023"/>
    <s v="Q2"/>
    <n v="4"/>
    <s v="Apr"/>
    <n v="3"/>
    <n v="483.11"/>
    <x v="203"/>
    <s v="Office Supplies"/>
    <s v="Gift Card"/>
    <n v="4"/>
    <x v="205"/>
  </r>
  <r>
    <x v="72"/>
    <x v="1"/>
    <d v="2023-03-29T00:00:00"/>
    <n v="2023"/>
    <s v="Q1"/>
    <n v="3"/>
    <s v="Mar"/>
    <n v="5"/>
    <n v="770.86"/>
    <x v="72"/>
    <s v="Furniture"/>
    <s v="Gift Card"/>
    <n v="3"/>
    <x v="206"/>
  </r>
  <r>
    <x v="204"/>
    <x v="1"/>
    <d v="2024-03-28T00:00:00"/>
    <n v="2024"/>
    <s v="Q1"/>
    <n v="3"/>
    <s v="Mar"/>
    <n v="1"/>
    <n v="602.38"/>
    <x v="204"/>
    <s v="Electronics"/>
    <s v="Online"/>
    <n v="2"/>
    <x v="207"/>
  </r>
  <r>
    <x v="205"/>
    <x v="5"/>
    <d v="2024-12-02T00:00:00"/>
    <n v="2024"/>
    <s v="Q4"/>
    <n v="12"/>
    <s v="Dec"/>
    <n v="8"/>
    <n v="418.27"/>
    <x v="205"/>
    <s v="Electronics"/>
    <s v="Gift Card"/>
    <n v="5"/>
    <x v="208"/>
  </r>
  <r>
    <x v="206"/>
    <x v="4"/>
    <d v="2025-03-05T00:00:00"/>
    <n v="2025"/>
    <s v="Q1"/>
    <n v="3"/>
    <s v="Mar"/>
    <n v="8"/>
    <n v="295.61"/>
    <x v="206"/>
    <s v="Electronics"/>
    <s v="Credit Card"/>
    <n v="5"/>
    <x v="209"/>
  </r>
  <r>
    <x v="207"/>
    <x v="5"/>
    <d v="2023-09-06T00:00:00"/>
    <n v="2023"/>
    <s v="Q3"/>
    <n v="9"/>
    <s v="Sep"/>
    <n v="2"/>
    <n v="646.03"/>
    <x v="207"/>
    <s v="Electronics"/>
    <s v="Credit Card"/>
    <n v="5"/>
    <x v="210"/>
  </r>
  <r>
    <x v="208"/>
    <x v="2"/>
    <d v="2024-08-31T00:00:00"/>
    <n v="2024"/>
    <s v="Q3"/>
    <n v="8"/>
    <s v="Aug"/>
    <n v="5"/>
    <n v="441.52"/>
    <x v="208"/>
    <s v="Electronics"/>
    <s v="Credit Card"/>
    <n v="1"/>
    <x v="211"/>
  </r>
  <r>
    <x v="209"/>
    <x v="1"/>
    <d v="2024-07-29T00:00:00"/>
    <n v="2024"/>
    <s v="Q3"/>
    <n v="7"/>
    <s v="Jul"/>
    <n v="1"/>
    <n v="24.84"/>
    <x v="209"/>
    <s v="Office Supplies"/>
    <s v="Debit Card"/>
    <n v="1"/>
    <x v="212"/>
  </r>
  <r>
    <x v="210"/>
    <x v="0"/>
    <d v="2024-01-21T00:00:00"/>
    <n v="2024"/>
    <s v="Q1"/>
    <n v="1"/>
    <s v="Jan"/>
    <n v="5"/>
    <n v="741.72"/>
    <x v="210"/>
    <s v="Office Supplies"/>
    <s v="Cash"/>
    <n v="2"/>
    <x v="213"/>
  </r>
  <r>
    <x v="211"/>
    <x v="5"/>
    <d v="2023-09-01T00:00:00"/>
    <n v="2023"/>
    <s v="Q3"/>
    <n v="9"/>
    <s v="Sep"/>
    <n v="2"/>
    <n v="742.51"/>
    <x v="211"/>
    <s v="Furniture"/>
    <s v="Online"/>
    <n v="2"/>
    <x v="214"/>
  </r>
  <r>
    <x v="212"/>
    <x v="6"/>
    <d v="2023-05-25T00:00:00"/>
    <n v="2023"/>
    <s v="Q2"/>
    <n v="5"/>
    <s v="May"/>
    <n v="6"/>
    <n v="411.88"/>
    <x v="212"/>
    <s v="Office Supplies"/>
    <s v="Debit Card"/>
    <n v="3"/>
    <x v="215"/>
  </r>
  <r>
    <x v="213"/>
    <x v="4"/>
    <d v="2025-03-15T00:00:00"/>
    <n v="2025"/>
    <s v="Q1"/>
    <n v="3"/>
    <s v="Mar"/>
    <n v="3"/>
    <n v="428.09"/>
    <x v="213"/>
    <s v="Electronics"/>
    <s v="Debit Card"/>
    <n v="3"/>
    <x v="216"/>
  </r>
  <r>
    <x v="214"/>
    <x v="0"/>
    <d v="2023-05-23T00:00:00"/>
    <n v="2023"/>
    <s v="Q2"/>
    <n v="5"/>
    <s v="May"/>
    <n v="4"/>
    <n v="473.68"/>
    <x v="214"/>
    <s v="Electronics"/>
    <s v="Gift Card"/>
    <n v="4"/>
    <x v="217"/>
  </r>
  <r>
    <x v="215"/>
    <x v="2"/>
    <d v="2023-05-06T00:00:00"/>
    <n v="2023"/>
    <s v="Q2"/>
    <n v="5"/>
    <s v="May"/>
    <n v="5"/>
    <n v="362.89"/>
    <x v="215"/>
    <s v="Office Supplies"/>
    <s v="Gift Card"/>
    <n v="2"/>
    <x v="218"/>
  </r>
  <r>
    <x v="216"/>
    <x v="6"/>
    <d v="2023-05-20T00:00:00"/>
    <n v="2023"/>
    <s v="Q2"/>
    <n v="5"/>
    <s v="May"/>
    <n v="5"/>
    <n v="225.32"/>
    <x v="216"/>
    <s v="Furniture"/>
    <s v="Cash"/>
    <n v="5"/>
    <x v="219"/>
  </r>
  <r>
    <x v="217"/>
    <x v="5"/>
    <d v="2024-10-15T00:00:00"/>
    <n v="2024"/>
    <s v="Q4"/>
    <n v="10"/>
    <s v="Oct"/>
    <n v="6"/>
    <n v="43.52"/>
    <x v="217"/>
    <s v="Electronics"/>
    <s v="Credit Card"/>
    <n v="5"/>
    <x v="220"/>
  </r>
  <r>
    <x v="218"/>
    <x v="2"/>
    <d v="2025-05-29T00:00:00"/>
    <n v="2025"/>
    <s v="Q2"/>
    <n v="5"/>
    <s v="May"/>
    <n v="5"/>
    <n v="440.22"/>
    <x v="218"/>
    <s v="Office Supplies"/>
    <s v="Gift Card"/>
    <n v="1"/>
    <x v="221"/>
  </r>
  <r>
    <x v="219"/>
    <x v="0"/>
    <d v="2025-05-26T00:00:00"/>
    <n v="2025"/>
    <s v="Q2"/>
    <n v="5"/>
    <s v="May"/>
    <n v="8"/>
    <n v="156.04"/>
    <x v="219"/>
    <s v="Office Supplies"/>
    <s v="Debit Card"/>
    <n v="2"/>
    <x v="222"/>
  </r>
  <r>
    <x v="220"/>
    <x v="2"/>
    <d v="2024-09-10T00:00:00"/>
    <n v="2024"/>
    <s v="Q3"/>
    <n v="9"/>
    <s v="Sep"/>
    <n v="5"/>
    <n v="773.71"/>
    <x v="220"/>
    <s v="Office Supplies"/>
    <s v="Online"/>
    <n v="3"/>
    <x v="223"/>
  </r>
  <r>
    <x v="221"/>
    <x v="1"/>
    <d v="2024-10-06T00:00:00"/>
    <n v="2024"/>
    <s v="Q4"/>
    <n v="10"/>
    <s v="Oct"/>
    <n v="7"/>
    <n v="783.14"/>
    <x v="221"/>
    <s v="Furniture"/>
    <s v="Online"/>
    <n v="5"/>
    <x v="224"/>
  </r>
  <r>
    <x v="222"/>
    <x v="0"/>
    <d v="2024-09-05T00:00:00"/>
    <n v="2024"/>
    <s v="Q3"/>
    <n v="9"/>
    <s v="Sep"/>
    <n v="8"/>
    <n v="343.55"/>
    <x v="222"/>
    <s v="Office Supplies"/>
    <s v="Gift Card"/>
    <n v="1"/>
    <x v="225"/>
  </r>
  <r>
    <x v="223"/>
    <x v="6"/>
    <d v="2023-10-04T00:00:00"/>
    <n v="2023"/>
    <s v="Q4"/>
    <n v="10"/>
    <s v="Oct"/>
    <n v="4"/>
    <n v="447.82"/>
    <x v="223"/>
    <s v="Furniture"/>
    <s v="Online"/>
    <n v="1"/>
    <x v="226"/>
  </r>
  <r>
    <x v="224"/>
    <x v="1"/>
    <d v="2023-04-26T00:00:00"/>
    <n v="2023"/>
    <s v="Q2"/>
    <n v="4"/>
    <s v="Apr"/>
    <n v="3"/>
    <n v="520.58000000000004"/>
    <x v="224"/>
    <s v="Furniture"/>
    <s v="Online"/>
    <n v="1"/>
    <x v="227"/>
  </r>
  <r>
    <x v="225"/>
    <x v="6"/>
    <d v="2024-11-18T00:00:00"/>
    <n v="2024"/>
    <s v="Q4"/>
    <n v="11"/>
    <s v="Nov"/>
    <n v="8"/>
    <n v="702.89"/>
    <x v="225"/>
    <s v="Electronics"/>
    <s v="Online"/>
    <n v="4"/>
    <x v="228"/>
  </r>
  <r>
    <x v="226"/>
    <x v="4"/>
    <d v="2025-04-16T00:00:00"/>
    <n v="2025"/>
    <s v="Q2"/>
    <n v="4"/>
    <s v="Apr"/>
    <n v="5"/>
    <n v="507.53"/>
    <x v="226"/>
    <s v="Office Supplies"/>
    <s v="Debit Card"/>
    <n v="3"/>
    <x v="229"/>
  </r>
  <r>
    <x v="227"/>
    <x v="0"/>
    <d v="2025-04-10T00:00:00"/>
    <n v="2025"/>
    <s v="Q2"/>
    <n v="4"/>
    <s v="Apr"/>
    <n v="8"/>
    <n v="714.63"/>
    <x v="227"/>
    <s v="Furniture"/>
    <s v="Online"/>
    <n v="5"/>
    <x v="230"/>
  </r>
  <r>
    <x v="228"/>
    <x v="4"/>
    <d v="2023-12-16T00:00:00"/>
    <n v="2023"/>
    <s v="Q4"/>
    <n v="12"/>
    <s v="Dec"/>
    <n v="1"/>
    <n v="234.44"/>
    <x v="228"/>
    <s v="Office Supplies"/>
    <s v="Online"/>
    <n v="3"/>
    <x v="231"/>
  </r>
  <r>
    <x v="229"/>
    <x v="3"/>
    <d v="2024-08-21T00:00:00"/>
    <n v="2024"/>
    <s v="Q3"/>
    <n v="8"/>
    <s v="Aug"/>
    <n v="8"/>
    <n v="340"/>
    <x v="229"/>
    <s v="Office Supplies"/>
    <s v="Online"/>
    <n v="5"/>
    <x v="232"/>
  </r>
  <r>
    <x v="230"/>
    <x v="4"/>
    <d v="2024-11-19T00:00:00"/>
    <n v="2024"/>
    <s v="Q4"/>
    <n v="11"/>
    <s v="Nov"/>
    <n v="6"/>
    <n v="395.6"/>
    <x v="230"/>
    <s v="Electronics"/>
    <s v="Online"/>
    <n v="2"/>
    <x v="233"/>
  </r>
  <r>
    <x v="231"/>
    <x v="1"/>
    <d v="2024-10-06T00:00:00"/>
    <n v="2024"/>
    <s v="Q4"/>
    <n v="10"/>
    <s v="Oct"/>
    <n v="3"/>
    <n v="705.98"/>
    <x v="231"/>
    <s v="Office Supplies"/>
    <s v="Cash"/>
    <n v="2"/>
    <x v="234"/>
  </r>
  <r>
    <x v="232"/>
    <x v="1"/>
    <d v="2024-07-20T00:00:00"/>
    <n v="2024"/>
    <s v="Q3"/>
    <n v="7"/>
    <s v="Jul"/>
    <n v="3"/>
    <n v="792.02"/>
    <x v="232"/>
    <s v="Furniture"/>
    <s v="Gift Card"/>
    <n v="4"/>
    <x v="235"/>
  </r>
  <r>
    <x v="233"/>
    <x v="4"/>
    <d v="2025-02-16T00:00:00"/>
    <n v="2025"/>
    <s v="Q1"/>
    <n v="2"/>
    <s v="Feb"/>
    <n v="7"/>
    <n v="227.84"/>
    <x v="233"/>
    <s v="Furniture"/>
    <s v="Cash"/>
    <n v="4"/>
    <x v="236"/>
  </r>
  <r>
    <x v="234"/>
    <x v="5"/>
    <d v="2024-02-14T00:00:00"/>
    <n v="2024"/>
    <s v="Q1"/>
    <n v="2"/>
    <s v="Feb"/>
    <n v="6"/>
    <n v="67.73"/>
    <x v="234"/>
    <s v="Furniture"/>
    <s v="Online"/>
    <n v="5"/>
    <x v="237"/>
  </r>
  <r>
    <x v="64"/>
    <x v="5"/>
    <d v="2024-11-01T00:00:00"/>
    <n v="2024"/>
    <s v="Q4"/>
    <n v="11"/>
    <s v="Nov"/>
    <n v="5"/>
    <n v="468"/>
    <x v="64"/>
    <s v="Furniture"/>
    <s v="Debit Card"/>
    <n v="1"/>
    <x v="238"/>
  </r>
  <r>
    <x v="235"/>
    <x v="3"/>
    <d v="2023-09-12T00:00:00"/>
    <n v="2023"/>
    <s v="Q3"/>
    <n v="9"/>
    <s v="Sep"/>
    <n v="1"/>
    <n v="274.88"/>
    <x v="235"/>
    <s v="Office Supplies"/>
    <s v="Gift Card"/>
    <n v="2"/>
    <x v="239"/>
  </r>
  <r>
    <x v="236"/>
    <x v="5"/>
    <d v="2025-01-09T00:00:00"/>
    <n v="2025"/>
    <s v="Q1"/>
    <n v="1"/>
    <s v="Jan"/>
    <n v="1"/>
    <n v="677.08"/>
    <x v="236"/>
    <s v="Furniture"/>
    <s v="Debit Card"/>
    <n v="4"/>
    <x v="240"/>
  </r>
  <r>
    <x v="237"/>
    <x v="2"/>
    <d v="2024-12-23T00:00:00"/>
    <n v="2024"/>
    <s v="Q4"/>
    <n v="12"/>
    <s v="Dec"/>
    <n v="8"/>
    <n v="713.21"/>
    <x v="237"/>
    <s v="Office Supplies"/>
    <s v="Gift Card"/>
    <n v="5"/>
    <x v="241"/>
  </r>
  <r>
    <x v="238"/>
    <x v="2"/>
    <d v="2024-07-16T00:00:00"/>
    <n v="2024"/>
    <s v="Q3"/>
    <n v="7"/>
    <s v="Jul"/>
    <n v="3"/>
    <n v="597.35"/>
    <x v="238"/>
    <s v="Electronics"/>
    <s v="Gift Card"/>
    <n v="1"/>
    <x v="242"/>
  </r>
  <r>
    <x v="239"/>
    <x v="6"/>
    <d v="2025-01-11T00:00:00"/>
    <n v="2025"/>
    <s v="Q1"/>
    <n v="1"/>
    <s v="Jan"/>
    <n v="6"/>
    <n v="234.84"/>
    <x v="239"/>
    <s v="Office Supplies"/>
    <s v="Cash"/>
    <n v="5"/>
    <x v="243"/>
  </r>
  <r>
    <x v="240"/>
    <x v="5"/>
    <d v="2024-01-13T00:00:00"/>
    <n v="2024"/>
    <s v="Q1"/>
    <n v="1"/>
    <s v="Jan"/>
    <n v="5"/>
    <n v="751.68"/>
    <x v="240"/>
    <s v="Electronics"/>
    <s v="Credit Card"/>
    <n v="4"/>
    <x v="244"/>
  </r>
  <r>
    <x v="241"/>
    <x v="6"/>
    <d v="2024-06-18T00:00:00"/>
    <n v="2024"/>
    <s v="Q2"/>
    <n v="6"/>
    <s v="Jun"/>
    <n v="3"/>
    <n v="719.63"/>
    <x v="241"/>
    <s v="Electronics"/>
    <s v="Debit Card"/>
    <n v="4"/>
    <x v="245"/>
  </r>
  <r>
    <x v="242"/>
    <x v="1"/>
    <d v="2023-09-17T00:00:00"/>
    <n v="2023"/>
    <s v="Q3"/>
    <n v="9"/>
    <s v="Sep"/>
    <n v="8"/>
    <n v="300.38"/>
    <x v="242"/>
    <s v="Furniture"/>
    <s v="Credit Card"/>
    <n v="1"/>
    <x v="246"/>
  </r>
  <r>
    <x v="243"/>
    <x v="1"/>
    <d v="2023-07-19T00:00:00"/>
    <n v="2023"/>
    <s v="Q3"/>
    <n v="7"/>
    <s v="Jul"/>
    <n v="6"/>
    <n v="754.16"/>
    <x v="243"/>
    <s v="Furniture"/>
    <s v="Debit Card"/>
    <n v="1"/>
    <x v="247"/>
  </r>
  <r>
    <x v="244"/>
    <x v="6"/>
    <d v="2023-11-24T00:00:00"/>
    <n v="2023"/>
    <s v="Q4"/>
    <n v="11"/>
    <s v="Nov"/>
    <n v="7"/>
    <n v="240.67"/>
    <x v="244"/>
    <s v="Electronics"/>
    <s v="Credit Card"/>
    <n v="1"/>
    <x v="248"/>
  </r>
  <r>
    <x v="245"/>
    <x v="6"/>
    <d v="2025-03-24T00:00:00"/>
    <n v="2025"/>
    <s v="Q1"/>
    <n v="3"/>
    <s v="Mar"/>
    <n v="2"/>
    <n v="715.14"/>
    <x v="245"/>
    <s v="Electronics"/>
    <s v="Online"/>
    <n v="3"/>
    <x v="249"/>
  </r>
  <r>
    <x v="246"/>
    <x v="0"/>
    <d v="2024-01-12T00:00:00"/>
    <n v="2024"/>
    <s v="Q1"/>
    <n v="1"/>
    <s v="Jan"/>
    <n v="4"/>
    <n v="245.19"/>
    <x v="246"/>
    <s v="Electronics"/>
    <s v="Debit Card"/>
    <n v="4"/>
    <x v="250"/>
  </r>
  <r>
    <x v="247"/>
    <x v="2"/>
    <d v="2023-05-31T00:00:00"/>
    <n v="2023"/>
    <s v="Q2"/>
    <n v="5"/>
    <s v="May"/>
    <n v="4"/>
    <n v="254.64"/>
    <x v="247"/>
    <s v="Office Supplies"/>
    <s v="Online"/>
    <n v="5"/>
    <x v="251"/>
  </r>
  <r>
    <x v="248"/>
    <x v="1"/>
    <d v="2025-03-04T00:00:00"/>
    <n v="2025"/>
    <s v="Q1"/>
    <n v="3"/>
    <s v="Mar"/>
    <n v="5"/>
    <n v="416.21"/>
    <x v="248"/>
    <s v="Electronics"/>
    <s v="Online"/>
    <n v="1"/>
    <x v="252"/>
  </r>
  <r>
    <x v="249"/>
    <x v="0"/>
    <d v="2025-04-19T00:00:00"/>
    <n v="2025"/>
    <s v="Q2"/>
    <n v="4"/>
    <s v="Apr"/>
    <n v="2"/>
    <n v="472"/>
    <x v="249"/>
    <s v="Furniture"/>
    <s v="Cash"/>
    <n v="2"/>
    <x v="253"/>
  </r>
  <r>
    <x v="250"/>
    <x v="5"/>
    <d v="2023-10-06T00:00:00"/>
    <n v="2023"/>
    <s v="Q4"/>
    <n v="10"/>
    <s v="Oct"/>
    <n v="1"/>
    <n v="20.53"/>
    <x v="250"/>
    <s v="Furniture"/>
    <s v="Debit Card"/>
    <n v="3"/>
    <x v="254"/>
  </r>
  <r>
    <x v="251"/>
    <x v="4"/>
    <d v="2023-02-26T00:00:00"/>
    <n v="2023"/>
    <s v="Q1"/>
    <n v="2"/>
    <s v="Feb"/>
    <n v="8"/>
    <n v="152.88"/>
    <x v="251"/>
    <s v="Furniture"/>
    <s v="Gift Card"/>
    <n v="3"/>
    <x v="255"/>
  </r>
  <r>
    <x v="252"/>
    <x v="1"/>
    <d v="2025-04-13T00:00:00"/>
    <n v="2025"/>
    <s v="Q2"/>
    <n v="4"/>
    <s v="Apr"/>
    <n v="6"/>
    <n v="203.83"/>
    <x v="252"/>
    <s v="Electronics"/>
    <s v="Debit Card"/>
    <n v="4"/>
    <x v="256"/>
  </r>
  <r>
    <x v="253"/>
    <x v="6"/>
    <d v="2024-10-04T00:00:00"/>
    <n v="2024"/>
    <s v="Q4"/>
    <n v="10"/>
    <s v="Oct"/>
    <n v="2"/>
    <n v="350.19"/>
    <x v="253"/>
    <s v="Electronics"/>
    <s v="Cash"/>
    <n v="2"/>
    <x v="257"/>
  </r>
  <r>
    <x v="254"/>
    <x v="5"/>
    <d v="2024-12-17T00:00:00"/>
    <n v="2024"/>
    <s v="Q4"/>
    <n v="12"/>
    <s v="Dec"/>
    <n v="6"/>
    <n v="492.01"/>
    <x v="254"/>
    <s v="Electronics"/>
    <s v="Cash"/>
    <n v="3"/>
    <x v="258"/>
  </r>
  <r>
    <x v="255"/>
    <x v="2"/>
    <d v="2023-06-14T00:00:00"/>
    <n v="2023"/>
    <s v="Q2"/>
    <n v="6"/>
    <s v="Jun"/>
    <n v="5"/>
    <n v="307.26"/>
    <x v="255"/>
    <s v="Furniture"/>
    <s v="Credit Card"/>
    <n v="5"/>
    <x v="259"/>
  </r>
  <r>
    <x v="256"/>
    <x v="1"/>
    <d v="2025-06-03T00:00:00"/>
    <n v="2025"/>
    <s v="Q2"/>
    <n v="6"/>
    <s v="Jun"/>
    <n v="3"/>
    <n v="392.68"/>
    <x v="256"/>
    <s v="Electronics"/>
    <s v="Online"/>
    <n v="1"/>
    <x v="260"/>
  </r>
  <r>
    <x v="257"/>
    <x v="4"/>
    <d v="2025-04-13T00:00:00"/>
    <n v="2025"/>
    <s v="Q2"/>
    <n v="4"/>
    <s v="Apr"/>
    <n v="6"/>
    <n v="776.63"/>
    <x v="257"/>
    <s v="Furniture"/>
    <s v="Online"/>
    <n v="2"/>
    <x v="261"/>
  </r>
  <r>
    <x v="258"/>
    <x v="2"/>
    <d v="2025-05-21T00:00:00"/>
    <n v="2025"/>
    <s v="Q2"/>
    <n v="5"/>
    <s v="May"/>
    <n v="4"/>
    <n v="465.97"/>
    <x v="258"/>
    <s v="Office Supplies"/>
    <s v="Credit Card"/>
    <n v="5"/>
    <x v="262"/>
  </r>
  <r>
    <x v="259"/>
    <x v="6"/>
    <d v="2025-01-19T00:00:00"/>
    <n v="2025"/>
    <s v="Q1"/>
    <n v="1"/>
    <s v="Jan"/>
    <n v="6"/>
    <n v="336.38"/>
    <x v="259"/>
    <s v="Furniture"/>
    <s v="Debit Card"/>
    <n v="5"/>
    <x v="263"/>
  </r>
  <r>
    <x v="260"/>
    <x v="4"/>
    <d v="2025-06-18T00:00:00"/>
    <n v="2025"/>
    <s v="Q2"/>
    <n v="6"/>
    <s v="Jun"/>
    <n v="7"/>
    <n v="483.57"/>
    <x v="260"/>
    <s v="Furniture"/>
    <s v="Gift Card"/>
    <n v="5"/>
    <x v="264"/>
  </r>
  <r>
    <x v="261"/>
    <x v="4"/>
    <d v="2025-02-15T00:00:00"/>
    <n v="2025"/>
    <s v="Q1"/>
    <n v="2"/>
    <s v="Feb"/>
    <n v="4"/>
    <n v="111.52"/>
    <x v="261"/>
    <s v="Electronics"/>
    <s v="Debit Card"/>
    <n v="2"/>
    <x v="265"/>
  </r>
  <r>
    <x v="262"/>
    <x v="0"/>
    <d v="2023-07-09T00:00:00"/>
    <n v="2023"/>
    <s v="Q3"/>
    <n v="7"/>
    <s v="Jul"/>
    <n v="3"/>
    <n v="234.3"/>
    <x v="262"/>
    <s v="Office Supplies"/>
    <s v="Debit Card"/>
    <n v="2"/>
    <x v="266"/>
  </r>
  <r>
    <x v="263"/>
    <x v="3"/>
    <d v="2024-05-11T00:00:00"/>
    <n v="2024"/>
    <s v="Q2"/>
    <n v="5"/>
    <s v="May"/>
    <n v="3"/>
    <n v="754.71"/>
    <x v="263"/>
    <s v="Electronics"/>
    <s v="Credit Card"/>
    <n v="4"/>
    <x v="267"/>
  </r>
  <r>
    <x v="264"/>
    <x v="1"/>
    <d v="2024-03-10T00:00:00"/>
    <n v="2024"/>
    <s v="Q1"/>
    <n v="3"/>
    <s v="Mar"/>
    <n v="1"/>
    <n v="781.85"/>
    <x v="264"/>
    <s v="Furniture"/>
    <s v="Online"/>
    <n v="5"/>
    <x v="268"/>
  </r>
  <r>
    <x v="265"/>
    <x v="1"/>
    <d v="2023-06-07T00:00:00"/>
    <n v="2023"/>
    <s v="Q2"/>
    <n v="6"/>
    <s v="Jun"/>
    <n v="7"/>
    <n v="34.85"/>
    <x v="265"/>
    <s v="Office Supplies"/>
    <s v="Debit Card"/>
    <n v="3"/>
    <x v="269"/>
  </r>
  <r>
    <x v="266"/>
    <x v="5"/>
    <d v="2023-10-21T00:00:00"/>
    <n v="2023"/>
    <s v="Q4"/>
    <n v="10"/>
    <s v="Oct"/>
    <n v="4"/>
    <n v="659.47"/>
    <x v="266"/>
    <s v="Office Supplies"/>
    <s v="Gift Card"/>
    <n v="2"/>
    <x v="270"/>
  </r>
  <r>
    <x v="267"/>
    <x v="2"/>
    <d v="2023-04-03T00:00:00"/>
    <n v="2023"/>
    <s v="Q2"/>
    <n v="4"/>
    <s v="Apr"/>
    <n v="5"/>
    <n v="384.78"/>
    <x v="267"/>
    <s v="Furniture"/>
    <s v="Online"/>
    <n v="4"/>
    <x v="271"/>
  </r>
  <r>
    <x v="268"/>
    <x v="2"/>
    <d v="2025-01-04T00:00:00"/>
    <n v="2025"/>
    <s v="Q1"/>
    <n v="1"/>
    <s v="Jan"/>
    <n v="3"/>
    <n v="629.78"/>
    <x v="268"/>
    <s v="Electronics"/>
    <s v="Cash"/>
    <n v="4"/>
    <x v="272"/>
  </r>
  <r>
    <x v="269"/>
    <x v="2"/>
    <d v="2023-12-22T00:00:00"/>
    <n v="2023"/>
    <s v="Q4"/>
    <n v="12"/>
    <s v="Dec"/>
    <n v="7"/>
    <n v="655.23"/>
    <x v="269"/>
    <s v="Office Supplies"/>
    <s v="Online"/>
    <n v="2"/>
    <x v="273"/>
  </r>
  <r>
    <x v="270"/>
    <x v="2"/>
    <d v="2023-02-14T00:00:00"/>
    <n v="2023"/>
    <s v="Q1"/>
    <n v="2"/>
    <s v="Feb"/>
    <n v="6"/>
    <n v="610.36"/>
    <x v="270"/>
    <s v="Electronics"/>
    <s v="Credit Card"/>
    <n v="2"/>
    <x v="274"/>
  </r>
  <r>
    <x v="271"/>
    <x v="0"/>
    <d v="2023-08-03T00:00:00"/>
    <n v="2023"/>
    <s v="Q3"/>
    <n v="8"/>
    <s v="Aug"/>
    <n v="4"/>
    <n v="215.61"/>
    <x v="271"/>
    <s v="Office Supplies"/>
    <s v="Gift Card"/>
    <n v="1"/>
    <x v="275"/>
  </r>
  <r>
    <x v="272"/>
    <x v="0"/>
    <d v="2024-12-01T00:00:00"/>
    <n v="2024"/>
    <s v="Q4"/>
    <n v="12"/>
    <s v="Dec"/>
    <n v="2"/>
    <n v="311.39"/>
    <x v="272"/>
    <s v="Furniture"/>
    <s v="Debit Card"/>
    <n v="3"/>
    <x v="276"/>
  </r>
  <r>
    <x v="273"/>
    <x v="1"/>
    <d v="2024-07-13T00:00:00"/>
    <n v="2024"/>
    <s v="Q3"/>
    <n v="7"/>
    <s v="Jul"/>
    <n v="2"/>
    <n v="166.62"/>
    <x v="273"/>
    <s v="Office Supplies"/>
    <s v="Debit Card"/>
    <n v="1"/>
    <x v="277"/>
  </r>
  <r>
    <x v="274"/>
    <x v="4"/>
    <d v="2025-06-24T00:00:00"/>
    <n v="2025"/>
    <s v="Q2"/>
    <n v="6"/>
    <s v="Jun"/>
    <n v="2"/>
    <n v="330"/>
    <x v="274"/>
    <s v="Office Supplies"/>
    <s v="Debit Card"/>
    <n v="2"/>
    <x v="278"/>
  </r>
  <r>
    <x v="275"/>
    <x v="6"/>
    <d v="2025-03-26T00:00:00"/>
    <n v="2025"/>
    <s v="Q1"/>
    <n v="3"/>
    <s v="Mar"/>
    <n v="5"/>
    <n v="314.69"/>
    <x v="275"/>
    <s v="Electronics"/>
    <s v="Debit Card"/>
    <n v="4"/>
    <x v="279"/>
  </r>
  <r>
    <x v="276"/>
    <x v="2"/>
    <d v="2024-07-27T00:00:00"/>
    <n v="2024"/>
    <s v="Q3"/>
    <n v="7"/>
    <s v="Jul"/>
    <n v="2"/>
    <n v="677.5"/>
    <x v="276"/>
    <s v="Electronics"/>
    <s v="Credit Card"/>
    <n v="3"/>
    <x v="280"/>
  </r>
  <r>
    <x v="277"/>
    <x v="0"/>
    <d v="2024-11-29T00:00:00"/>
    <n v="2024"/>
    <s v="Q4"/>
    <n v="11"/>
    <s v="Nov"/>
    <n v="6"/>
    <n v="5.18"/>
    <x v="277"/>
    <s v="Furniture"/>
    <s v="Cash"/>
    <n v="5"/>
    <x v="281"/>
  </r>
  <r>
    <x v="278"/>
    <x v="1"/>
    <d v="2025-05-04T00:00:00"/>
    <n v="2025"/>
    <s v="Q2"/>
    <n v="5"/>
    <s v="May"/>
    <n v="3"/>
    <n v="671.86"/>
    <x v="278"/>
    <s v="Electronics"/>
    <s v="Online"/>
    <n v="1"/>
    <x v="282"/>
  </r>
  <r>
    <x v="279"/>
    <x v="4"/>
    <d v="2023-10-22T00:00:00"/>
    <n v="2023"/>
    <s v="Q4"/>
    <n v="10"/>
    <s v="Oct"/>
    <n v="8"/>
    <n v="209.16"/>
    <x v="279"/>
    <s v="Office Supplies"/>
    <s v="Debit Card"/>
    <n v="3"/>
    <x v="283"/>
  </r>
  <r>
    <x v="280"/>
    <x v="5"/>
    <d v="2023-01-05T00:00:00"/>
    <n v="2023"/>
    <s v="Q1"/>
    <n v="1"/>
    <s v="Jan"/>
    <n v="7"/>
    <n v="128.59"/>
    <x v="280"/>
    <s v="Furniture"/>
    <s v="Credit Card"/>
    <n v="3"/>
    <x v="284"/>
  </r>
  <r>
    <x v="281"/>
    <x v="0"/>
    <d v="2023-06-09T00:00:00"/>
    <n v="2023"/>
    <s v="Q2"/>
    <n v="6"/>
    <s v="Jun"/>
    <n v="4"/>
    <n v="774.66"/>
    <x v="281"/>
    <s v="Electronics"/>
    <s v="Online"/>
    <n v="3"/>
    <x v="285"/>
  </r>
  <r>
    <x v="282"/>
    <x v="6"/>
    <d v="2024-02-15T00:00:00"/>
    <n v="2024"/>
    <s v="Q1"/>
    <n v="2"/>
    <s v="Feb"/>
    <n v="7"/>
    <n v="427.25"/>
    <x v="282"/>
    <s v="Electronics"/>
    <s v="Cash"/>
    <n v="5"/>
    <x v="286"/>
  </r>
  <r>
    <x v="283"/>
    <x v="5"/>
    <d v="2024-04-06T00:00:00"/>
    <n v="2024"/>
    <s v="Q2"/>
    <n v="4"/>
    <s v="Apr"/>
    <n v="3"/>
    <n v="93.76"/>
    <x v="283"/>
    <s v="Electronics"/>
    <s v="Debit Card"/>
    <n v="1"/>
    <x v="287"/>
  </r>
  <r>
    <x v="284"/>
    <x v="5"/>
    <d v="2023-04-03T00:00:00"/>
    <n v="2023"/>
    <s v="Q2"/>
    <n v="4"/>
    <s v="Apr"/>
    <n v="6"/>
    <n v="295.93"/>
    <x v="284"/>
    <s v="Office Supplies"/>
    <s v="Online"/>
    <n v="2"/>
    <x v="288"/>
  </r>
  <r>
    <x v="285"/>
    <x v="6"/>
    <d v="2023-03-18T00:00:00"/>
    <n v="2023"/>
    <s v="Q1"/>
    <n v="3"/>
    <s v="Mar"/>
    <n v="7"/>
    <n v="253.64"/>
    <x v="285"/>
    <s v="Office Supplies"/>
    <s v="Credit Card"/>
    <n v="1"/>
    <x v="289"/>
  </r>
  <r>
    <x v="286"/>
    <x v="6"/>
    <d v="2024-11-02T00:00:00"/>
    <n v="2024"/>
    <s v="Q4"/>
    <n v="11"/>
    <s v="Nov"/>
    <n v="7"/>
    <n v="89.56"/>
    <x v="286"/>
    <s v="Furniture"/>
    <s v="Cash"/>
    <n v="3"/>
    <x v="290"/>
  </r>
  <r>
    <x v="287"/>
    <x v="1"/>
    <d v="2024-12-22T00:00:00"/>
    <n v="2024"/>
    <s v="Q4"/>
    <n v="12"/>
    <s v="Dec"/>
    <n v="7"/>
    <n v="247.21"/>
    <x v="287"/>
    <s v="Electronics"/>
    <s v="Online"/>
    <n v="2"/>
    <x v="291"/>
  </r>
  <r>
    <x v="288"/>
    <x v="4"/>
    <d v="2025-01-09T00:00:00"/>
    <n v="2025"/>
    <s v="Q1"/>
    <n v="1"/>
    <s v="Jan"/>
    <n v="6"/>
    <n v="137.78"/>
    <x v="288"/>
    <s v="Office Supplies"/>
    <s v="Gift Card"/>
    <n v="3"/>
    <x v="292"/>
  </r>
  <r>
    <x v="289"/>
    <x v="1"/>
    <d v="2024-11-02T00:00:00"/>
    <n v="2024"/>
    <s v="Q4"/>
    <n v="11"/>
    <s v="Nov"/>
    <n v="3"/>
    <n v="639.79"/>
    <x v="289"/>
    <s v="Office Supplies"/>
    <s v="Online"/>
    <n v="4"/>
    <x v="293"/>
  </r>
  <r>
    <x v="290"/>
    <x v="0"/>
    <d v="2025-01-15T00:00:00"/>
    <n v="2025"/>
    <s v="Q1"/>
    <n v="1"/>
    <s v="Jan"/>
    <n v="4"/>
    <n v="174.83"/>
    <x v="290"/>
    <s v="Furniture"/>
    <s v="Gift Card"/>
    <n v="1"/>
    <x v="294"/>
  </r>
  <r>
    <x v="291"/>
    <x v="4"/>
    <d v="2024-03-29T00:00:00"/>
    <n v="2024"/>
    <s v="Q1"/>
    <n v="3"/>
    <s v="Mar"/>
    <n v="4"/>
    <n v="202.97"/>
    <x v="291"/>
    <s v="Office Supplies"/>
    <s v="Online"/>
    <n v="2"/>
    <x v="295"/>
  </r>
  <r>
    <x v="292"/>
    <x v="3"/>
    <d v="2023-12-27T00:00:00"/>
    <n v="2023"/>
    <s v="Q4"/>
    <n v="12"/>
    <s v="Dec"/>
    <n v="4"/>
    <n v="384.27"/>
    <x v="292"/>
    <s v="Office Supplies"/>
    <s v="Gift Card"/>
    <n v="1"/>
    <x v="74"/>
  </r>
  <r>
    <x v="293"/>
    <x v="4"/>
    <d v="2023-04-12T00:00:00"/>
    <n v="2023"/>
    <s v="Q2"/>
    <n v="4"/>
    <s v="Apr"/>
    <n v="5"/>
    <n v="62.8"/>
    <x v="293"/>
    <s v="Office Supplies"/>
    <s v="Cash"/>
    <n v="2"/>
    <x v="296"/>
  </r>
  <r>
    <x v="294"/>
    <x v="1"/>
    <d v="2023-06-06T00:00:00"/>
    <n v="2023"/>
    <s v="Q2"/>
    <n v="6"/>
    <s v="Jun"/>
    <n v="8"/>
    <n v="39.49"/>
    <x v="294"/>
    <s v="Furniture"/>
    <s v="Online"/>
    <n v="2"/>
    <x v="297"/>
  </r>
  <r>
    <x v="295"/>
    <x v="5"/>
    <d v="2024-04-08T00:00:00"/>
    <n v="2024"/>
    <s v="Q2"/>
    <n v="4"/>
    <s v="Apr"/>
    <n v="2"/>
    <n v="775.78"/>
    <x v="295"/>
    <s v="Electronics"/>
    <s v="Debit Card"/>
    <n v="2"/>
    <x v="298"/>
  </r>
  <r>
    <x v="296"/>
    <x v="5"/>
    <d v="2024-10-12T00:00:00"/>
    <n v="2024"/>
    <s v="Q4"/>
    <n v="10"/>
    <s v="Oct"/>
    <n v="4"/>
    <n v="609.05999999999995"/>
    <x v="296"/>
    <s v="Furniture"/>
    <s v="Credit Card"/>
    <n v="1"/>
    <x v="299"/>
  </r>
  <r>
    <x v="11"/>
    <x v="6"/>
    <d v="2024-02-01T00:00:00"/>
    <n v="2024"/>
    <s v="Q1"/>
    <n v="2"/>
    <s v="Feb"/>
    <n v="6"/>
    <n v="562.65"/>
    <x v="11"/>
    <s v="Furniture"/>
    <s v="Debit Card"/>
    <n v="5"/>
    <x v="300"/>
  </r>
  <r>
    <x v="297"/>
    <x v="4"/>
    <d v="2023-12-04T00:00:00"/>
    <n v="2023"/>
    <s v="Q4"/>
    <n v="12"/>
    <s v="Dec"/>
    <n v="6"/>
    <n v="462"/>
    <x v="297"/>
    <s v="Furniture"/>
    <s v="Cash"/>
    <n v="3"/>
    <x v="301"/>
  </r>
  <r>
    <x v="298"/>
    <x v="2"/>
    <d v="2024-05-26T00:00:00"/>
    <n v="2024"/>
    <s v="Q2"/>
    <n v="5"/>
    <s v="May"/>
    <n v="5"/>
    <n v="84.16"/>
    <x v="298"/>
    <s v="Office Supplies"/>
    <s v="Debit Card"/>
    <n v="2"/>
    <x v="302"/>
  </r>
  <r>
    <x v="299"/>
    <x v="5"/>
    <d v="2025-04-14T00:00:00"/>
    <n v="2025"/>
    <s v="Q2"/>
    <n v="4"/>
    <s v="Apr"/>
    <n v="8"/>
    <n v="505.48"/>
    <x v="299"/>
    <s v="Office Supplies"/>
    <s v="Cash"/>
    <n v="4"/>
    <x v="303"/>
  </r>
  <r>
    <x v="300"/>
    <x v="3"/>
    <d v="2024-10-01T00:00:00"/>
    <n v="2024"/>
    <s v="Q4"/>
    <n v="10"/>
    <s v="Oct"/>
    <n v="1"/>
    <n v="559.53"/>
    <x v="300"/>
    <s v="Furniture"/>
    <s v="Credit Card"/>
    <n v="3"/>
    <x v="304"/>
  </r>
  <r>
    <x v="301"/>
    <x v="1"/>
    <d v="2023-02-27T00:00:00"/>
    <n v="2023"/>
    <s v="Q1"/>
    <n v="2"/>
    <s v="Feb"/>
    <n v="2"/>
    <n v="797.65"/>
    <x v="301"/>
    <s v="Furniture"/>
    <s v="Debit Card"/>
    <n v="2"/>
    <x v="305"/>
  </r>
  <r>
    <x v="302"/>
    <x v="6"/>
    <d v="2023-08-03T00:00:00"/>
    <n v="2023"/>
    <s v="Q3"/>
    <n v="8"/>
    <s v="Aug"/>
    <n v="2"/>
    <n v="552.32000000000005"/>
    <x v="302"/>
    <s v="Furniture"/>
    <s v="Gift Card"/>
    <n v="4"/>
    <x v="306"/>
  </r>
  <r>
    <x v="303"/>
    <x v="0"/>
    <d v="2024-01-11T00:00:00"/>
    <n v="2024"/>
    <s v="Q1"/>
    <n v="1"/>
    <s v="Jan"/>
    <n v="5"/>
    <n v="429.91"/>
    <x v="303"/>
    <s v="Office Supplies"/>
    <s v="Debit Card"/>
    <n v="1"/>
    <x v="307"/>
  </r>
  <r>
    <x v="304"/>
    <x v="0"/>
    <d v="2024-05-20T00:00:00"/>
    <n v="2024"/>
    <s v="Q2"/>
    <n v="5"/>
    <s v="May"/>
    <n v="8"/>
    <n v="642.91"/>
    <x v="304"/>
    <s v="Furniture"/>
    <s v="Online"/>
    <n v="2"/>
    <x v="308"/>
  </r>
  <r>
    <x v="305"/>
    <x v="0"/>
    <d v="2024-12-17T00:00:00"/>
    <n v="2024"/>
    <s v="Q4"/>
    <n v="12"/>
    <s v="Dec"/>
    <n v="4"/>
    <n v="16.48"/>
    <x v="305"/>
    <s v="Office Supplies"/>
    <s v="Gift Card"/>
    <n v="5"/>
    <x v="309"/>
  </r>
  <r>
    <x v="306"/>
    <x v="2"/>
    <d v="2025-01-31T00:00:00"/>
    <n v="2025"/>
    <s v="Q1"/>
    <n v="1"/>
    <s v="Jan"/>
    <n v="6"/>
    <n v="354.17"/>
    <x v="306"/>
    <s v="Electronics"/>
    <s v="Online"/>
    <n v="2"/>
    <x v="310"/>
  </r>
  <r>
    <x v="307"/>
    <x v="0"/>
    <d v="2024-06-10T00:00:00"/>
    <n v="2024"/>
    <s v="Q2"/>
    <n v="6"/>
    <s v="Jun"/>
    <n v="8"/>
    <n v="389.9"/>
    <x v="307"/>
    <s v="Office Supplies"/>
    <s v="Debit Card"/>
    <n v="4"/>
    <x v="311"/>
  </r>
  <r>
    <x v="308"/>
    <x v="6"/>
    <d v="2025-06-25T00:00:00"/>
    <n v="2025"/>
    <s v="Q2"/>
    <n v="6"/>
    <s v="Jun"/>
    <n v="8"/>
    <n v="293.06"/>
    <x v="308"/>
    <s v="Furniture"/>
    <s v="Debit Card"/>
    <n v="1"/>
    <x v="312"/>
  </r>
  <r>
    <x v="309"/>
    <x v="4"/>
    <d v="2025-05-04T00:00:00"/>
    <n v="2025"/>
    <s v="Q2"/>
    <n v="5"/>
    <s v="May"/>
    <n v="1"/>
    <n v="572.53"/>
    <x v="309"/>
    <s v="Office Supplies"/>
    <s v="Online"/>
    <n v="1"/>
    <x v="313"/>
  </r>
  <r>
    <x v="310"/>
    <x v="6"/>
    <d v="2025-05-14T00:00:00"/>
    <n v="2025"/>
    <s v="Q2"/>
    <n v="5"/>
    <s v="May"/>
    <n v="1"/>
    <n v="13.02"/>
    <x v="310"/>
    <s v="Electronics"/>
    <s v="Credit Card"/>
    <n v="2"/>
    <x v="314"/>
  </r>
  <r>
    <x v="311"/>
    <x v="5"/>
    <d v="2024-09-08T00:00:00"/>
    <n v="2024"/>
    <s v="Q3"/>
    <n v="9"/>
    <s v="Sep"/>
    <n v="4"/>
    <n v="621.19000000000005"/>
    <x v="311"/>
    <s v="Electronics"/>
    <s v="Gift Card"/>
    <n v="1"/>
    <x v="315"/>
  </r>
  <r>
    <x v="312"/>
    <x v="0"/>
    <d v="2023-06-09T00:00:00"/>
    <n v="2023"/>
    <s v="Q2"/>
    <n v="6"/>
    <s v="Jun"/>
    <n v="8"/>
    <n v="677.68"/>
    <x v="312"/>
    <s v="Office Supplies"/>
    <s v="Gift Card"/>
    <n v="2"/>
    <x v="316"/>
  </r>
  <r>
    <x v="313"/>
    <x v="1"/>
    <d v="2025-06-19T00:00:00"/>
    <n v="2025"/>
    <s v="Q2"/>
    <n v="6"/>
    <s v="Jun"/>
    <n v="5"/>
    <n v="150.35"/>
    <x v="313"/>
    <s v="Electronics"/>
    <s v="Cash"/>
    <n v="3"/>
    <x v="317"/>
  </r>
  <r>
    <x v="314"/>
    <x v="1"/>
    <d v="2024-07-16T00:00:00"/>
    <n v="2024"/>
    <s v="Q3"/>
    <n v="7"/>
    <s v="Jul"/>
    <n v="8"/>
    <n v="486.21"/>
    <x v="314"/>
    <s v="Office Supplies"/>
    <s v="Gift Card"/>
    <n v="3"/>
    <x v="318"/>
  </r>
  <r>
    <x v="315"/>
    <x v="4"/>
    <d v="2023-08-10T00:00:00"/>
    <n v="2023"/>
    <s v="Q3"/>
    <n v="8"/>
    <s v="Aug"/>
    <n v="4"/>
    <n v="163.79"/>
    <x v="315"/>
    <s v="Furniture"/>
    <s v="Gift Card"/>
    <n v="5"/>
    <x v="319"/>
  </r>
  <r>
    <x v="316"/>
    <x v="2"/>
    <d v="2025-05-13T00:00:00"/>
    <n v="2025"/>
    <s v="Q2"/>
    <n v="5"/>
    <s v="May"/>
    <n v="6"/>
    <n v="527.91"/>
    <x v="316"/>
    <s v="Electronics"/>
    <s v="Gift Card"/>
    <n v="2"/>
    <x v="320"/>
  </r>
  <r>
    <x v="317"/>
    <x v="2"/>
    <d v="2025-03-06T00:00:00"/>
    <n v="2025"/>
    <s v="Q1"/>
    <n v="3"/>
    <s v="Mar"/>
    <n v="5"/>
    <n v="306.77"/>
    <x v="317"/>
    <s v="Furniture"/>
    <s v="Gift Card"/>
    <n v="4"/>
    <x v="321"/>
  </r>
  <r>
    <x v="318"/>
    <x v="4"/>
    <d v="2025-01-27T00:00:00"/>
    <n v="2025"/>
    <s v="Q1"/>
    <n v="1"/>
    <s v="Jan"/>
    <n v="2"/>
    <n v="676.4"/>
    <x v="318"/>
    <s v="Office Supplies"/>
    <s v="Gift Card"/>
    <n v="1"/>
    <x v="322"/>
  </r>
  <r>
    <x v="319"/>
    <x v="3"/>
    <d v="2024-05-01T00:00:00"/>
    <n v="2024"/>
    <s v="Q2"/>
    <n v="5"/>
    <s v="May"/>
    <n v="5"/>
    <n v="118.35"/>
    <x v="319"/>
    <s v="Office Supplies"/>
    <s v="Gift Card"/>
    <n v="4"/>
    <x v="323"/>
  </r>
  <r>
    <x v="320"/>
    <x v="1"/>
    <d v="2025-03-24T00:00:00"/>
    <n v="2025"/>
    <s v="Q1"/>
    <n v="3"/>
    <s v="Mar"/>
    <n v="1"/>
    <n v="198.47"/>
    <x v="320"/>
    <s v="Electronics"/>
    <s v="Debit Card"/>
    <n v="4"/>
    <x v="324"/>
  </r>
  <r>
    <x v="321"/>
    <x v="4"/>
    <d v="2025-05-22T00:00:00"/>
    <n v="2025"/>
    <s v="Q2"/>
    <n v="5"/>
    <s v="May"/>
    <n v="6"/>
    <n v="598.59"/>
    <x v="321"/>
    <s v="Electronics"/>
    <s v="Gift Card"/>
    <n v="1"/>
    <x v="325"/>
  </r>
  <r>
    <x v="322"/>
    <x v="2"/>
    <d v="2023-01-24T00:00:00"/>
    <n v="2023"/>
    <s v="Q1"/>
    <n v="1"/>
    <s v="Jan"/>
    <n v="7"/>
    <n v="152.85"/>
    <x v="322"/>
    <s v="Electronics"/>
    <s v="Online"/>
    <n v="4"/>
    <x v="326"/>
  </r>
  <r>
    <x v="323"/>
    <x v="5"/>
    <d v="2023-11-08T00:00:00"/>
    <n v="2023"/>
    <s v="Q4"/>
    <n v="11"/>
    <s v="Nov"/>
    <n v="8"/>
    <n v="664.71"/>
    <x v="323"/>
    <s v="Office Supplies"/>
    <s v="Debit Card"/>
    <n v="2"/>
    <x v="327"/>
  </r>
  <r>
    <x v="324"/>
    <x v="4"/>
    <d v="2023-03-05T00:00:00"/>
    <n v="2023"/>
    <s v="Q1"/>
    <n v="3"/>
    <s v="Mar"/>
    <n v="6"/>
    <n v="411.62"/>
    <x v="324"/>
    <s v="Furniture"/>
    <s v="Online"/>
    <n v="1"/>
    <x v="328"/>
  </r>
  <r>
    <x v="325"/>
    <x v="1"/>
    <d v="2023-10-02T00:00:00"/>
    <n v="2023"/>
    <s v="Q4"/>
    <n v="10"/>
    <s v="Oct"/>
    <n v="1"/>
    <n v="88.6"/>
    <x v="325"/>
    <s v="Electronics"/>
    <s v="Credit Card"/>
    <n v="2"/>
    <x v="329"/>
  </r>
  <r>
    <x v="326"/>
    <x v="5"/>
    <d v="2025-04-04T00:00:00"/>
    <n v="2025"/>
    <s v="Q2"/>
    <n v="4"/>
    <s v="Apr"/>
    <n v="1"/>
    <n v="732.88"/>
    <x v="326"/>
    <s v="Furniture"/>
    <s v="Online"/>
    <n v="2"/>
    <x v="330"/>
  </r>
  <r>
    <x v="327"/>
    <x v="2"/>
    <d v="2024-06-07T00:00:00"/>
    <n v="2024"/>
    <s v="Q2"/>
    <n v="6"/>
    <s v="Jun"/>
    <n v="2"/>
    <n v="143.87"/>
    <x v="327"/>
    <s v="Electronics"/>
    <s v="Credit Card"/>
    <n v="1"/>
    <x v="331"/>
  </r>
  <r>
    <x v="328"/>
    <x v="4"/>
    <d v="2023-06-26T00:00:00"/>
    <n v="2023"/>
    <s v="Q2"/>
    <n v="6"/>
    <s v="Jun"/>
    <n v="4"/>
    <n v="700.91"/>
    <x v="328"/>
    <s v="Furniture"/>
    <s v="Debit Card"/>
    <n v="5"/>
    <x v="332"/>
  </r>
  <r>
    <x v="329"/>
    <x v="3"/>
    <d v="2024-02-08T00:00:00"/>
    <n v="2024"/>
    <s v="Q1"/>
    <n v="2"/>
    <s v="Feb"/>
    <n v="6"/>
    <n v="27.4"/>
    <x v="329"/>
    <s v="Office Supplies"/>
    <s v="Debit Card"/>
    <n v="1"/>
    <x v="333"/>
  </r>
  <r>
    <x v="330"/>
    <x v="5"/>
    <d v="2024-05-03T00:00:00"/>
    <n v="2024"/>
    <s v="Q2"/>
    <n v="5"/>
    <s v="May"/>
    <n v="4"/>
    <n v="441.89"/>
    <x v="330"/>
    <s v="Electronics"/>
    <s v="Debit Card"/>
    <n v="3"/>
    <x v="334"/>
  </r>
  <r>
    <x v="331"/>
    <x v="2"/>
    <d v="2023-06-06T00:00:00"/>
    <n v="2023"/>
    <s v="Q2"/>
    <n v="6"/>
    <s v="Jun"/>
    <n v="1"/>
    <n v="754.33"/>
    <x v="331"/>
    <s v="Electronics"/>
    <s v="Credit Card"/>
    <n v="4"/>
    <x v="335"/>
  </r>
  <r>
    <x v="332"/>
    <x v="3"/>
    <d v="2024-06-05T00:00:00"/>
    <n v="2024"/>
    <s v="Q2"/>
    <n v="6"/>
    <s v="Jun"/>
    <n v="5"/>
    <n v="24.07"/>
    <x v="332"/>
    <s v="Electronics"/>
    <s v="Online"/>
    <n v="1"/>
    <x v="336"/>
  </r>
  <r>
    <x v="333"/>
    <x v="1"/>
    <d v="2023-08-19T00:00:00"/>
    <n v="2023"/>
    <s v="Q3"/>
    <n v="8"/>
    <s v="Aug"/>
    <n v="4"/>
    <n v="601.41999999999996"/>
    <x v="333"/>
    <s v="Electronics"/>
    <s v="Gift Card"/>
    <n v="1"/>
    <x v="337"/>
  </r>
  <r>
    <x v="334"/>
    <x v="0"/>
    <d v="2025-06-15T00:00:00"/>
    <n v="2025"/>
    <s v="Q2"/>
    <n v="6"/>
    <s v="Jun"/>
    <n v="2"/>
    <n v="154.1"/>
    <x v="334"/>
    <s v="Electronics"/>
    <s v="Cash"/>
    <n v="3"/>
    <x v="338"/>
  </r>
  <r>
    <x v="335"/>
    <x v="2"/>
    <d v="2024-12-25T00:00:00"/>
    <n v="2024"/>
    <s v="Q4"/>
    <n v="12"/>
    <s v="Dec"/>
    <n v="3"/>
    <n v="166.16"/>
    <x v="335"/>
    <s v="Office Supplies"/>
    <s v="Online"/>
    <n v="1"/>
    <x v="339"/>
  </r>
  <r>
    <x v="336"/>
    <x v="2"/>
    <d v="2025-02-26T00:00:00"/>
    <n v="2025"/>
    <s v="Q1"/>
    <n v="2"/>
    <s v="Feb"/>
    <n v="6"/>
    <n v="156.78"/>
    <x v="336"/>
    <s v="Furniture"/>
    <s v="Credit Card"/>
    <n v="2"/>
    <x v="340"/>
  </r>
  <r>
    <x v="337"/>
    <x v="6"/>
    <d v="2024-04-07T00:00:00"/>
    <n v="2024"/>
    <s v="Q2"/>
    <n v="4"/>
    <s v="Apr"/>
    <n v="2"/>
    <n v="554.39"/>
    <x v="337"/>
    <s v="Furniture"/>
    <s v="Gift Card"/>
    <n v="1"/>
    <x v="341"/>
  </r>
  <r>
    <x v="148"/>
    <x v="0"/>
    <d v="2023-04-26T00:00:00"/>
    <n v="2023"/>
    <s v="Q2"/>
    <n v="4"/>
    <s v="Apr"/>
    <n v="3"/>
    <n v="287.06"/>
    <x v="148"/>
    <s v="Furniture"/>
    <s v="Cash"/>
    <n v="3"/>
    <x v="342"/>
  </r>
  <r>
    <x v="338"/>
    <x v="1"/>
    <d v="2024-04-19T00:00:00"/>
    <n v="2024"/>
    <s v="Q2"/>
    <n v="4"/>
    <s v="Apr"/>
    <n v="6"/>
    <n v="39.6"/>
    <x v="338"/>
    <s v="Furniture"/>
    <s v="Online"/>
    <n v="3"/>
    <x v="343"/>
  </r>
  <r>
    <x v="339"/>
    <x v="6"/>
    <d v="2025-04-13T00:00:00"/>
    <n v="2025"/>
    <s v="Q2"/>
    <n v="4"/>
    <s v="Apr"/>
    <n v="5"/>
    <n v="373.52"/>
    <x v="339"/>
    <s v="Office Supplies"/>
    <s v="Credit Card"/>
    <n v="2"/>
    <x v="344"/>
  </r>
  <r>
    <x v="340"/>
    <x v="3"/>
    <d v="2024-10-13T00:00:00"/>
    <n v="2024"/>
    <s v="Q4"/>
    <n v="10"/>
    <s v="Oct"/>
    <n v="1"/>
    <n v="585.9"/>
    <x v="340"/>
    <s v="Furniture"/>
    <s v="Debit Card"/>
    <n v="3"/>
    <x v="345"/>
  </r>
  <r>
    <x v="341"/>
    <x v="3"/>
    <d v="2023-04-13T00:00:00"/>
    <n v="2023"/>
    <s v="Q2"/>
    <n v="4"/>
    <s v="Apr"/>
    <n v="2"/>
    <n v="406.89"/>
    <x v="341"/>
    <s v="Furniture"/>
    <s v="Online"/>
    <n v="1"/>
    <x v="346"/>
  </r>
  <r>
    <x v="342"/>
    <x v="1"/>
    <d v="2023-10-19T00:00:00"/>
    <n v="2023"/>
    <s v="Q4"/>
    <n v="10"/>
    <s v="Oct"/>
    <n v="2"/>
    <n v="227.29"/>
    <x v="342"/>
    <s v="Office Supplies"/>
    <s v="Gift Card"/>
    <n v="5"/>
    <x v="347"/>
  </r>
  <r>
    <x v="343"/>
    <x v="3"/>
    <d v="2024-06-07T00:00:00"/>
    <n v="2024"/>
    <s v="Q2"/>
    <n v="6"/>
    <s v="Jun"/>
    <n v="4"/>
    <n v="772.9"/>
    <x v="343"/>
    <s v="Electronics"/>
    <s v="Debit Card"/>
    <n v="5"/>
    <x v="348"/>
  </r>
  <r>
    <x v="344"/>
    <x v="5"/>
    <d v="2023-10-05T00:00:00"/>
    <n v="2023"/>
    <s v="Q4"/>
    <n v="10"/>
    <s v="Oct"/>
    <n v="2"/>
    <n v="105.59"/>
    <x v="344"/>
    <s v="Office Supplies"/>
    <s v="Debit Card"/>
    <n v="4"/>
    <x v="349"/>
  </r>
  <r>
    <x v="345"/>
    <x v="4"/>
    <d v="2024-05-27T00:00:00"/>
    <n v="2024"/>
    <s v="Q2"/>
    <n v="5"/>
    <s v="May"/>
    <n v="3"/>
    <n v="627.98"/>
    <x v="345"/>
    <s v="Office Supplies"/>
    <s v="Cash"/>
    <n v="3"/>
    <x v="350"/>
  </r>
  <r>
    <x v="346"/>
    <x v="0"/>
    <d v="2025-01-10T00:00:00"/>
    <n v="2025"/>
    <s v="Q1"/>
    <n v="1"/>
    <s v="Jan"/>
    <n v="7"/>
    <n v="177.77"/>
    <x v="346"/>
    <s v="Furniture"/>
    <s v="Debit Card"/>
    <n v="1"/>
    <x v="351"/>
  </r>
  <r>
    <x v="347"/>
    <x v="3"/>
    <d v="2023-07-09T00:00:00"/>
    <n v="2023"/>
    <s v="Q3"/>
    <n v="7"/>
    <s v="Jul"/>
    <n v="7"/>
    <n v="512.21"/>
    <x v="347"/>
    <s v="Furniture"/>
    <s v="Debit Card"/>
    <n v="5"/>
    <x v="352"/>
  </r>
  <r>
    <x v="348"/>
    <x v="0"/>
    <d v="2025-02-16T00:00:00"/>
    <n v="2025"/>
    <s v="Q1"/>
    <n v="2"/>
    <s v="Feb"/>
    <n v="1"/>
    <n v="205.77"/>
    <x v="348"/>
    <s v="Electronics"/>
    <s v="Cash"/>
    <n v="1"/>
    <x v="353"/>
  </r>
  <r>
    <x v="349"/>
    <x v="6"/>
    <d v="2024-02-28T00:00:00"/>
    <n v="2024"/>
    <s v="Q1"/>
    <n v="2"/>
    <s v="Feb"/>
    <n v="8"/>
    <n v="68.13"/>
    <x v="349"/>
    <s v="Furniture"/>
    <s v="Gift Card"/>
    <n v="3"/>
    <x v="354"/>
  </r>
  <r>
    <x v="350"/>
    <x v="1"/>
    <d v="2023-05-07T00:00:00"/>
    <n v="2023"/>
    <s v="Q2"/>
    <n v="5"/>
    <s v="May"/>
    <n v="5"/>
    <n v="357.16"/>
    <x v="350"/>
    <s v="Office Supplies"/>
    <s v="Debit Card"/>
    <n v="3"/>
    <x v="355"/>
  </r>
  <r>
    <x v="351"/>
    <x v="4"/>
    <d v="2023-05-21T00:00:00"/>
    <n v="2023"/>
    <s v="Q2"/>
    <n v="5"/>
    <s v="May"/>
    <n v="4"/>
    <n v="695.57"/>
    <x v="351"/>
    <s v="Office Supplies"/>
    <s v="Cash"/>
    <n v="3"/>
    <x v="356"/>
  </r>
  <r>
    <x v="352"/>
    <x v="2"/>
    <d v="2024-04-11T00:00:00"/>
    <n v="2024"/>
    <s v="Q2"/>
    <n v="4"/>
    <s v="Apr"/>
    <n v="3"/>
    <n v="260.33999999999997"/>
    <x v="352"/>
    <s v="Office Supplies"/>
    <s v="Gift Card"/>
    <n v="2"/>
    <x v="357"/>
  </r>
  <r>
    <x v="353"/>
    <x v="6"/>
    <d v="2023-11-14T00:00:00"/>
    <n v="2023"/>
    <s v="Q4"/>
    <n v="11"/>
    <s v="Nov"/>
    <n v="5"/>
    <n v="260.07"/>
    <x v="353"/>
    <s v="Furniture"/>
    <s v="Online"/>
    <n v="2"/>
    <x v="358"/>
  </r>
  <r>
    <x v="354"/>
    <x v="2"/>
    <d v="2023-02-21T00:00:00"/>
    <n v="2023"/>
    <s v="Q1"/>
    <n v="2"/>
    <s v="Feb"/>
    <n v="8"/>
    <n v="503.96"/>
    <x v="354"/>
    <s v="Furniture"/>
    <s v="Cash"/>
    <n v="5"/>
    <x v="359"/>
  </r>
  <r>
    <x v="355"/>
    <x v="5"/>
    <d v="2023-07-07T00:00:00"/>
    <n v="2023"/>
    <s v="Q3"/>
    <n v="7"/>
    <s v="Jul"/>
    <n v="3"/>
    <n v="427.78"/>
    <x v="355"/>
    <s v="Electronics"/>
    <s v="Online"/>
    <n v="4"/>
    <x v="360"/>
  </r>
  <r>
    <x v="356"/>
    <x v="5"/>
    <d v="2023-06-05T00:00:00"/>
    <n v="2023"/>
    <s v="Q2"/>
    <n v="6"/>
    <s v="Jun"/>
    <n v="3"/>
    <n v="51.15"/>
    <x v="356"/>
    <s v="Electronics"/>
    <s v="Gift Card"/>
    <n v="5"/>
    <x v="361"/>
  </r>
  <r>
    <x v="357"/>
    <x v="1"/>
    <d v="2025-02-28T00:00:00"/>
    <n v="2025"/>
    <s v="Q1"/>
    <n v="2"/>
    <s v="Feb"/>
    <n v="1"/>
    <n v="761.75"/>
    <x v="357"/>
    <s v="Electronics"/>
    <s v="Debit Card"/>
    <n v="3"/>
    <x v="362"/>
  </r>
  <r>
    <x v="358"/>
    <x v="5"/>
    <d v="2024-06-09T00:00:00"/>
    <n v="2024"/>
    <s v="Q2"/>
    <n v="6"/>
    <s v="Jun"/>
    <n v="8"/>
    <n v="409.67"/>
    <x v="358"/>
    <s v="Furniture"/>
    <s v="Credit Card"/>
    <n v="1"/>
    <x v="363"/>
  </r>
  <r>
    <x v="359"/>
    <x v="6"/>
    <d v="2023-01-10T00:00:00"/>
    <n v="2023"/>
    <s v="Q1"/>
    <n v="1"/>
    <s v="Jan"/>
    <n v="1"/>
    <n v="584.28"/>
    <x v="359"/>
    <s v="Electronics"/>
    <s v="Cash"/>
    <n v="2"/>
    <x v="364"/>
  </r>
  <r>
    <x v="360"/>
    <x v="6"/>
    <d v="2024-07-14T00:00:00"/>
    <n v="2024"/>
    <s v="Q3"/>
    <n v="7"/>
    <s v="Jul"/>
    <n v="8"/>
    <n v="393.38"/>
    <x v="360"/>
    <s v="Office Supplies"/>
    <s v="Debit Card"/>
    <n v="3"/>
    <x v="365"/>
  </r>
  <r>
    <x v="361"/>
    <x v="3"/>
    <d v="2023-11-09T00:00:00"/>
    <n v="2023"/>
    <s v="Q4"/>
    <n v="11"/>
    <s v="Nov"/>
    <n v="4"/>
    <n v="495.76"/>
    <x v="361"/>
    <s v="Office Supplies"/>
    <s v="Debit Card"/>
    <n v="5"/>
    <x v="366"/>
  </r>
  <r>
    <x v="362"/>
    <x v="4"/>
    <d v="2023-09-25T00:00:00"/>
    <n v="2023"/>
    <s v="Q3"/>
    <n v="9"/>
    <s v="Sep"/>
    <n v="4"/>
    <n v="638.94000000000005"/>
    <x v="362"/>
    <s v="Electronics"/>
    <s v="Cash"/>
    <n v="1"/>
    <x v="367"/>
  </r>
  <r>
    <x v="363"/>
    <x v="1"/>
    <d v="2023-11-17T00:00:00"/>
    <n v="2023"/>
    <s v="Q4"/>
    <n v="11"/>
    <s v="Nov"/>
    <n v="3"/>
    <n v="441.01"/>
    <x v="363"/>
    <s v="Electronics"/>
    <s v="Debit Card"/>
    <n v="1"/>
    <x v="368"/>
  </r>
  <r>
    <x v="364"/>
    <x v="3"/>
    <d v="2023-08-19T00:00:00"/>
    <n v="2023"/>
    <s v="Q3"/>
    <n v="8"/>
    <s v="Aug"/>
    <n v="2"/>
    <n v="756.25"/>
    <x v="364"/>
    <s v="Furniture"/>
    <s v="Gift Card"/>
    <n v="5"/>
    <x v="369"/>
  </r>
  <r>
    <x v="365"/>
    <x v="4"/>
    <d v="2023-09-25T00:00:00"/>
    <n v="2023"/>
    <s v="Q3"/>
    <n v="9"/>
    <s v="Sep"/>
    <n v="3"/>
    <n v="406.42"/>
    <x v="365"/>
    <s v="Furniture"/>
    <s v="Gift Card"/>
    <n v="5"/>
    <x v="370"/>
  </r>
  <r>
    <x v="366"/>
    <x v="5"/>
    <d v="2023-06-24T00:00:00"/>
    <n v="2023"/>
    <s v="Q2"/>
    <n v="6"/>
    <s v="Jun"/>
    <n v="6"/>
    <n v="715.37"/>
    <x v="366"/>
    <s v="Furniture"/>
    <s v="Online"/>
    <n v="4"/>
    <x v="371"/>
  </r>
  <r>
    <x v="367"/>
    <x v="4"/>
    <d v="2023-08-24T00:00:00"/>
    <n v="2023"/>
    <s v="Q3"/>
    <n v="8"/>
    <s v="Aug"/>
    <n v="8"/>
    <n v="113.31"/>
    <x v="367"/>
    <s v="Electronics"/>
    <s v="Credit Card"/>
    <n v="5"/>
    <x v="372"/>
  </r>
  <r>
    <x v="368"/>
    <x v="3"/>
    <d v="2024-08-24T00:00:00"/>
    <n v="2024"/>
    <s v="Q3"/>
    <n v="8"/>
    <s v="Aug"/>
    <n v="7"/>
    <n v="217.75"/>
    <x v="368"/>
    <s v="Office Supplies"/>
    <s v="Debit Card"/>
    <n v="1"/>
    <x v="373"/>
  </r>
  <r>
    <x v="369"/>
    <x v="0"/>
    <d v="2024-12-22T00:00:00"/>
    <n v="2024"/>
    <s v="Q4"/>
    <n v="12"/>
    <s v="Dec"/>
    <n v="7"/>
    <n v="437.14"/>
    <x v="369"/>
    <s v="Furniture"/>
    <s v="Debit Card"/>
    <n v="1"/>
    <x v="374"/>
  </r>
  <r>
    <x v="370"/>
    <x v="5"/>
    <d v="2024-01-26T00:00:00"/>
    <n v="2024"/>
    <s v="Q1"/>
    <n v="1"/>
    <s v="Jan"/>
    <n v="2"/>
    <n v="722.32"/>
    <x v="370"/>
    <s v="Office Supplies"/>
    <s v="Debit Card"/>
    <n v="4"/>
    <x v="375"/>
  </r>
  <r>
    <x v="371"/>
    <x v="2"/>
    <d v="2025-04-18T00:00:00"/>
    <n v="2025"/>
    <s v="Q2"/>
    <n v="4"/>
    <s v="Apr"/>
    <n v="3"/>
    <n v="27.28"/>
    <x v="371"/>
    <s v="Furniture"/>
    <s v="Debit Card"/>
    <n v="1"/>
    <x v="376"/>
  </r>
  <r>
    <x v="372"/>
    <x v="2"/>
    <d v="2023-06-08T00:00:00"/>
    <n v="2023"/>
    <s v="Q2"/>
    <n v="6"/>
    <s v="Jun"/>
    <n v="6"/>
    <n v="215.4"/>
    <x v="372"/>
    <s v="Furniture"/>
    <s v="Debit Card"/>
    <n v="5"/>
    <x v="377"/>
  </r>
  <r>
    <x v="373"/>
    <x v="1"/>
    <d v="2025-05-26T00:00:00"/>
    <n v="2025"/>
    <s v="Q2"/>
    <n v="5"/>
    <s v="May"/>
    <n v="8"/>
    <n v="432.92"/>
    <x v="373"/>
    <s v="Office Supplies"/>
    <s v="Online"/>
    <n v="4"/>
    <x v="378"/>
  </r>
  <r>
    <x v="326"/>
    <x v="6"/>
    <d v="2025-04-12T00:00:00"/>
    <n v="2025"/>
    <s v="Q2"/>
    <n v="4"/>
    <s v="Apr"/>
    <n v="4"/>
    <n v="720.67"/>
    <x v="326"/>
    <s v="Electronics"/>
    <s v="Cash"/>
    <n v="5"/>
    <x v="379"/>
  </r>
  <r>
    <x v="374"/>
    <x v="4"/>
    <d v="2023-03-01T00:00:00"/>
    <n v="2023"/>
    <s v="Q1"/>
    <n v="3"/>
    <s v="Mar"/>
    <n v="3"/>
    <n v="449.93"/>
    <x v="374"/>
    <s v="Electronics"/>
    <s v="Cash"/>
    <n v="4"/>
    <x v="380"/>
  </r>
  <r>
    <x v="375"/>
    <x v="6"/>
    <d v="2024-02-06T00:00:00"/>
    <n v="2024"/>
    <s v="Q1"/>
    <n v="2"/>
    <s v="Feb"/>
    <n v="6"/>
    <n v="329.82"/>
    <x v="375"/>
    <s v="Furniture"/>
    <s v="Debit Card"/>
    <n v="3"/>
    <x v="381"/>
  </r>
  <r>
    <x v="376"/>
    <x v="0"/>
    <d v="2023-07-28T00:00:00"/>
    <n v="2023"/>
    <s v="Q3"/>
    <n v="7"/>
    <s v="Jul"/>
    <n v="4"/>
    <n v="309.29000000000002"/>
    <x v="376"/>
    <s v="Electronics"/>
    <s v="Cash"/>
    <n v="5"/>
    <x v="382"/>
  </r>
  <r>
    <x v="377"/>
    <x v="3"/>
    <d v="2023-01-24T00:00:00"/>
    <n v="2023"/>
    <s v="Q1"/>
    <n v="1"/>
    <s v="Jan"/>
    <n v="7"/>
    <n v="482.97"/>
    <x v="377"/>
    <s v="Electronics"/>
    <s v="Credit Card"/>
    <n v="4"/>
    <x v="383"/>
  </r>
  <r>
    <x v="378"/>
    <x v="0"/>
    <d v="2024-02-14T00:00:00"/>
    <n v="2024"/>
    <s v="Q1"/>
    <n v="2"/>
    <s v="Feb"/>
    <n v="3"/>
    <n v="120.15"/>
    <x v="378"/>
    <s v="Furniture"/>
    <s v="Gift Card"/>
    <n v="1"/>
    <x v="384"/>
  </r>
  <r>
    <x v="379"/>
    <x v="3"/>
    <d v="2024-11-20T00:00:00"/>
    <n v="2024"/>
    <s v="Q4"/>
    <n v="11"/>
    <s v="Nov"/>
    <n v="8"/>
    <n v="519.87"/>
    <x v="379"/>
    <s v="Furniture"/>
    <s v="Debit Card"/>
    <n v="1"/>
    <x v="385"/>
  </r>
  <r>
    <x v="380"/>
    <x v="2"/>
    <d v="2023-06-17T00:00:00"/>
    <n v="2023"/>
    <s v="Q2"/>
    <n v="6"/>
    <s v="Jun"/>
    <n v="2"/>
    <n v="584.52"/>
    <x v="380"/>
    <s v="Electronics"/>
    <s v="Online"/>
    <n v="1"/>
    <x v="386"/>
  </r>
  <r>
    <x v="381"/>
    <x v="2"/>
    <d v="2025-01-16T00:00:00"/>
    <n v="2025"/>
    <s v="Q1"/>
    <n v="1"/>
    <s v="Jan"/>
    <n v="5"/>
    <n v="69.94"/>
    <x v="381"/>
    <s v="Furniture"/>
    <s v="Debit Card"/>
    <n v="1"/>
    <x v="387"/>
  </r>
  <r>
    <x v="382"/>
    <x v="2"/>
    <d v="2024-04-04T00:00:00"/>
    <n v="2024"/>
    <s v="Q2"/>
    <n v="4"/>
    <s v="Apr"/>
    <n v="2"/>
    <n v="57.6"/>
    <x v="382"/>
    <s v="Office Supplies"/>
    <s v="Online"/>
    <n v="3"/>
    <x v="388"/>
  </r>
  <r>
    <x v="383"/>
    <x v="3"/>
    <d v="2023-05-31T00:00:00"/>
    <n v="2023"/>
    <s v="Q2"/>
    <n v="5"/>
    <s v="May"/>
    <n v="1"/>
    <n v="530.29"/>
    <x v="383"/>
    <s v="Electronics"/>
    <s v="Credit Card"/>
    <n v="4"/>
    <x v="389"/>
  </r>
  <r>
    <x v="384"/>
    <x v="3"/>
    <d v="2024-06-29T00:00:00"/>
    <n v="2024"/>
    <s v="Q2"/>
    <n v="6"/>
    <s v="Jun"/>
    <n v="4"/>
    <n v="661.91"/>
    <x v="384"/>
    <s v="Furniture"/>
    <s v="Gift Card"/>
    <n v="2"/>
    <x v="390"/>
  </r>
  <r>
    <x v="385"/>
    <x v="3"/>
    <d v="2023-06-04T00:00:00"/>
    <n v="2023"/>
    <s v="Q2"/>
    <n v="6"/>
    <s v="Jun"/>
    <n v="3"/>
    <n v="564.27"/>
    <x v="385"/>
    <s v="Office Supplies"/>
    <s v="Credit Card"/>
    <n v="1"/>
    <x v="391"/>
  </r>
  <r>
    <x v="386"/>
    <x v="1"/>
    <d v="2024-01-22T00:00:00"/>
    <n v="2024"/>
    <s v="Q1"/>
    <n v="1"/>
    <s v="Jan"/>
    <n v="1"/>
    <n v="629.94000000000005"/>
    <x v="386"/>
    <s v="Furniture"/>
    <s v="Credit Card"/>
    <n v="5"/>
    <x v="392"/>
  </r>
  <r>
    <x v="387"/>
    <x v="5"/>
    <d v="2025-02-11T00:00:00"/>
    <n v="2025"/>
    <s v="Q1"/>
    <n v="2"/>
    <s v="Feb"/>
    <n v="7"/>
    <n v="263.67"/>
    <x v="387"/>
    <s v="Office Supplies"/>
    <s v="Online"/>
    <n v="2"/>
    <x v="393"/>
  </r>
  <r>
    <x v="388"/>
    <x v="0"/>
    <d v="2024-01-14T00:00:00"/>
    <n v="2024"/>
    <s v="Q1"/>
    <n v="1"/>
    <s v="Jan"/>
    <n v="2"/>
    <n v="348.71"/>
    <x v="388"/>
    <s v="Furniture"/>
    <s v="Cash"/>
    <n v="3"/>
    <x v="394"/>
  </r>
  <r>
    <x v="389"/>
    <x v="5"/>
    <d v="2025-01-04T00:00:00"/>
    <n v="2025"/>
    <s v="Q1"/>
    <n v="1"/>
    <s v="Jan"/>
    <n v="3"/>
    <n v="261.04000000000002"/>
    <x v="389"/>
    <s v="Office Supplies"/>
    <s v="Gift Card"/>
    <n v="3"/>
    <x v="395"/>
  </r>
  <r>
    <x v="390"/>
    <x v="3"/>
    <d v="2023-11-01T00:00:00"/>
    <n v="2023"/>
    <s v="Q4"/>
    <n v="11"/>
    <s v="Nov"/>
    <n v="7"/>
    <n v="568.24"/>
    <x v="390"/>
    <s v="Furniture"/>
    <s v="Gift Card"/>
    <n v="1"/>
    <x v="396"/>
  </r>
  <r>
    <x v="250"/>
    <x v="1"/>
    <d v="2023-01-07T00:00:00"/>
    <n v="2023"/>
    <s v="Q1"/>
    <n v="1"/>
    <s v="Jan"/>
    <n v="4"/>
    <n v="231.12"/>
    <x v="250"/>
    <s v="Electronics"/>
    <s v="Credit Card"/>
    <n v="3"/>
    <x v="397"/>
  </r>
  <r>
    <x v="391"/>
    <x v="1"/>
    <d v="2023-04-01T00:00:00"/>
    <n v="2023"/>
    <s v="Q2"/>
    <n v="4"/>
    <s v="Apr"/>
    <n v="1"/>
    <n v="432.34"/>
    <x v="391"/>
    <s v="Office Supplies"/>
    <s v="Credit Card"/>
    <n v="2"/>
    <x v="398"/>
  </r>
  <r>
    <x v="392"/>
    <x v="6"/>
    <d v="2024-09-06T00:00:00"/>
    <n v="2024"/>
    <s v="Q3"/>
    <n v="9"/>
    <s v="Sep"/>
    <n v="3"/>
    <n v="253.18"/>
    <x v="392"/>
    <s v="Furniture"/>
    <s v="Cash"/>
    <n v="3"/>
    <x v="399"/>
  </r>
  <r>
    <x v="393"/>
    <x v="4"/>
    <d v="2024-05-23T00:00:00"/>
    <n v="2024"/>
    <s v="Q2"/>
    <n v="5"/>
    <s v="May"/>
    <n v="7"/>
    <n v="481.25"/>
    <x v="393"/>
    <s v="Office Supplies"/>
    <s v="Credit Card"/>
    <n v="1"/>
    <x v="400"/>
  </r>
  <r>
    <x v="394"/>
    <x v="4"/>
    <d v="2024-08-03T00:00:00"/>
    <n v="2024"/>
    <s v="Q3"/>
    <n v="8"/>
    <s v="Aug"/>
    <n v="1"/>
    <n v="82.89"/>
    <x v="394"/>
    <s v="Furniture"/>
    <s v="Gift Card"/>
    <n v="2"/>
    <x v="401"/>
  </r>
  <r>
    <x v="395"/>
    <x v="4"/>
    <d v="2023-07-14T00:00:00"/>
    <n v="2023"/>
    <s v="Q3"/>
    <n v="7"/>
    <s v="Jul"/>
    <n v="1"/>
    <n v="745.08"/>
    <x v="395"/>
    <s v="Office Supplies"/>
    <s v="Debit Card"/>
    <n v="5"/>
    <x v="402"/>
  </r>
  <r>
    <x v="396"/>
    <x v="3"/>
    <d v="2023-01-14T00:00:00"/>
    <n v="2023"/>
    <s v="Q1"/>
    <n v="1"/>
    <s v="Jan"/>
    <n v="8"/>
    <n v="216.9"/>
    <x v="396"/>
    <s v="Office Supplies"/>
    <s v="Credit Card"/>
    <n v="3"/>
    <x v="403"/>
  </r>
  <r>
    <x v="397"/>
    <x v="1"/>
    <d v="2025-04-24T00:00:00"/>
    <n v="2025"/>
    <s v="Q2"/>
    <n v="4"/>
    <s v="Apr"/>
    <n v="5"/>
    <n v="17.350000000000001"/>
    <x v="397"/>
    <s v="Furniture"/>
    <s v="Cash"/>
    <n v="1"/>
    <x v="404"/>
  </r>
  <r>
    <x v="398"/>
    <x v="3"/>
    <d v="2024-10-29T00:00:00"/>
    <n v="2024"/>
    <s v="Q4"/>
    <n v="10"/>
    <s v="Oct"/>
    <n v="8"/>
    <n v="530.29999999999995"/>
    <x v="398"/>
    <s v="Furniture"/>
    <s v="Debit Card"/>
    <n v="3"/>
    <x v="405"/>
  </r>
  <r>
    <x v="399"/>
    <x v="4"/>
    <d v="2024-05-08T00:00:00"/>
    <n v="2024"/>
    <s v="Q2"/>
    <n v="5"/>
    <s v="May"/>
    <n v="8"/>
    <n v="136.9"/>
    <x v="399"/>
    <s v="Furniture"/>
    <s v="Gift Card"/>
    <n v="1"/>
    <x v="406"/>
  </r>
  <r>
    <x v="400"/>
    <x v="2"/>
    <d v="2024-05-03T00:00:00"/>
    <n v="2024"/>
    <s v="Q2"/>
    <n v="5"/>
    <s v="May"/>
    <n v="6"/>
    <n v="74.8"/>
    <x v="400"/>
    <s v="Furniture"/>
    <s v="Cash"/>
    <n v="5"/>
    <x v="407"/>
  </r>
  <r>
    <x v="401"/>
    <x v="1"/>
    <d v="2023-05-22T00:00:00"/>
    <n v="2023"/>
    <s v="Q2"/>
    <n v="5"/>
    <s v="May"/>
    <n v="6"/>
    <n v="464.08"/>
    <x v="401"/>
    <s v="Office Supplies"/>
    <s v="Credit Card"/>
    <n v="2"/>
    <x v="408"/>
  </r>
  <r>
    <x v="402"/>
    <x v="1"/>
    <d v="2024-06-13T00:00:00"/>
    <n v="2024"/>
    <s v="Q2"/>
    <n v="6"/>
    <s v="Jun"/>
    <n v="7"/>
    <n v="559.5"/>
    <x v="402"/>
    <s v="Furniture"/>
    <s v="Debit Card"/>
    <n v="4"/>
    <x v="409"/>
  </r>
  <r>
    <x v="403"/>
    <x v="3"/>
    <d v="2023-12-01T00:00:00"/>
    <n v="2023"/>
    <s v="Q4"/>
    <n v="12"/>
    <s v="Dec"/>
    <n v="1"/>
    <n v="414.6"/>
    <x v="403"/>
    <s v="Furniture"/>
    <s v="Gift Card"/>
    <n v="1"/>
    <x v="410"/>
  </r>
  <r>
    <x v="404"/>
    <x v="1"/>
    <d v="2024-08-24T00:00:00"/>
    <n v="2024"/>
    <s v="Q3"/>
    <n v="8"/>
    <s v="Aug"/>
    <n v="5"/>
    <n v="499.05"/>
    <x v="404"/>
    <s v="Office Supplies"/>
    <s v="Online"/>
    <n v="5"/>
    <x v="411"/>
  </r>
  <r>
    <x v="405"/>
    <x v="0"/>
    <d v="2025-05-23T00:00:00"/>
    <n v="2025"/>
    <s v="Q2"/>
    <n v="5"/>
    <s v="May"/>
    <n v="1"/>
    <n v="77.64"/>
    <x v="405"/>
    <s v="Office Supplies"/>
    <s v="Gift Card"/>
    <n v="4"/>
    <x v="412"/>
  </r>
  <r>
    <x v="406"/>
    <x v="4"/>
    <d v="2024-05-16T00:00:00"/>
    <n v="2024"/>
    <s v="Q2"/>
    <n v="5"/>
    <s v="May"/>
    <n v="5"/>
    <n v="303.5"/>
    <x v="406"/>
    <s v="Office Supplies"/>
    <s v="Debit Card"/>
    <n v="2"/>
    <x v="413"/>
  </r>
  <r>
    <x v="407"/>
    <x v="3"/>
    <d v="2025-04-05T00:00:00"/>
    <n v="2025"/>
    <s v="Q2"/>
    <n v="4"/>
    <s v="Apr"/>
    <n v="4"/>
    <n v="303.75"/>
    <x v="407"/>
    <s v="Office Supplies"/>
    <s v="Debit Card"/>
    <n v="3"/>
    <x v="414"/>
  </r>
  <r>
    <x v="408"/>
    <x v="1"/>
    <d v="2023-12-15T00:00:00"/>
    <n v="2023"/>
    <s v="Q4"/>
    <n v="12"/>
    <s v="Dec"/>
    <n v="7"/>
    <n v="20.350000000000001"/>
    <x v="408"/>
    <s v="Electronics"/>
    <s v="Debit Card"/>
    <n v="2"/>
    <x v="415"/>
  </r>
  <r>
    <x v="409"/>
    <x v="3"/>
    <d v="2023-03-24T00:00:00"/>
    <n v="2023"/>
    <s v="Q1"/>
    <n v="3"/>
    <s v="Mar"/>
    <n v="3"/>
    <n v="365.61"/>
    <x v="409"/>
    <s v="Office Supplies"/>
    <s v="Online"/>
    <n v="5"/>
    <x v="416"/>
  </r>
  <r>
    <x v="410"/>
    <x v="1"/>
    <d v="2024-02-15T00:00:00"/>
    <n v="2024"/>
    <s v="Q1"/>
    <n v="2"/>
    <s v="Feb"/>
    <n v="1"/>
    <n v="516.73"/>
    <x v="410"/>
    <s v="Office Supplies"/>
    <s v="Online"/>
    <n v="1"/>
    <x v="417"/>
  </r>
  <r>
    <x v="411"/>
    <x v="1"/>
    <d v="2023-11-15T00:00:00"/>
    <n v="2023"/>
    <s v="Q4"/>
    <n v="11"/>
    <s v="Nov"/>
    <n v="5"/>
    <n v="702.21"/>
    <x v="411"/>
    <s v="Office Supplies"/>
    <s v="Credit Card"/>
    <n v="2"/>
    <x v="418"/>
  </r>
  <r>
    <x v="412"/>
    <x v="2"/>
    <d v="2023-02-28T00:00:00"/>
    <n v="2023"/>
    <s v="Q1"/>
    <n v="2"/>
    <s v="Feb"/>
    <n v="8"/>
    <n v="110.05"/>
    <x v="412"/>
    <s v="Furniture"/>
    <s v="Credit Card"/>
    <n v="1"/>
    <x v="419"/>
  </r>
  <r>
    <x v="413"/>
    <x v="4"/>
    <d v="2023-10-19T00:00:00"/>
    <n v="2023"/>
    <s v="Q4"/>
    <n v="10"/>
    <s v="Oct"/>
    <n v="6"/>
    <n v="237.61"/>
    <x v="413"/>
    <s v="Office Supplies"/>
    <s v="Debit Card"/>
    <n v="1"/>
    <x v="420"/>
  </r>
  <r>
    <x v="414"/>
    <x v="4"/>
    <d v="2023-03-14T00:00:00"/>
    <n v="2023"/>
    <s v="Q1"/>
    <n v="3"/>
    <s v="Mar"/>
    <n v="5"/>
    <n v="518.94000000000005"/>
    <x v="414"/>
    <s v="Electronics"/>
    <s v="Debit Card"/>
    <n v="3"/>
    <x v="421"/>
  </r>
  <r>
    <x v="415"/>
    <x v="3"/>
    <d v="2024-10-21T00:00:00"/>
    <n v="2024"/>
    <s v="Q4"/>
    <n v="10"/>
    <s v="Oct"/>
    <n v="7"/>
    <n v="27.92"/>
    <x v="415"/>
    <s v="Furniture"/>
    <s v="Gift Card"/>
    <n v="1"/>
    <x v="422"/>
  </r>
  <r>
    <x v="416"/>
    <x v="4"/>
    <d v="2023-07-29T00:00:00"/>
    <n v="2023"/>
    <s v="Q3"/>
    <n v="7"/>
    <s v="Jul"/>
    <n v="7"/>
    <n v="683.26"/>
    <x v="416"/>
    <s v="Furniture"/>
    <s v="Credit Card"/>
    <n v="1"/>
    <x v="423"/>
  </r>
  <r>
    <x v="417"/>
    <x v="4"/>
    <d v="2024-04-27T00:00:00"/>
    <n v="2024"/>
    <s v="Q2"/>
    <n v="4"/>
    <s v="Apr"/>
    <n v="4"/>
    <n v="684.41"/>
    <x v="417"/>
    <s v="Furniture"/>
    <s v="Credit Card"/>
    <n v="1"/>
    <x v="424"/>
  </r>
  <r>
    <x v="270"/>
    <x v="3"/>
    <d v="2024-08-28T00:00:00"/>
    <n v="2024"/>
    <s v="Q3"/>
    <n v="8"/>
    <s v="Aug"/>
    <n v="4"/>
    <n v="657.98"/>
    <x v="270"/>
    <s v="Furniture"/>
    <s v="Credit Card"/>
    <n v="5"/>
    <x v="425"/>
  </r>
  <r>
    <x v="418"/>
    <x v="5"/>
    <d v="2024-09-15T00:00:00"/>
    <n v="2024"/>
    <s v="Q3"/>
    <n v="9"/>
    <s v="Sep"/>
    <n v="1"/>
    <n v="349.98"/>
    <x v="418"/>
    <s v="Electronics"/>
    <s v="Debit Card"/>
    <n v="4"/>
    <x v="426"/>
  </r>
  <r>
    <x v="419"/>
    <x v="1"/>
    <d v="2025-02-09T00:00:00"/>
    <n v="2025"/>
    <s v="Q1"/>
    <n v="2"/>
    <s v="Feb"/>
    <n v="3"/>
    <n v="19.55"/>
    <x v="419"/>
    <s v="Office Supplies"/>
    <s v="Credit Card"/>
    <n v="2"/>
    <x v="427"/>
  </r>
  <r>
    <x v="420"/>
    <x v="3"/>
    <d v="2023-07-23T00:00:00"/>
    <n v="2023"/>
    <s v="Q3"/>
    <n v="7"/>
    <s v="Jul"/>
    <n v="6"/>
    <n v="383.87"/>
    <x v="420"/>
    <s v="Office Supplies"/>
    <s v="Online"/>
    <n v="5"/>
    <x v="428"/>
  </r>
  <r>
    <x v="421"/>
    <x v="2"/>
    <d v="2024-08-13T00:00:00"/>
    <n v="2024"/>
    <s v="Q3"/>
    <n v="8"/>
    <s v="Aug"/>
    <n v="7"/>
    <n v="19.420000000000002"/>
    <x v="421"/>
    <s v="Electronics"/>
    <s v="Gift Card"/>
    <n v="2"/>
    <x v="429"/>
  </r>
  <r>
    <x v="422"/>
    <x v="6"/>
    <d v="2023-03-12T00:00:00"/>
    <n v="2023"/>
    <s v="Q1"/>
    <n v="3"/>
    <s v="Mar"/>
    <n v="3"/>
    <n v="555.37"/>
    <x v="422"/>
    <s v="Office Supplies"/>
    <s v="Credit Card"/>
    <n v="2"/>
    <x v="430"/>
  </r>
  <r>
    <x v="423"/>
    <x v="0"/>
    <d v="2025-05-02T00:00:00"/>
    <n v="2025"/>
    <s v="Q2"/>
    <n v="5"/>
    <s v="May"/>
    <n v="4"/>
    <n v="10.25"/>
    <x v="423"/>
    <s v="Furniture"/>
    <s v="Debit Card"/>
    <n v="5"/>
    <x v="431"/>
  </r>
  <r>
    <x v="424"/>
    <x v="3"/>
    <d v="2024-03-28T00:00:00"/>
    <n v="2024"/>
    <s v="Q1"/>
    <n v="3"/>
    <s v="Mar"/>
    <n v="2"/>
    <n v="166.58"/>
    <x v="424"/>
    <s v="Office Supplies"/>
    <s v="Online"/>
    <n v="2"/>
    <x v="432"/>
  </r>
  <r>
    <x v="425"/>
    <x v="4"/>
    <d v="2025-03-03T00:00:00"/>
    <n v="2025"/>
    <s v="Q1"/>
    <n v="3"/>
    <s v="Mar"/>
    <n v="2"/>
    <n v="624.33000000000004"/>
    <x v="425"/>
    <s v="Office Supplies"/>
    <s v="Credit Card"/>
    <n v="3"/>
    <x v="433"/>
  </r>
  <r>
    <x v="410"/>
    <x v="1"/>
    <d v="2024-09-18T00:00:00"/>
    <n v="2024"/>
    <s v="Q3"/>
    <n v="9"/>
    <s v="Sep"/>
    <n v="7"/>
    <n v="133.05000000000001"/>
    <x v="410"/>
    <s v="Office Supplies"/>
    <s v="Credit Card"/>
    <n v="2"/>
    <x v="434"/>
  </r>
  <r>
    <x v="426"/>
    <x v="4"/>
    <d v="2023-04-15T00:00:00"/>
    <n v="2023"/>
    <s v="Q2"/>
    <n v="4"/>
    <s v="Apr"/>
    <n v="5"/>
    <n v="104.19"/>
    <x v="426"/>
    <s v="Office Supplies"/>
    <s v="Gift Card"/>
    <n v="5"/>
    <x v="435"/>
  </r>
  <r>
    <x v="427"/>
    <x v="0"/>
    <d v="2024-07-26T00:00:00"/>
    <n v="2024"/>
    <s v="Q3"/>
    <n v="7"/>
    <s v="Jul"/>
    <n v="3"/>
    <n v="516.73"/>
    <x v="427"/>
    <s v="Furniture"/>
    <s v="Gift Card"/>
    <n v="5"/>
    <x v="436"/>
  </r>
  <r>
    <x v="428"/>
    <x v="3"/>
    <d v="2024-10-12T00:00:00"/>
    <n v="2024"/>
    <s v="Q4"/>
    <n v="10"/>
    <s v="Oct"/>
    <n v="3"/>
    <n v="88.31"/>
    <x v="428"/>
    <s v="Office Supplies"/>
    <s v="Cash"/>
    <n v="1"/>
    <x v="437"/>
  </r>
  <r>
    <x v="429"/>
    <x v="2"/>
    <d v="2023-09-24T00:00:00"/>
    <n v="2023"/>
    <s v="Q3"/>
    <n v="9"/>
    <s v="Sep"/>
    <n v="7"/>
    <n v="290.45"/>
    <x v="429"/>
    <s v="Office Supplies"/>
    <s v="Gift Card"/>
    <n v="1"/>
    <x v="438"/>
  </r>
  <r>
    <x v="430"/>
    <x v="1"/>
    <d v="2024-06-18T00:00:00"/>
    <n v="2024"/>
    <s v="Q2"/>
    <n v="6"/>
    <s v="Jun"/>
    <n v="3"/>
    <n v="531.92999999999995"/>
    <x v="430"/>
    <s v="Office Supplies"/>
    <s v="Debit Card"/>
    <n v="2"/>
    <x v="439"/>
  </r>
  <r>
    <x v="431"/>
    <x v="0"/>
    <d v="2024-07-20T00:00:00"/>
    <n v="2024"/>
    <s v="Q3"/>
    <n v="7"/>
    <s v="Jul"/>
    <n v="5"/>
    <n v="702.3"/>
    <x v="431"/>
    <s v="Electronics"/>
    <s v="Debit Card"/>
    <n v="1"/>
    <x v="440"/>
  </r>
  <r>
    <x v="432"/>
    <x v="4"/>
    <d v="2024-06-13T00:00:00"/>
    <n v="2024"/>
    <s v="Q2"/>
    <n v="6"/>
    <s v="Jun"/>
    <n v="1"/>
    <n v="218.84"/>
    <x v="432"/>
    <s v="Electronics"/>
    <s v="Gift Card"/>
    <n v="1"/>
    <x v="441"/>
  </r>
  <r>
    <x v="433"/>
    <x v="0"/>
    <d v="2023-10-20T00:00:00"/>
    <n v="2023"/>
    <s v="Q4"/>
    <n v="10"/>
    <s v="Oct"/>
    <n v="3"/>
    <n v="221.64"/>
    <x v="433"/>
    <s v="Electronics"/>
    <s v="Online"/>
    <n v="2"/>
    <x v="442"/>
  </r>
  <r>
    <x v="434"/>
    <x v="1"/>
    <d v="2024-03-26T00:00:00"/>
    <n v="2024"/>
    <s v="Q1"/>
    <n v="3"/>
    <s v="Mar"/>
    <n v="2"/>
    <n v="709.1"/>
    <x v="434"/>
    <s v="Furniture"/>
    <s v="Cash"/>
    <n v="2"/>
    <x v="443"/>
  </r>
  <r>
    <x v="435"/>
    <x v="6"/>
    <d v="2024-05-24T00:00:00"/>
    <n v="2024"/>
    <s v="Q2"/>
    <n v="5"/>
    <s v="May"/>
    <n v="5"/>
    <n v="120.08"/>
    <x v="435"/>
    <s v="Office Supplies"/>
    <s v="Debit Card"/>
    <n v="2"/>
    <x v="444"/>
  </r>
  <r>
    <x v="436"/>
    <x v="1"/>
    <d v="2024-12-13T00:00:00"/>
    <n v="2024"/>
    <s v="Q4"/>
    <n v="12"/>
    <s v="Dec"/>
    <n v="5"/>
    <n v="63.8"/>
    <x v="436"/>
    <s v="Furniture"/>
    <s v="Debit Card"/>
    <n v="3"/>
    <x v="445"/>
  </r>
  <r>
    <x v="437"/>
    <x v="4"/>
    <d v="2023-04-18T00:00:00"/>
    <n v="2023"/>
    <s v="Q2"/>
    <n v="4"/>
    <s v="Apr"/>
    <n v="8"/>
    <n v="243.93"/>
    <x v="437"/>
    <s v="Furniture"/>
    <s v="Cash"/>
    <n v="2"/>
    <x v="446"/>
  </r>
  <r>
    <x v="438"/>
    <x v="5"/>
    <d v="2025-03-29T00:00:00"/>
    <n v="2025"/>
    <s v="Q1"/>
    <n v="3"/>
    <s v="Mar"/>
    <n v="7"/>
    <n v="177.44"/>
    <x v="438"/>
    <s v="Electronics"/>
    <s v="Online"/>
    <n v="3"/>
    <x v="447"/>
  </r>
  <r>
    <x v="439"/>
    <x v="0"/>
    <d v="2023-09-20T00:00:00"/>
    <n v="2023"/>
    <s v="Q3"/>
    <n v="9"/>
    <s v="Sep"/>
    <n v="5"/>
    <n v="783.12"/>
    <x v="439"/>
    <s v="Office Supplies"/>
    <s v="Debit Card"/>
    <n v="1"/>
    <x v="448"/>
  </r>
  <r>
    <x v="440"/>
    <x v="5"/>
    <d v="2023-10-11T00:00:00"/>
    <n v="2023"/>
    <s v="Q4"/>
    <n v="10"/>
    <s v="Oct"/>
    <n v="3"/>
    <n v="756.71"/>
    <x v="440"/>
    <s v="Office Supplies"/>
    <s v="Gift Card"/>
    <n v="1"/>
    <x v="449"/>
  </r>
  <r>
    <x v="441"/>
    <x v="5"/>
    <d v="2025-03-24T00:00:00"/>
    <n v="2025"/>
    <s v="Q1"/>
    <n v="3"/>
    <s v="Mar"/>
    <n v="5"/>
    <n v="650.99"/>
    <x v="441"/>
    <s v="Electronics"/>
    <s v="Cash"/>
    <n v="3"/>
    <x v="450"/>
  </r>
  <r>
    <x v="442"/>
    <x v="6"/>
    <d v="2024-03-27T00:00:00"/>
    <n v="2024"/>
    <s v="Q1"/>
    <n v="3"/>
    <s v="Mar"/>
    <n v="6"/>
    <n v="386.68"/>
    <x v="442"/>
    <s v="Electronics"/>
    <s v="Gift Card"/>
    <n v="1"/>
    <x v="451"/>
  </r>
  <r>
    <x v="419"/>
    <x v="1"/>
    <d v="2024-11-01T00:00:00"/>
    <n v="2024"/>
    <s v="Q4"/>
    <n v="11"/>
    <s v="Nov"/>
    <n v="6"/>
    <n v="249.97"/>
    <x v="419"/>
    <s v="Furniture"/>
    <s v="Credit Card"/>
    <n v="5"/>
    <x v="452"/>
  </r>
  <r>
    <x v="443"/>
    <x v="5"/>
    <d v="2024-09-03T00:00:00"/>
    <n v="2024"/>
    <s v="Q3"/>
    <n v="9"/>
    <s v="Sep"/>
    <n v="4"/>
    <n v="253.01"/>
    <x v="443"/>
    <s v="Office Supplies"/>
    <s v="Credit Card"/>
    <n v="3"/>
    <x v="453"/>
  </r>
  <r>
    <x v="444"/>
    <x v="0"/>
    <d v="2023-07-14T00:00:00"/>
    <n v="2023"/>
    <s v="Q3"/>
    <n v="7"/>
    <s v="Jul"/>
    <n v="5"/>
    <n v="283.33999999999997"/>
    <x v="444"/>
    <s v="Office Supplies"/>
    <s v="Debit Card"/>
    <n v="2"/>
    <x v="454"/>
  </r>
  <r>
    <x v="445"/>
    <x v="5"/>
    <d v="2024-01-19T00:00:00"/>
    <n v="2024"/>
    <s v="Q1"/>
    <n v="1"/>
    <s v="Jan"/>
    <n v="3"/>
    <n v="497.83"/>
    <x v="445"/>
    <s v="Office Supplies"/>
    <s v="Online"/>
    <n v="5"/>
    <x v="455"/>
  </r>
  <r>
    <x v="446"/>
    <x v="1"/>
    <d v="2023-02-26T00:00:00"/>
    <n v="2023"/>
    <s v="Q1"/>
    <n v="2"/>
    <s v="Feb"/>
    <n v="5"/>
    <n v="80.48"/>
    <x v="446"/>
    <s v="Electronics"/>
    <s v="Cash"/>
    <n v="4"/>
    <x v="456"/>
  </r>
  <r>
    <x v="447"/>
    <x v="1"/>
    <d v="2024-11-17T00:00:00"/>
    <n v="2024"/>
    <s v="Q4"/>
    <n v="11"/>
    <s v="Nov"/>
    <n v="7"/>
    <n v="362.5"/>
    <x v="447"/>
    <s v="Furniture"/>
    <s v="Gift Card"/>
    <n v="5"/>
    <x v="457"/>
  </r>
  <r>
    <x v="448"/>
    <x v="5"/>
    <d v="2024-02-06T00:00:00"/>
    <n v="2024"/>
    <s v="Q1"/>
    <n v="2"/>
    <s v="Feb"/>
    <n v="8"/>
    <n v="167.66"/>
    <x v="448"/>
    <s v="Electronics"/>
    <s v="Credit Card"/>
    <n v="5"/>
    <x v="458"/>
  </r>
  <r>
    <x v="226"/>
    <x v="2"/>
    <d v="2023-06-22T00:00:00"/>
    <n v="2023"/>
    <s v="Q2"/>
    <n v="6"/>
    <s v="Jun"/>
    <n v="6"/>
    <n v="181.48"/>
    <x v="226"/>
    <s v="Office Supplies"/>
    <s v="Credit Card"/>
    <n v="1"/>
    <x v="459"/>
  </r>
  <r>
    <x v="449"/>
    <x v="4"/>
    <d v="2024-12-12T00:00:00"/>
    <n v="2024"/>
    <s v="Q4"/>
    <n v="12"/>
    <s v="Dec"/>
    <n v="1"/>
    <n v="569.26"/>
    <x v="449"/>
    <s v="Electronics"/>
    <s v="Cash"/>
    <n v="5"/>
    <x v="460"/>
  </r>
  <r>
    <x v="450"/>
    <x v="2"/>
    <d v="2024-01-07T00:00:00"/>
    <n v="2024"/>
    <s v="Q1"/>
    <n v="1"/>
    <s v="Jan"/>
    <n v="1"/>
    <n v="656.2"/>
    <x v="450"/>
    <s v="Electronics"/>
    <s v="Online"/>
    <n v="4"/>
    <x v="461"/>
  </r>
  <r>
    <x v="451"/>
    <x v="5"/>
    <d v="2023-04-20T00:00:00"/>
    <n v="2023"/>
    <s v="Q2"/>
    <n v="4"/>
    <s v="Apr"/>
    <n v="5"/>
    <n v="507.6"/>
    <x v="451"/>
    <s v="Furniture"/>
    <s v="Credit Card"/>
    <n v="1"/>
    <x v="462"/>
  </r>
  <r>
    <x v="452"/>
    <x v="6"/>
    <d v="2023-11-04T00:00:00"/>
    <n v="2023"/>
    <s v="Q4"/>
    <n v="11"/>
    <s v="Nov"/>
    <n v="5"/>
    <n v="641.44000000000005"/>
    <x v="452"/>
    <s v="Furniture"/>
    <s v="Debit Card"/>
    <n v="2"/>
    <x v="463"/>
  </r>
  <r>
    <x v="453"/>
    <x v="0"/>
    <d v="2024-10-04T00:00:00"/>
    <n v="2024"/>
    <s v="Q4"/>
    <n v="10"/>
    <s v="Oct"/>
    <n v="7"/>
    <n v="22.48"/>
    <x v="453"/>
    <s v="Furniture"/>
    <s v="Gift Card"/>
    <n v="2"/>
    <x v="464"/>
  </r>
  <r>
    <x v="454"/>
    <x v="3"/>
    <d v="2023-06-02T00:00:00"/>
    <n v="2023"/>
    <s v="Q2"/>
    <n v="6"/>
    <s v="Jun"/>
    <n v="6"/>
    <n v="196.74"/>
    <x v="454"/>
    <s v="Furniture"/>
    <s v="Gift Card"/>
    <n v="5"/>
    <x v="465"/>
  </r>
  <r>
    <x v="455"/>
    <x v="0"/>
    <d v="2024-04-14T00:00:00"/>
    <n v="2024"/>
    <s v="Q2"/>
    <n v="4"/>
    <s v="Apr"/>
    <n v="1"/>
    <n v="348.09"/>
    <x v="455"/>
    <s v="Furniture"/>
    <s v="Online"/>
    <n v="5"/>
    <x v="466"/>
  </r>
  <r>
    <x v="456"/>
    <x v="1"/>
    <d v="2025-04-16T00:00:00"/>
    <n v="2025"/>
    <s v="Q2"/>
    <n v="4"/>
    <s v="Apr"/>
    <n v="5"/>
    <n v="589.84"/>
    <x v="456"/>
    <s v="Office Supplies"/>
    <s v="Cash"/>
    <n v="5"/>
    <x v="467"/>
  </r>
  <r>
    <x v="457"/>
    <x v="2"/>
    <d v="2024-12-18T00:00:00"/>
    <n v="2024"/>
    <s v="Q4"/>
    <n v="12"/>
    <s v="Dec"/>
    <n v="3"/>
    <n v="549.78"/>
    <x v="457"/>
    <s v="Office Supplies"/>
    <s v="Credit Card"/>
    <n v="3"/>
    <x v="468"/>
  </r>
  <r>
    <x v="458"/>
    <x v="2"/>
    <d v="2023-02-28T00:00:00"/>
    <n v="2023"/>
    <s v="Q1"/>
    <n v="2"/>
    <s v="Feb"/>
    <n v="6"/>
    <n v="125.46"/>
    <x v="458"/>
    <s v="Electronics"/>
    <s v="Debit Card"/>
    <n v="5"/>
    <x v="469"/>
  </r>
  <r>
    <x v="459"/>
    <x v="4"/>
    <d v="2023-10-27T00:00:00"/>
    <n v="2023"/>
    <s v="Q4"/>
    <n v="10"/>
    <s v="Oct"/>
    <n v="5"/>
    <n v="318.33"/>
    <x v="459"/>
    <s v="Electronics"/>
    <s v="Debit Card"/>
    <n v="2"/>
    <x v="470"/>
  </r>
  <r>
    <x v="460"/>
    <x v="0"/>
    <d v="2023-08-19T00:00:00"/>
    <n v="2023"/>
    <s v="Q3"/>
    <n v="8"/>
    <s v="Aug"/>
    <n v="3"/>
    <n v="584.74"/>
    <x v="460"/>
    <s v="Electronics"/>
    <s v="Gift Card"/>
    <n v="4"/>
    <x v="471"/>
  </r>
  <r>
    <x v="461"/>
    <x v="5"/>
    <d v="2024-07-09T00:00:00"/>
    <n v="2024"/>
    <s v="Q3"/>
    <n v="7"/>
    <s v="Jul"/>
    <n v="1"/>
    <n v="184.5"/>
    <x v="461"/>
    <s v="Office Supplies"/>
    <s v="Debit Card"/>
    <n v="1"/>
    <x v="472"/>
  </r>
  <r>
    <x v="462"/>
    <x v="3"/>
    <d v="2024-07-27T00:00:00"/>
    <n v="2024"/>
    <s v="Q3"/>
    <n v="7"/>
    <s v="Jul"/>
    <n v="6"/>
    <n v="740.37"/>
    <x v="462"/>
    <s v="Furniture"/>
    <s v="Online"/>
    <n v="4"/>
    <x v="473"/>
  </r>
  <r>
    <x v="463"/>
    <x v="4"/>
    <d v="2023-12-20T00:00:00"/>
    <n v="2023"/>
    <s v="Q4"/>
    <n v="12"/>
    <s v="Dec"/>
    <n v="4"/>
    <n v="285.58999999999997"/>
    <x v="463"/>
    <s v="Electronics"/>
    <s v="Online"/>
    <n v="2"/>
    <x v="474"/>
  </r>
  <r>
    <x v="464"/>
    <x v="4"/>
    <d v="2024-07-19T00:00:00"/>
    <n v="2024"/>
    <s v="Q3"/>
    <n v="7"/>
    <s v="Jul"/>
    <n v="5"/>
    <n v="321.33"/>
    <x v="464"/>
    <s v="Electronics"/>
    <s v="Credit Card"/>
    <n v="2"/>
    <x v="475"/>
  </r>
  <r>
    <x v="465"/>
    <x v="6"/>
    <d v="2024-01-28T00:00:00"/>
    <n v="2024"/>
    <s v="Q1"/>
    <n v="1"/>
    <s v="Jan"/>
    <n v="5"/>
    <n v="251.41"/>
    <x v="465"/>
    <s v="Office Supplies"/>
    <s v="Debit Card"/>
    <n v="5"/>
    <x v="476"/>
  </r>
  <r>
    <x v="466"/>
    <x v="6"/>
    <d v="2025-03-24T00:00:00"/>
    <n v="2025"/>
    <s v="Q1"/>
    <n v="3"/>
    <s v="Mar"/>
    <n v="3"/>
    <n v="389.68"/>
    <x v="466"/>
    <s v="Furniture"/>
    <s v="Credit Card"/>
    <n v="4"/>
    <x v="386"/>
  </r>
  <r>
    <x v="467"/>
    <x v="2"/>
    <d v="2023-02-17T00:00:00"/>
    <n v="2023"/>
    <s v="Q1"/>
    <n v="2"/>
    <s v="Feb"/>
    <n v="3"/>
    <n v="577.13"/>
    <x v="467"/>
    <s v="Office Supplies"/>
    <s v="Debit Card"/>
    <n v="3"/>
    <x v="477"/>
  </r>
  <r>
    <x v="468"/>
    <x v="3"/>
    <d v="2024-05-11T00:00:00"/>
    <n v="2024"/>
    <s v="Q2"/>
    <n v="5"/>
    <s v="May"/>
    <n v="4"/>
    <n v="619.33000000000004"/>
    <x v="468"/>
    <s v="Furniture"/>
    <s v="Debit Card"/>
    <n v="3"/>
    <x v="478"/>
  </r>
  <r>
    <x v="313"/>
    <x v="3"/>
    <d v="2023-11-20T00:00:00"/>
    <n v="2023"/>
    <s v="Q4"/>
    <n v="11"/>
    <s v="Nov"/>
    <n v="2"/>
    <n v="515.97"/>
    <x v="313"/>
    <s v="Furniture"/>
    <s v="Online"/>
    <n v="4"/>
    <x v="479"/>
  </r>
  <r>
    <x v="469"/>
    <x v="2"/>
    <d v="2023-10-29T00:00:00"/>
    <n v="2023"/>
    <s v="Q4"/>
    <n v="10"/>
    <s v="Oct"/>
    <n v="4"/>
    <n v="598.12"/>
    <x v="469"/>
    <s v="Office Supplies"/>
    <s v="Gift Card"/>
    <n v="5"/>
    <x v="480"/>
  </r>
  <r>
    <x v="470"/>
    <x v="2"/>
    <d v="2023-02-04T00:00:00"/>
    <n v="2023"/>
    <s v="Q1"/>
    <n v="2"/>
    <s v="Feb"/>
    <n v="5"/>
    <n v="645.6"/>
    <x v="470"/>
    <s v="Office Supplies"/>
    <s v="Gift Card"/>
    <n v="1"/>
    <x v="481"/>
  </r>
  <r>
    <x v="471"/>
    <x v="4"/>
    <d v="2025-05-09T00:00:00"/>
    <n v="2025"/>
    <s v="Q2"/>
    <n v="5"/>
    <s v="May"/>
    <n v="4"/>
    <n v="708.45"/>
    <x v="471"/>
    <s v="Furniture"/>
    <s v="Credit Card"/>
    <n v="3"/>
    <x v="482"/>
  </r>
  <r>
    <x v="472"/>
    <x v="0"/>
    <d v="2023-09-06T00:00:00"/>
    <n v="2023"/>
    <s v="Q3"/>
    <n v="9"/>
    <s v="Sep"/>
    <n v="7"/>
    <n v="86.92"/>
    <x v="472"/>
    <s v="Office Supplies"/>
    <s v="Cash"/>
    <n v="2"/>
    <x v="483"/>
  </r>
  <r>
    <x v="473"/>
    <x v="3"/>
    <d v="2023-10-30T00:00:00"/>
    <n v="2023"/>
    <s v="Q4"/>
    <n v="10"/>
    <s v="Oct"/>
    <n v="1"/>
    <n v="376.02"/>
    <x v="473"/>
    <s v="Electronics"/>
    <s v="Cash"/>
    <n v="5"/>
    <x v="484"/>
  </r>
  <r>
    <x v="474"/>
    <x v="3"/>
    <d v="2025-05-06T00:00:00"/>
    <n v="2025"/>
    <s v="Q2"/>
    <n v="5"/>
    <s v="May"/>
    <n v="4"/>
    <n v="533.61"/>
    <x v="474"/>
    <s v="Furniture"/>
    <s v="Credit Card"/>
    <n v="1"/>
    <x v="485"/>
  </r>
  <r>
    <x v="475"/>
    <x v="0"/>
    <d v="2023-05-17T00:00:00"/>
    <n v="2023"/>
    <s v="Q2"/>
    <n v="5"/>
    <s v="May"/>
    <n v="8"/>
    <n v="367.53"/>
    <x v="475"/>
    <s v="Office Supplies"/>
    <s v="Online"/>
    <n v="1"/>
    <x v="486"/>
  </r>
  <r>
    <x v="476"/>
    <x v="5"/>
    <d v="2023-12-02T00:00:00"/>
    <n v="2023"/>
    <s v="Q4"/>
    <n v="12"/>
    <s v="Dec"/>
    <n v="2"/>
    <n v="27.94"/>
    <x v="476"/>
    <s v="Office Supplies"/>
    <s v="Credit Card"/>
    <n v="5"/>
    <x v="487"/>
  </r>
  <r>
    <x v="477"/>
    <x v="5"/>
    <d v="2024-01-31T00:00:00"/>
    <n v="2024"/>
    <s v="Q1"/>
    <n v="1"/>
    <s v="Jan"/>
    <n v="7"/>
    <n v="249.65"/>
    <x v="477"/>
    <s v="Office Supplies"/>
    <s v="Gift Card"/>
    <n v="5"/>
    <x v="488"/>
  </r>
  <r>
    <x v="478"/>
    <x v="1"/>
    <d v="2024-12-21T00:00:00"/>
    <n v="2024"/>
    <s v="Q4"/>
    <n v="12"/>
    <s v="Dec"/>
    <n v="5"/>
    <n v="37.74"/>
    <x v="478"/>
    <s v="Office Supplies"/>
    <s v="Online"/>
    <n v="5"/>
    <x v="489"/>
  </r>
  <r>
    <x v="479"/>
    <x v="6"/>
    <d v="2025-05-05T00:00:00"/>
    <n v="2025"/>
    <s v="Q2"/>
    <n v="5"/>
    <s v="May"/>
    <n v="8"/>
    <n v="286.36"/>
    <x v="479"/>
    <s v="Furniture"/>
    <s v="Cash"/>
    <n v="1"/>
    <x v="490"/>
  </r>
  <r>
    <x v="480"/>
    <x v="6"/>
    <d v="2024-12-15T00:00:00"/>
    <n v="2024"/>
    <s v="Q4"/>
    <n v="12"/>
    <s v="Dec"/>
    <n v="5"/>
    <n v="614.32000000000005"/>
    <x v="480"/>
    <s v="Furniture"/>
    <s v="Debit Card"/>
    <n v="3"/>
    <x v="491"/>
  </r>
  <r>
    <x v="481"/>
    <x v="2"/>
    <d v="2024-12-09T00:00:00"/>
    <n v="2024"/>
    <s v="Q4"/>
    <n v="12"/>
    <s v="Dec"/>
    <n v="7"/>
    <n v="172.77"/>
    <x v="481"/>
    <s v="Furniture"/>
    <s v="Debit Card"/>
    <n v="4"/>
    <x v="492"/>
  </r>
  <r>
    <x v="482"/>
    <x v="5"/>
    <d v="2024-08-20T00:00:00"/>
    <n v="2024"/>
    <s v="Q3"/>
    <n v="8"/>
    <s v="Aug"/>
    <n v="7"/>
    <n v="458.02"/>
    <x v="482"/>
    <s v="Furniture"/>
    <s v="Credit Card"/>
    <n v="5"/>
    <x v="493"/>
  </r>
  <r>
    <x v="483"/>
    <x v="4"/>
    <d v="2024-12-17T00:00:00"/>
    <n v="2024"/>
    <s v="Q4"/>
    <n v="12"/>
    <s v="Dec"/>
    <n v="1"/>
    <n v="40.96"/>
    <x v="483"/>
    <s v="Office Supplies"/>
    <s v="Gift Card"/>
    <n v="2"/>
    <x v="494"/>
  </r>
  <r>
    <x v="484"/>
    <x v="0"/>
    <d v="2025-06-21T00:00:00"/>
    <n v="2025"/>
    <s v="Q2"/>
    <n v="6"/>
    <s v="Jun"/>
    <n v="2"/>
    <n v="82.97"/>
    <x v="484"/>
    <s v="Office Supplies"/>
    <s v="Credit Card"/>
    <n v="4"/>
    <x v="495"/>
  </r>
  <r>
    <x v="485"/>
    <x v="4"/>
    <d v="2024-06-26T00:00:00"/>
    <n v="2024"/>
    <s v="Q2"/>
    <n v="6"/>
    <s v="Jun"/>
    <n v="1"/>
    <n v="211.3"/>
    <x v="485"/>
    <s v="Office Supplies"/>
    <s v="Cash"/>
    <n v="5"/>
    <x v="496"/>
  </r>
  <r>
    <x v="486"/>
    <x v="4"/>
    <d v="2025-04-13T00:00:00"/>
    <n v="2025"/>
    <s v="Q2"/>
    <n v="4"/>
    <s v="Apr"/>
    <n v="5"/>
    <n v="206.8"/>
    <x v="486"/>
    <s v="Electronics"/>
    <s v="Debit Card"/>
    <n v="4"/>
    <x v="497"/>
  </r>
  <r>
    <x v="487"/>
    <x v="6"/>
    <d v="2023-09-23T00:00:00"/>
    <n v="2023"/>
    <s v="Q3"/>
    <n v="9"/>
    <s v="Sep"/>
    <n v="3"/>
    <n v="234.42"/>
    <x v="487"/>
    <s v="Electronics"/>
    <s v="Cash"/>
    <n v="2"/>
    <x v="498"/>
  </r>
  <r>
    <x v="488"/>
    <x v="2"/>
    <d v="2024-04-28T00:00:00"/>
    <n v="2024"/>
    <s v="Q2"/>
    <n v="4"/>
    <s v="Apr"/>
    <n v="5"/>
    <n v="92.37"/>
    <x v="488"/>
    <s v="Electronics"/>
    <s v="Cash"/>
    <n v="5"/>
    <x v="499"/>
  </r>
  <r>
    <x v="489"/>
    <x v="5"/>
    <d v="2023-12-02T00:00:00"/>
    <n v="2023"/>
    <s v="Q4"/>
    <n v="12"/>
    <s v="Dec"/>
    <n v="1"/>
    <n v="417.54"/>
    <x v="489"/>
    <s v="Electronics"/>
    <s v="Online"/>
    <n v="1"/>
    <x v="500"/>
  </r>
  <r>
    <x v="490"/>
    <x v="2"/>
    <d v="2024-06-15T00:00:00"/>
    <n v="2024"/>
    <s v="Q2"/>
    <n v="6"/>
    <s v="Jun"/>
    <n v="6"/>
    <n v="565.54"/>
    <x v="490"/>
    <s v="Office Supplies"/>
    <s v="Online"/>
    <n v="1"/>
    <x v="501"/>
  </r>
  <r>
    <x v="12"/>
    <x v="2"/>
    <d v="2025-05-20T00:00:00"/>
    <n v="2025"/>
    <s v="Q2"/>
    <n v="5"/>
    <s v="May"/>
    <n v="3"/>
    <n v="539.44000000000005"/>
    <x v="12"/>
    <s v="Electronics"/>
    <s v="Debit Card"/>
    <n v="1"/>
    <x v="502"/>
  </r>
  <r>
    <x v="491"/>
    <x v="1"/>
    <d v="2025-06-11T00:00:00"/>
    <n v="2025"/>
    <s v="Q2"/>
    <n v="6"/>
    <s v="Jun"/>
    <n v="5"/>
    <n v="764.37"/>
    <x v="491"/>
    <s v="Furniture"/>
    <s v="Debit Card"/>
    <n v="1"/>
    <x v="503"/>
  </r>
  <r>
    <x v="492"/>
    <x v="2"/>
    <d v="2024-12-15T00:00:00"/>
    <n v="2024"/>
    <s v="Q4"/>
    <n v="12"/>
    <s v="Dec"/>
    <n v="7"/>
    <n v="584.79999999999995"/>
    <x v="492"/>
    <s v="Office Supplies"/>
    <s v="Online"/>
    <n v="4"/>
    <x v="504"/>
  </r>
  <r>
    <x v="493"/>
    <x v="1"/>
    <d v="2024-06-15T00:00:00"/>
    <n v="2024"/>
    <s v="Q2"/>
    <n v="6"/>
    <s v="Jun"/>
    <n v="5"/>
    <n v="448.93"/>
    <x v="493"/>
    <s v="Furniture"/>
    <s v="Gift Card"/>
    <n v="1"/>
    <x v="505"/>
  </r>
  <r>
    <x v="494"/>
    <x v="0"/>
    <d v="2023-12-22T00:00:00"/>
    <n v="2023"/>
    <s v="Q4"/>
    <n v="12"/>
    <s v="Dec"/>
    <n v="4"/>
    <n v="573.19000000000005"/>
    <x v="494"/>
    <s v="Furniture"/>
    <s v="Credit Card"/>
    <n v="1"/>
    <x v="506"/>
  </r>
  <r>
    <x v="495"/>
    <x v="3"/>
    <d v="2025-02-26T00:00:00"/>
    <n v="2025"/>
    <s v="Q1"/>
    <n v="2"/>
    <s v="Feb"/>
    <n v="2"/>
    <n v="15.63"/>
    <x v="495"/>
    <s v="Furniture"/>
    <s v="Credit Card"/>
    <n v="1"/>
    <x v="507"/>
  </r>
  <r>
    <x v="496"/>
    <x v="0"/>
    <d v="2025-06-06T00:00:00"/>
    <n v="2025"/>
    <s v="Q2"/>
    <n v="6"/>
    <s v="Jun"/>
    <n v="1"/>
    <n v="580.53"/>
    <x v="496"/>
    <s v="Electronics"/>
    <s v="Gift Card"/>
    <n v="2"/>
    <x v="508"/>
  </r>
  <r>
    <x v="497"/>
    <x v="3"/>
    <d v="2023-11-20T00:00:00"/>
    <n v="2023"/>
    <s v="Q4"/>
    <n v="11"/>
    <s v="Nov"/>
    <n v="3"/>
    <n v="380.5"/>
    <x v="497"/>
    <s v="Electronics"/>
    <s v="Gift Card"/>
    <n v="3"/>
    <x v="509"/>
  </r>
  <r>
    <x v="498"/>
    <x v="4"/>
    <d v="2024-03-02T00:00:00"/>
    <n v="2024"/>
    <s v="Q1"/>
    <n v="3"/>
    <s v="Mar"/>
    <n v="3"/>
    <n v="357.45"/>
    <x v="498"/>
    <s v="Electronics"/>
    <s v="Online"/>
    <n v="3"/>
    <x v="510"/>
  </r>
  <r>
    <x v="499"/>
    <x v="3"/>
    <d v="2025-03-04T00:00:00"/>
    <n v="2025"/>
    <s v="Q1"/>
    <n v="3"/>
    <s v="Mar"/>
    <n v="8"/>
    <n v="549.37"/>
    <x v="499"/>
    <s v="Electronics"/>
    <s v="Gift Card"/>
    <n v="3"/>
    <x v="511"/>
  </r>
  <r>
    <x v="500"/>
    <x v="5"/>
    <d v="2024-05-25T00:00:00"/>
    <n v="2024"/>
    <s v="Q2"/>
    <n v="5"/>
    <s v="May"/>
    <n v="1"/>
    <n v="511.82"/>
    <x v="500"/>
    <s v="Office Supplies"/>
    <s v="Online"/>
    <n v="3"/>
    <x v="512"/>
  </r>
  <r>
    <x v="501"/>
    <x v="0"/>
    <d v="2023-04-22T00:00:00"/>
    <n v="2023"/>
    <s v="Q2"/>
    <n v="4"/>
    <s v="Apr"/>
    <n v="7"/>
    <n v="191.68"/>
    <x v="501"/>
    <s v="Furniture"/>
    <s v="Cash"/>
    <n v="4"/>
    <x v="513"/>
  </r>
  <r>
    <x v="140"/>
    <x v="6"/>
    <d v="2024-10-17T00:00:00"/>
    <n v="2024"/>
    <s v="Q4"/>
    <n v="10"/>
    <s v="Oct"/>
    <n v="5"/>
    <n v="689.03"/>
    <x v="140"/>
    <s v="Furniture"/>
    <s v="Online"/>
    <n v="2"/>
    <x v="514"/>
  </r>
  <r>
    <x v="502"/>
    <x v="4"/>
    <d v="2025-05-13T00:00:00"/>
    <n v="2025"/>
    <s v="Q2"/>
    <n v="5"/>
    <s v="May"/>
    <n v="1"/>
    <n v="47.66"/>
    <x v="502"/>
    <s v="Office Supplies"/>
    <s v="Cash"/>
    <n v="4"/>
    <x v="515"/>
  </r>
  <r>
    <x v="503"/>
    <x v="0"/>
    <d v="2025-02-19T00:00:00"/>
    <n v="2025"/>
    <s v="Q1"/>
    <n v="2"/>
    <s v="Feb"/>
    <n v="8"/>
    <n v="584.83000000000004"/>
    <x v="503"/>
    <s v="Office Supplies"/>
    <s v="Online"/>
    <n v="3"/>
    <x v="516"/>
  </r>
  <r>
    <x v="504"/>
    <x v="6"/>
    <d v="2024-02-26T00:00:00"/>
    <n v="2024"/>
    <s v="Q1"/>
    <n v="2"/>
    <s v="Feb"/>
    <n v="6"/>
    <n v="314.52999999999997"/>
    <x v="504"/>
    <s v="Office Supplies"/>
    <s v="Debit Card"/>
    <n v="2"/>
    <x v="517"/>
  </r>
  <r>
    <x v="505"/>
    <x v="6"/>
    <d v="2023-10-17T00:00:00"/>
    <n v="2023"/>
    <s v="Q4"/>
    <n v="10"/>
    <s v="Oct"/>
    <n v="6"/>
    <n v="578.51"/>
    <x v="505"/>
    <s v="Office Supplies"/>
    <s v="Gift Card"/>
    <n v="4"/>
    <x v="518"/>
  </r>
  <r>
    <x v="506"/>
    <x v="1"/>
    <d v="2023-10-03T00:00:00"/>
    <n v="2023"/>
    <s v="Q4"/>
    <n v="10"/>
    <s v="Oct"/>
    <n v="8"/>
    <n v="618.30999999999995"/>
    <x v="506"/>
    <s v="Office Supplies"/>
    <s v="Cash"/>
    <n v="1"/>
    <x v="519"/>
  </r>
  <r>
    <x v="507"/>
    <x v="4"/>
    <d v="2024-10-09T00:00:00"/>
    <n v="2024"/>
    <s v="Q4"/>
    <n v="10"/>
    <s v="Oct"/>
    <n v="1"/>
    <n v="458.66"/>
    <x v="507"/>
    <s v="Furniture"/>
    <s v="Gift Card"/>
    <n v="4"/>
    <x v="520"/>
  </r>
  <r>
    <x v="508"/>
    <x v="2"/>
    <d v="2024-12-16T00:00:00"/>
    <n v="2024"/>
    <s v="Q4"/>
    <n v="12"/>
    <s v="Dec"/>
    <n v="6"/>
    <n v="396.06"/>
    <x v="508"/>
    <s v="Electronics"/>
    <s v="Credit Card"/>
    <n v="3"/>
    <x v="521"/>
  </r>
  <r>
    <x v="509"/>
    <x v="3"/>
    <d v="2025-06-22T00:00:00"/>
    <n v="2025"/>
    <s v="Q2"/>
    <n v="6"/>
    <s v="Jun"/>
    <n v="7"/>
    <n v="285.58999999999997"/>
    <x v="509"/>
    <s v="Office Supplies"/>
    <s v="Cash"/>
    <n v="2"/>
    <x v="522"/>
  </r>
  <r>
    <x v="510"/>
    <x v="5"/>
    <d v="2024-11-21T00:00:00"/>
    <n v="2024"/>
    <s v="Q4"/>
    <n v="11"/>
    <s v="Nov"/>
    <n v="8"/>
    <n v="589.92999999999995"/>
    <x v="510"/>
    <s v="Furniture"/>
    <s v="Debit Card"/>
    <n v="3"/>
    <x v="523"/>
  </r>
  <r>
    <x v="511"/>
    <x v="6"/>
    <d v="2025-01-05T00:00:00"/>
    <n v="2025"/>
    <s v="Q1"/>
    <n v="1"/>
    <s v="Jan"/>
    <n v="1"/>
    <n v="85.22"/>
    <x v="511"/>
    <s v="Office Supplies"/>
    <s v="Cash"/>
    <n v="1"/>
    <x v="524"/>
  </r>
  <r>
    <x v="512"/>
    <x v="1"/>
    <d v="2023-04-23T00:00:00"/>
    <n v="2023"/>
    <s v="Q2"/>
    <n v="4"/>
    <s v="Apr"/>
    <n v="1"/>
    <n v="358.65"/>
    <x v="512"/>
    <s v="Electronics"/>
    <s v="Online"/>
    <n v="4"/>
    <x v="525"/>
  </r>
  <r>
    <x v="513"/>
    <x v="2"/>
    <d v="2024-11-12T00:00:00"/>
    <n v="2024"/>
    <s v="Q4"/>
    <n v="11"/>
    <s v="Nov"/>
    <n v="3"/>
    <n v="565.63"/>
    <x v="513"/>
    <s v="Furniture"/>
    <s v="Cash"/>
    <n v="3"/>
    <x v="526"/>
  </r>
  <r>
    <x v="514"/>
    <x v="5"/>
    <d v="2023-07-09T00:00:00"/>
    <n v="2023"/>
    <s v="Q3"/>
    <n v="7"/>
    <s v="Jul"/>
    <n v="7"/>
    <n v="560.67999999999995"/>
    <x v="514"/>
    <s v="Electronics"/>
    <s v="Debit Card"/>
    <n v="2"/>
    <x v="527"/>
  </r>
  <r>
    <x v="515"/>
    <x v="3"/>
    <d v="2025-01-03T00:00:00"/>
    <n v="2025"/>
    <s v="Q1"/>
    <n v="1"/>
    <s v="Jan"/>
    <n v="1"/>
    <n v="12.7"/>
    <x v="515"/>
    <s v="Electronics"/>
    <s v="Online"/>
    <n v="1"/>
    <x v="528"/>
  </r>
  <r>
    <x v="516"/>
    <x v="1"/>
    <d v="2024-11-25T00:00:00"/>
    <n v="2024"/>
    <s v="Q4"/>
    <n v="11"/>
    <s v="Nov"/>
    <n v="7"/>
    <n v="352.27"/>
    <x v="516"/>
    <s v="Office Supplies"/>
    <s v="Gift Card"/>
    <n v="2"/>
    <x v="529"/>
  </r>
  <r>
    <x v="517"/>
    <x v="6"/>
    <d v="2023-01-24T00:00:00"/>
    <n v="2023"/>
    <s v="Q1"/>
    <n v="1"/>
    <s v="Jan"/>
    <n v="1"/>
    <n v="50.03"/>
    <x v="517"/>
    <s v="Office Supplies"/>
    <s v="Gift Card"/>
    <n v="5"/>
    <x v="530"/>
  </r>
  <r>
    <x v="518"/>
    <x v="0"/>
    <d v="2025-06-02T00:00:00"/>
    <n v="2025"/>
    <s v="Q2"/>
    <n v="6"/>
    <s v="Jun"/>
    <n v="5"/>
    <n v="730.2"/>
    <x v="518"/>
    <s v="Furniture"/>
    <s v="Cash"/>
    <n v="2"/>
    <x v="531"/>
  </r>
  <r>
    <x v="519"/>
    <x v="0"/>
    <d v="2024-12-11T00:00:00"/>
    <n v="2024"/>
    <s v="Q4"/>
    <n v="12"/>
    <s v="Dec"/>
    <n v="8"/>
    <n v="78.099999999999994"/>
    <x v="519"/>
    <s v="Electronics"/>
    <s v="Gift Card"/>
    <n v="5"/>
    <x v="532"/>
  </r>
  <r>
    <x v="520"/>
    <x v="4"/>
    <d v="2023-06-17T00:00:00"/>
    <n v="2023"/>
    <s v="Q2"/>
    <n v="6"/>
    <s v="Jun"/>
    <n v="2"/>
    <n v="679.03"/>
    <x v="520"/>
    <s v="Furniture"/>
    <s v="Gift Card"/>
    <n v="1"/>
    <x v="533"/>
  </r>
  <r>
    <x v="521"/>
    <x v="2"/>
    <d v="2025-06-29T00:00:00"/>
    <n v="2025"/>
    <s v="Q2"/>
    <n v="6"/>
    <s v="Jun"/>
    <n v="4"/>
    <n v="317.13"/>
    <x v="521"/>
    <s v="Electronics"/>
    <s v="Debit Card"/>
    <n v="3"/>
    <x v="534"/>
  </r>
  <r>
    <x v="522"/>
    <x v="1"/>
    <d v="2025-02-08T00:00:00"/>
    <n v="2025"/>
    <s v="Q1"/>
    <n v="2"/>
    <s v="Feb"/>
    <n v="2"/>
    <n v="21.24"/>
    <x v="522"/>
    <s v="Office Supplies"/>
    <s v="Online"/>
    <n v="2"/>
    <x v="535"/>
  </r>
  <r>
    <x v="523"/>
    <x v="6"/>
    <d v="2023-11-20T00:00:00"/>
    <n v="2023"/>
    <s v="Q4"/>
    <n v="11"/>
    <s v="Nov"/>
    <n v="8"/>
    <n v="568.71"/>
    <x v="523"/>
    <s v="Electronics"/>
    <s v="Debit Card"/>
    <n v="1"/>
    <x v="536"/>
  </r>
  <r>
    <x v="524"/>
    <x v="5"/>
    <d v="2023-09-06T00:00:00"/>
    <n v="2023"/>
    <s v="Q3"/>
    <n v="9"/>
    <s v="Sep"/>
    <n v="4"/>
    <n v="240.85"/>
    <x v="524"/>
    <s v="Furniture"/>
    <s v="Cash"/>
    <n v="2"/>
    <x v="537"/>
  </r>
  <r>
    <x v="525"/>
    <x v="5"/>
    <d v="2024-04-21T00:00:00"/>
    <n v="2024"/>
    <s v="Q2"/>
    <n v="4"/>
    <s v="Apr"/>
    <n v="1"/>
    <n v="782.12"/>
    <x v="525"/>
    <s v="Furniture"/>
    <s v="Cash"/>
    <n v="4"/>
    <x v="538"/>
  </r>
  <r>
    <x v="526"/>
    <x v="6"/>
    <d v="2024-04-02T00:00:00"/>
    <n v="2024"/>
    <s v="Q2"/>
    <n v="4"/>
    <s v="Apr"/>
    <n v="3"/>
    <n v="241.55"/>
    <x v="526"/>
    <s v="Office Supplies"/>
    <s v="Debit Card"/>
    <n v="5"/>
    <x v="539"/>
  </r>
  <r>
    <x v="527"/>
    <x v="6"/>
    <d v="2024-11-06T00:00:00"/>
    <n v="2024"/>
    <s v="Q4"/>
    <n v="11"/>
    <s v="Nov"/>
    <n v="7"/>
    <n v="587.48"/>
    <x v="527"/>
    <s v="Electronics"/>
    <s v="Online"/>
    <n v="3"/>
    <x v="540"/>
  </r>
  <r>
    <x v="528"/>
    <x v="3"/>
    <d v="2024-11-26T00:00:00"/>
    <n v="2024"/>
    <s v="Q4"/>
    <n v="11"/>
    <s v="Nov"/>
    <n v="8"/>
    <n v="516.77"/>
    <x v="528"/>
    <s v="Office Supplies"/>
    <s v="Gift Card"/>
    <n v="1"/>
    <x v="541"/>
  </r>
  <r>
    <x v="529"/>
    <x v="5"/>
    <d v="2025-02-08T00:00:00"/>
    <n v="2025"/>
    <s v="Q1"/>
    <n v="2"/>
    <s v="Feb"/>
    <n v="4"/>
    <n v="121.4"/>
    <x v="529"/>
    <s v="Furniture"/>
    <s v="Cash"/>
    <n v="1"/>
    <x v="542"/>
  </r>
  <r>
    <x v="530"/>
    <x v="3"/>
    <d v="2024-06-30T00:00:00"/>
    <n v="2024"/>
    <s v="Q2"/>
    <n v="6"/>
    <s v="Jun"/>
    <n v="2"/>
    <n v="521.12"/>
    <x v="530"/>
    <s v="Furniture"/>
    <s v="Credit Card"/>
    <n v="5"/>
    <x v="543"/>
  </r>
  <r>
    <x v="531"/>
    <x v="6"/>
    <d v="2023-10-14T00:00:00"/>
    <n v="2023"/>
    <s v="Q4"/>
    <n v="10"/>
    <s v="Oct"/>
    <n v="6"/>
    <n v="448.1"/>
    <x v="531"/>
    <s v="Office Supplies"/>
    <s v="Online"/>
    <n v="4"/>
    <x v="544"/>
  </r>
  <r>
    <x v="532"/>
    <x v="1"/>
    <d v="2025-03-19T00:00:00"/>
    <n v="2025"/>
    <s v="Q1"/>
    <n v="3"/>
    <s v="Mar"/>
    <n v="5"/>
    <n v="422.44"/>
    <x v="532"/>
    <s v="Furniture"/>
    <s v="Cash"/>
    <n v="5"/>
    <x v="545"/>
  </r>
  <r>
    <x v="533"/>
    <x v="4"/>
    <d v="2024-09-24T00:00:00"/>
    <n v="2024"/>
    <s v="Q3"/>
    <n v="9"/>
    <s v="Sep"/>
    <n v="8"/>
    <n v="87.35"/>
    <x v="533"/>
    <s v="Furniture"/>
    <s v="Cash"/>
    <n v="3"/>
    <x v="546"/>
  </r>
  <r>
    <x v="165"/>
    <x v="5"/>
    <d v="2023-06-15T00:00:00"/>
    <n v="2023"/>
    <s v="Q2"/>
    <n v="6"/>
    <s v="Jun"/>
    <n v="7"/>
    <n v="420.12"/>
    <x v="165"/>
    <s v="Electronics"/>
    <s v="Online"/>
    <n v="5"/>
    <x v="547"/>
  </r>
  <r>
    <x v="534"/>
    <x v="5"/>
    <d v="2024-11-02T00:00:00"/>
    <n v="2024"/>
    <s v="Q4"/>
    <n v="11"/>
    <s v="Nov"/>
    <n v="2"/>
    <n v="214.6"/>
    <x v="534"/>
    <s v="Furniture"/>
    <s v="Debit Card"/>
    <n v="4"/>
    <x v="548"/>
  </r>
  <r>
    <x v="535"/>
    <x v="1"/>
    <d v="2025-03-18T00:00:00"/>
    <n v="2025"/>
    <s v="Q1"/>
    <n v="3"/>
    <s v="Mar"/>
    <n v="7"/>
    <n v="260.24"/>
    <x v="535"/>
    <s v="Electronics"/>
    <s v="Cash"/>
    <n v="4"/>
    <x v="549"/>
  </r>
  <r>
    <x v="536"/>
    <x v="0"/>
    <d v="2023-07-11T00:00:00"/>
    <n v="2023"/>
    <s v="Q3"/>
    <n v="7"/>
    <s v="Jul"/>
    <n v="5"/>
    <n v="342.09"/>
    <x v="536"/>
    <s v="Furniture"/>
    <s v="Credit Card"/>
    <n v="1"/>
    <x v="550"/>
  </r>
  <r>
    <x v="537"/>
    <x v="5"/>
    <d v="2024-04-22T00:00:00"/>
    <n v="2024"/>
    <s v="Q2"/>
    <n v="4"/>
    <s v="Apr"/>
    <n v="4"/>
    <n v="214.18"/>
    <x v="537"/>
    <s v="Electronics"/>
    <s v="Gift Card"/>
    <n v="2"/>
    <x v="551"/>
  </r>
  <r>
    <x v="538"/>
    <x v="6"/>
    <d v="2024-10-08T00:00:00"/>
    <n v="2024"/>
    <s v="Q4"/>
    <n v="10"/>
    <s v="Oct"/>
    <n v="6"/>
    <n v="724.08"/>
    <x v="538"/>
    <s v="Office Supplies"/>
    <s v="Gift Card"/>
    <n v="2"/>
    <x v="552"/>
  </r>
  <r>
    <x v="539"/>
    <x v="5"/>
    <d v="2023-09-22T00:00:00"/>
    <n v="2023"/>
    <s v="Q3"/>
    <n v="9"/>
    <s v="Sep"/>
    <n v="2"/>
    <n v="510.8"/>
    <x v="539"/>
    <s v="Furniture"/>
    <s v="Gift Card"/>
    <n v="2"/>
    <x v="553"/>
  </r>
  <r>
    <x v="540"/>
    <x v="6"/>
    <d v="2024-12-30T00:00:00"/>
    <n v="2024"/>
    <s v="Q4"/>
    <n v="12"/>
    <s v="Dec"/>
    <n v="4"/>
    <n v="373.08"/>
    <x v="540"/>
    <s v="Furniture"/>
    <s v="Credit Card"/>
    <n v="5"/>
    <x v="554"/>
  </r>
  <r>
    <x v="541"/>
    <x v="3"/>
    <d v="2024-01-28T00:00:00"/>
    <n v="2024"/>
    <s v="Q1"/>
    <n v="1"/>
    <s v="Jan"/>
    <n v="3"/>
    <n v="675.26"/>
    <x v="541"/>
    <s v="Electronics"/>
    <s v="Cash"/>
    <n v="2"/>
    <x v="555"/>
  </r>
  <r>
    <x v="542"/>
    <x v="0"/>
    <d v="2024-10-31T00:00:00"/>
    <n v="2024"/>
    <s v="Q4"/>
    <n v="10"/>
    <s v="Oct"/>
    <n v="8"/>
    <n v="165.23"/>
    <x v="542"/>
    <s v="Electronics"/>
    <s v="Cash"/>
    <n v="2"/>
    <x v="556"/>
  </r>
  <r>
    <x v="543"/>
    <x v="2"/>
    <d v="2025-01-12T00:00:00"/>
    <n v="2025"/>
    <s v="Q1"/>
    <n v="1"/>
    <s v="Jan"/>
    <n v="8"/>
    <n v="675.81"/>
    <x v="543"/>
    <s v="Office Supplies"/>
    <s v="Online"/>
    <n v="2"/>
    <x v="557"/>
  </r>
  <r>
    <x v="544"/>
    <x v="2"/>
    <d v="2025-03-11T00:00:00"/>
    <n v="2025"/>
    <s v="Q1"/>
    <n v="3"/>
    <s v="Mar"/>
    <n v="6"/>
    <n v="705.74"/>
    <x v="544"/>
    <s v="Office Supplies"/>
    <s v="Credit Card"/>
    <n v="3"/>
    <x v="558"/>
  </r>
  <r>
    <x v="545"/>
    <x v="5"/>
    <d v="2024-09-05T00:00:00"/>
    <n v="2024"/>
    <s v="Q3"/>
    <n v="9"/>
    <s v="Sep"/>
    <n v="8"/>
    <n v="659.25"/>
    <x v="545"/>
    <s v="Furniture"/>
    <s v="Debit Card"/>
    <n v="3"/>
    <x v="559"/>
  </r>
  <r>
    <x v="546"/>
    <x v="5"/>
    <d v="2023-11-13T00:00:00"/>
    <n v="2023"/>
    <s v="Q4"/>
    <n v="11"/>
    <s v="Nov"/>
    <n v="3"/>
    <n v="41.57"/>
    <x v="546"/>
    <s v="Office Supplies"/>
    <s v="Online"/>
    <n v="4"/>
    <x v="560"/>
  </r>
  <r>
    <x v="547"/>
    <x v="0"/>
    <d v="2024-02-28T00:00:00"/>
    <n v="2024"/>
    <s v="Q1"/>
    <n v="2"/>
    <s v="Feb"/>
    <n v="8"/>
    <n v="578.05999999999995"/>
    <x v="547"/>
    <s v="Furniture"/>
    <s v="Credit Card"/>
    <n v="4"/>
    <x v="561"/>
  </r>
  <r>
    <x v="548"/>
    <x v="1"/>
    <d v="2024-11-27T00:00:00"/>
    <n v="2024"/>
    <s v="Q4"/>
    <n v="11"/>
    <s v="Nov"/>
    <n v="1"/>
    <n v="165.45"/>
    <x v="548"/>
    <s v="Furniture"/>
    <s v="Debit Card"/>
    <n v="5"/>
    <x v="562"/>
  </r>
  <r>
    <x v="549"/>
    <x v="5"/>
    <d v="2024-08-10T00:00:00"/>
    <n v="2024"/>
    <s v="Q3"/>
    <n v="8"/>
    <s v="Aug"/>
    <n v="7"/>
    <n v="604.79999999999995"/>
    <x v="549"/>
    <s v="Office Supplies"/>
    <s v="Cash"/>
    <n v="1"/>
    <x v="563"/>
  </r>
  <r>
    <x v="550"/>
    <x v="2"/>
    <d v="2024-07-16T00:00:00"/>
    <n v="2024"/>
    <s v="Q3"/>
    <n v="7"/>
    <s v="Jul"/>
    <n v="5"/>
    <n v="449.91"/>
    <x v="550"/>
    <s v="Furniture"/>
    <s v="Debit Card"/>
    <n v="4"/>
    <x v="564"/>
  </r>
  <r>
    <x v="551"/>
    <x v="2"/>
    <d v="2025-02-18T00:00:00"/>
    <n v="2025"/>
    <s v="Q1"/>
    <n v="2"/>
    <s v="Feb"/>
    <n v="5"/>
    <n v="390.97"/>
    <x v="551"/>
    <s v="Electronics"/>
    <s v="Credit Card"/>
    <n v="4"/>
    <x v="565"/>
  </r>
  <r>
    <x v="552"/>
    <x v="2"/>
    <d v="2024-03-03T00:00:00"/>
    <n v="2024"/>
    <s v="Q1"/>
    <n v="3"/>
    <s v="Mar"/>
    <n v="6"/>
    <n v="667.06"/>
    <x v="552"/>
    <s v="Furniture"/>
    <s v="Credit Card"/>
    <n v="2"/>
    <x v="566"/>
  </r>
  <r>
    <x v="249"/>
    <x v="3"/>
    <d v="2024-11-01T00:00:00"/>
    <n v="2024"/>
    <s v="Q4"/>
    <n v="11"/>
    <s v="Nov"/>
    <n v="8"/>
    <n v="49.37"/>
    <x v="249"/>
    <s v="Electronics"/>
    <s v="Cash"/>
    <n v="5"/>
    <x v="567"/>
  </r>
  <r>
    <x v="553"/>
    <x v="4"/>
    <d v="2023-05-11T00:00:00"/>
    <n v="2023"/>
    <s v="Q2"/>
    <n v="5"/>
    <s v="May"/>
    <n v="6"/>
    <n v="155.5"/>
    <x v="553"/>
    <s v="Office Supplies"/>
    <s v="Online"/>
    <n v="5"/>
    <x v="568"/>
  </r>
  <r>
    <x v="554"/>
    <x v="1"/>
    <d v="2024-12-29T00:00:00"/>
    <n v="2024"/>
    <s v="Q4"/>
    <n v="12"/>
    <s v="Dec"/>
    <n v="4"/>
    <n v="779.36"/>
    <x v="554"/>
    <s v="Electronics"/>
    <s v="Debit Card"/>
    <n v="2"/>
    <x v="569"/>
  </r>
  <r>
    <x v="555"/>
    <x v="6"/>
    <d v="2024-11-10T00:00:00"/>
    <n v="2024"/>
    <s v="Q4"/>
    <n v="11"/>
    <s v="Nov"/>
    <n v="8"/>
    <n v="393.28"/>
    <x v="555"/>
    <s v="Office Supplies"/>
    <s v="Cash"/>
    <n v="4"/>
    <x v="570"/>
  </r>
  <r>
    <x v="556"/>
    <x v="6"/>
    <d v="2025-02-27T00:00:00"/>
    <n v="2025"/>
    <s v="Q1"/>
    <n v="2"/>
    <s v="Feb"/>
    <n v="8"/>
    <n v="388.83"/>
    <x v="556"/>
    <s v="Electronics"/>
    <s v="Credit Card"/>
    <n v="5"/>
    <x v="571"/>
  </r>
  <r>
    <x v="557"/>
    <x v="4"/>
    <d v="2025-03-09T00:00:00"/>
    <n v="2025"/>
    <s v="Q1"/>
    <n v="3"/>
    <s v="Mar"/>
    <n v="8"/>
    <n v="621.65"/>
    <x v="557"/>
    <s v="Electronics"/>
    <s v="Online"/>
    <n v="4"/>
    <x v="572"/>
  </r>
  <r>
    <x v="558"/>
    <x v="0"/>
    <d v="2024-08-02T00:00:00"/>
    <n v="2024"/>
    <s v="Q3"/>
    <n v="8"/>
    <s v="Aug"/>
    <n v="5"/>
    <n v="727.71"/>
    <x v="558"/>
    <s v="Furniture"/>
    <s v="Gift Card"/>
    <n v="2"/>
    <x v="573"/>
  </r>
  <r>
    <x v="84"/>
    <x v="2"/>
    <d v="2024-12-24T00:00:00"/>
    <n v="2024"/>
    <s v="Q4"/>
    <n v="12"/>
    <s v="Dec"/>
    <n v="4"/>
    <n v="196.86"/>
    <x v="84"/>
    <s v="Office Supplies"/>
    <s v="Debit Card"/>
    <n v="3"/>
    <x v="574"/>
  </r>
  <r>
    <x v="182"/>
    <x v="5"/>
    <d v="2024-06-06T00:00:00"/>
    <n v="2024"/>
    <s v="Q2"/>
    <n v="6"/>
    <s v="Jun"/>
    <n v="8"/>
    <n v="237.68"/>
    <x v="182"/>
    <s v="Office Supplies"/>
    <s v="Cash"/>
    <n v="5"/>
    <x v="575"/>
  </r>
  <r>
    <x v="559"/>
    <x v="6"/>
    <d v="2025-04-04T00:00:00"/>
    <n v="2025"/>
    <s v="Q2"/>
    <n v="4"/>
    <s v="Apr"/>
    <n v="1"/>
    <n v="373.32"/>
    <x v="559"/>
    <s v="Electronics"/>
    <s v="Debit Card"/>
    <n v="1"/>
    <x v="576"/>
  </r>
  <r>
    <x v="560"/>
    <x v="6"/>
    <d v="2025-03-03T00:00:00"/>
    <n v="2025"/>
    <s v="Q1"/>
    <n v="3"/>
    <s v="Mar"/>
    <n v="8"/>
    <n v="294.62"/>
    <x v="560"/>
    <s v="Office Supplies"/>
    <s v="Online"/>
    <n v="5"/>
    <x v="577"/>
  </r>
  <r>
    <x v="561"/>
    <x v="4"/>
    <d v="2024-12-27T00:00:00"/>
    <n v="2024"/>
    <s v="Q4"/>
    <n v="12"/>
    <s v="Dec"/>
    <n v="6"/>
    <n v="39.68"/>
    <x v="561"/>
    <s v="Office Supplies"/>
    <s v="Cash"/>
    <n v="2"/>
    <x v="578"/>
  </r>
  <r>
    <x v="562"/>
    <x v="4"/>
    <d v="2024-06-08T00:00:00"/>
    <n v="2024"/>
    <s v="Q2"/>
    <n v="6"/>
    <s v="Jun"/>
    <n v="7"/>
    <n v="748.02"/>
    <x v="562"/>
    <s v="Furniture"/>
    <s v="Credit Card"/>
    <n v="4"/>
    <x v="579"/>
  </r>
  <r>
    <x v="563"/>
    <x v="6"/>
    <d v="2024-04-17T00:00:00"/>
    <n v="2024"/>
    <s v="Q2"/>
    <n v="4"/>
    <s v="Apr"/>
    <n v="3"/>
    <n v="524.76"/>
    <x v="563"/>
    <s v="Furniture"/>
    <s v="Credit Card"/>
    <n v="4"/>
    <x v="580"/>
  </r>
  <r>
    <x v="93"/>
    <x v="0"/>
    <d v="2023-02-20T00:00:00"/>
    <n v="2023"/>
    <s v="Q1"/>
    <n v="2"/>
    <s v="Feb"/>
    <n v="2"/>
    <n v="697.82"/>
    <x v="93"/>
    <s v="Electronics"/>
    <s v="Debit Card"/>
    <n v="4"/>
    <x v="581"/>
  </r>
  <r>
    <x v="564"/>
    <x v="1"/>
    <d v="2024-03-22T00:00:00"/>
    <n v="2024"/>
    <s v="Q1"/>
    <n v="3"/>
    <s v="Mar"/>
    <n v="8"/>
    <n v="797.46"/>
    <x v="564"/>
    <s v="Office Supplies"/>
    <s v="Cash"/>
    <n v="4"/>
    <x v="582"/>
  </r>
  <r>
    <x v="565"/>
    <x v="1"/>
    <d v="2024-01-04T00:00:00"/>
    <n v="2024"/>
    <s v="Q1"/>
    <n v="1"/>
    <s v="Jan"/>
    <n v="1"/>
    <n v="561.33000000000004"/>
    <x v="565"/>
    <s v="Office Supplies"/>
    <s v="Gift Card"/>
    <n v="3"/>
    <x v="583"/>
  </r>
  <r>
    <x v="566"/>
    <x v="0"/>
    <d v="2023-07-30T00:00:00"/>
    <n v="2023"/>
    <s v="Q3"/>
    <n v="7"/>
    <s v="Jul"/>
    <n v="7"/>
    <n v="756.85"/>
    <x v="566"/>
    <s v="Furniture"/>
    <s v="Credit Card"/>
    <n v="2"/>
    <x v="584"/>
  </r>
  <r>
    <x v="567"/>
    <x v="0"/>
    <d v="2025-02-07T00:00:00"/>
    <n v="2025"/>
    <s v="Q1"/>
    <n v="2"/>
    <s v="Feb"/>
    <n v="5"/>
    <n v="586.02"/>
    <x v="567"/>
    <s v="Furniture"/>
    <s v="Debit Card"/>
    <n v="5"/>
    <x v="585"/>
  </r>
  <r>
    <x v="568"/>
    <x v="5"/>
    <d v="2025-06-18T00:00:00"/>
    <n v="2025"/>
    <s v="Q2"/>
    <n v="6"/>
    <s v="Jun"/>
    <n v="4"/>
    <n v="392.13"/>
    <x v="568"/>
    <s v="Electronics"/>
    <s v="Online"/>
    <n v="5"/>
    <x v="586"/>
  </r>
  <r>
    <x v="569"/>
    <x v="2"/>
    <d v="2024-10-30T00:00:00"/>
    <n v="2024"/>
    <s v="Q4"/>
    <n v="10"/>
    <s v="Oct"/>
    <n v="7"/>
    <n v="294.3"/>
    <x v="569"/>
    <s v="Electronics"/>
    <s v="Credit Card"/>
    <n v="2"/>
    <x v="587"/>
  </r>
  <r>
    <x v="570"/>
    <x v="2"/>
    <d v="2024-07-07T00:00:00"/>
    <n v="2024"/>
    <s v="Q3"/>
    <n v="7"/>
    <s v="Jul"/>
    <n v="1"/>
    <n v="127.54"/>
    <x v="570"/>
    <s v="Electronics"/>
    <s v="Debit Card"/>
    <n v="4"/>
    <x v="588"/>
  </r>
  <r>
    <x v="571"/>
    <x v="5"/>
    <d v="2024-11-29T00:00:00"/>
    <n v="2024"/>
    <s v="Q4"/>
    <n v="11"/>
    <s v="Nov"/>
    <n v="3"/>
    <n v="224.97"/>
    <x v="571"/>
    <s v="Electronics"/>
    <s v="Credit Card"/>
    <n v="2"/>
    <x v="589"/>
  </r>
  <r>
    <x v="364"/>
    <x v="5"/>
    <d v="2024-04-03T00:00:00"/>
    <n v="2024"/>
    <s v="Q2"/>
    <n v="4"/>
    <s v="Apr"/>
    <n v="1"/>
    <n v="160.57"/>
    <x v="364"/>
    <s v="Electronics"/>
    <s v="Credit Card"/>
    <n v="5"/>
    <x v="590"/>
  </r>
  <r>
    <x v="572"/>
    <x v="2"/>
    <d v="2024-12-08T00:00:00"/>
    <n v="2024"/>
    <s v="Q4"/>
    <n v="12"/>
    <s v="Dec"/>
    <n v="4"/>
    <n v="411.35"/>
    <x v="572"/>
    <s v="Electronics"/>
    <s v="Cash"/>
    <n v="2"/>
    <x v="591"/>
  </r>
  <r>
    <x v="573"/>
    <x v="2"/>
    <d v="2024-03-19T00:00:00"/>
    <n v="2024"/>
    <s v="Q1"/>
    <n v="3"/>
    <s v="Mar"/>
    <n v="1"/>
    <n v="237.2"/>
    <x v="573"/>
    <s v="Electronics"/>
    <s v="Credit Card"/>
    <n v="5"/>
    <x v="592"/>
  </r>
  <r>
    <x v="574"/>
    <x v="6"/>
    <d v="2023-06-08T00:00:00"/>
    <n v="2023"/>
    <s v="Q2"/>
    <n v="6"/>
    <s v="Jun"/>
    <n v="7"/>
    <n v="430.84"/>
    <x v="574"/>
    <s v="Furniture"/>
    <s v="Online"/>
    <n v="4"/>
    <x v="593"/>
  </r>
  <r>
    <x v="575"/>
    <x v="2"/>
    <d v="2023-06-08T00:00:00"/>
    <n v="2023"/>
    <s v="Q2"/>
    <n v="6"/>
    <s v="Jun"/>
    <n v="8"/>
    <n v="368.38"/>
    <x v="575"/>
    <s v="Electronics"/>
    <s v="Debit Card"/>
    <n v="3"/>
    <x v="594"/>
  </r>
  <r>
    <x v="576"/>
    <x v="3"/>
    <d v="2025-06-23T00:00:00"/>
    <n v="2025"/>
    <s v="Q2"/>
    <n v="6"/>
    <s v="Jun"/>
    <n v="7"/>
    <n v="109.67"/>
    <x v="576"/>
    <s v="Office Supplies"/>
    <s v="Credit Card"/>
    <n v="3"/>
    <x v="595"/>
  </r>
  <r>
    <x v="577"/>
    <x v="6"/>
    <d v="2023-01-06T00:00:00"/>
    <n v="2023"/>
    <s v="Q1"/>
    <n v="1"/>
    <s v="Jan"/>
    <n v="3"/>
    <n v="76.260000000000005"/>
    <x v="577"/>
    <s v="Electronics"/>
    <s v="Debit Card"/>
    <n v="5"/>
    <x v="596"/>
  </r>
  <r>
    <x v="578"/>
    <x v="2"/>
    <d v="2024-12-31T00:00:00"/>
    <n v="2024"/>
    <s v="Q4"/>
    <n v="12"/>
    <s v="Dec"/>
    <n v="6"/>
    <n v="353.11"/>
    <x v="578"/>
    <s v="Office Supplies"/>
    <s v="Credit Card"/>
    <n v="5"/>
    <x v="597"/>
  </r>
  <r>
    <x v="579"/>
    <x v="6"/>
    <d v="2025-01-01T00:00:00"/>
    <n v="2025"/>
    <s v="Q1"/>
    <n v="1"/>
    <s v="Jan"/>
    <n v="6"/>
    <n v="509.2"/>
    <x v="579"/>
    <s v="Furniture"/>
    <s v="Cash"/>
    <n v="2"/>
    <x v="598"/>
  </r>
  <r>
    <x v="580"/>
    <x v="0"/>
    <d v="2025-05-19T00:00:00"/>
    <n v="2025"/>
    <s v="Q2"/>
    <n v="5"/>
    <s v="May"/>
    <n v="7"/>
    <n v="237.3"/>
    <x v="580"/>
    <s v="Office Supplies"/>
    <s v="Cash"/>
    <n v="3"/>
    <x v="599"/>
  </r>
  <r>
    <x v="581"/>
    <x v="3"/>
    <d v="2023-11-01T00:00:00"/>
    <n v="2023"/>
    <s v="Q4"/>
    <n v="11"/>
    <s v="Nov"/>
    <n v="8"/>
    <n v="509.8"/>
    <x v="581"/>
    <s v="Office Supplies"/>
    <s v="Credit Card"/>
    <n v="4"/>
    <x v="600"/>
  </r>
  <r>
    <x v="582"/>
    <x v="2"/>
    <d v="2023-01-08T00:00:00"/>
    <n v="2023"/>
    <s v="Q1"/>
    <n v="1"/>
    <s v="Jan"/>
    <n v="4"/>
    <n v="236.91"/>
    <x v="582"/>
    <s v="Furniture"/>
    <s v="Gift Card"/>
    <n v="5"/>
    <x v="601"/>
  </r>
  <r>
    <x v="583"/>
    <x v="4"/>
    <d v="2024-10-30T00:00:00"/>
    <n v="2024"/>
    <s v="Q4"/>
    <n v="10"/>
    <s v="Oct"/>
    <n v="2"/>
    <n v="713.79"/>
    <x v="583"/>
    <s v="Electronics"/>
    <s v="Online"/>
    <n v="3"/>
    <x v="602"/>
  </r>
  <r>
    <x v="584"/>
    <x v="6"/>
    <d v="2023-06-16T00:00:00"/>
    <n v="2023"/>
    <s v="Q2"/>
    <n v="6"/>
    <s v="Jun"/>
    <n v="2"/>
    <n v="232.19"/>
    <x v="584"/>
    <s v="Furniture"/>
    <s v="Gift Card"/>
    <n v="3"/>
    <x v="603"/>
  </r>
  <r>
    <x v="585"/>
    <x v="5"/>
    <d v="2024-01-26T00:00:00"/>
    <n v="2024"/>
    <s v="Q1"/>
    <n v="1"/>
    <s v="Jan"/>
    <n v="8"/>
    <n v="513.16"/>
    <x v="585"/>
    <s v="Office Supplies"/>
    <s v="Cash"/>
    <n v="4"/>
    <x v="604"/>
  </r>
  <r>
    <x v="586"/>
    <x v="2"/>
    <d v="2023-10-28T00:00:00"/>
    <n v="2023"/>
    <s v="Q4"/>
    <n v="10"/>
    <s v="Oct"/>
    <n v="5"/>
    <n v="435.2"/>
    <x v="586"/>
    <s v="Office Supplies"/>
    <s v="Cash"/>
    <n v="4"/>
    <x v="605"/>
  </r>
  <r>
    <x v="587"/>
    <x v="2"/>
    <d v="2023-05-12T00:00:00"/>
    <n v="2023"/>
    <s v="Q2"/>
    <n v="5"/>
    <s v="May"/>
    <n v="6"/>
    <n v="542.99"/>
    <x v="587"/>
    <s v="Furniture"/>
    <s v="Online"/>
    <n v="2"/>
    <x v="606"/>
  </r>
  <r>
    <x v="588"/>
    <x v="0"/>
    <d v="2024-04-11T00:00:00"/>
    <n v="2024"/>
    <s v="Q2"/>
    <n v="4"/>
    <s v="Apr"/>
    <n v="6"/>
    <n v="8.17"/>
    <x v="588"/>
    <s v="Office Supplies"/>
    <s v="Debit Card"/>
    <n v="3"/>
    <x v="607"/>
  </r>
  <r>
    <x v="589"/>
    <x v="6"/>
    <d v="2024-08-03T00:00:00"/>
    <n v="2024"/>
    <s v="Q3"/>
    <n v="8"/>
    <s v="Aug"/>
    <n v="8"/>
    <n v="752.21"/>
    <x v="589"/>
    <s v="Electronics"/>
    <s v="Cash"/>
    <n v="2"/>
    <x v="608"/>
  </r>
  <r>
    <x v="590"/>
    <x v="6"/>
    <d v="2023-08-25T00:00:00"/>
    <n v="2023"/>
    <s v="Q3"/>
    <n v="8"/>
    <s v="Aug"/>
    <n v="7"/>
    <n v="743.68"/>
    <x v="590"/>
    <s v="Electronics"/>
    <s v="Debit Card"/>
    <n v="1"/>
    <x v="609"/>
  </r>
  <r>
    <x v="591"/>
    <x v="2"/>
    <d v="2023-12-28T00:00:00"/>
    <n v="2023"/>
    <s v="Q4"/>
    <n v="12"/>
    <s v="Dec"/>
    <n v="1"/>
    <n v="770.15"/>
    <x v="591"/>
    <s v="Office Supplies"/>
    <s v="Online"/>
    <n v="4"/>
    <x v="610"/>
  </r>
  <r>
    <x v="592"/>
    <x v="0"/>
    <d v="2023-02-14T00:00:00"/>
    <n v="2023"/>
    <s v="Q1"/>
    <n v="2"/>
    <s v="Feb"/>
    <n v="5"/>
    <n v="494.19"/>
    <x v="592"/>
    <s v="Office Supplies"/>
    <s v="Gift Card"/>
    <n v="3"/>
    <x v="611"/>
  </r>
  <r>
    <x v="593"/>
    <x v="6"/>
    <d v="2023-05-26T00:00:00"/>
    <n v="2023"/>
    <s v="Q2"/>
    <n v="5"/>
    <s v="May"/>
    <n v="6"/>
    <n v="357.44"/>
    <x v="593"/>
    <s v="Furniture"/>
    <s v="Gift Card"/>
    <n v="3"/>
    <x v="612"/>
  </r>
  <r>
    <x v="594"/>
    <x v="1"/>
    <d v="2025-05-22T00:00:00"/>
    <n v="2025"/>
    <s v="Q2"/>
    <n v="5"/>
    <s v="May"/>
    <n v="4"/>
    <n v="508.49"/>
    <x v="594"/>
    <s v="Furniture"/>
    <s v="Online"/>
    <n v="1"/>
    <x v="613"/>
  </r>
  <r>
    <x v="20"/>
    <x v="1"/>
    <d v="2023-02-05T00:00:00"/>
    <n v="2023"/>
    <s v="Q1"/>
    <n v="2"/>
    <s v="Feb"/>
    <n v="1"/>
    <n v="195.71"/>
    <x v="20"/>
    <s v="Office Supplies"/>
    <s v="Credit Card"/>
    <n v="3"/>
    <x v="614"/>
  </r>
  <r>
    <x v="595"/>
    <x v="0"/>
    <d v="2025-02-14T00:00:00"/>
    <n v="2025"/>
    <s v="Q1"/>
    <n v="2"/>
    <s v="Feb"/>
    <n v="3"/>
    <n v="237.93"/>
    <x v="595"/>
    <s v="Electronics"/>
    <s v="Debit Card"/>
    <n v="4"/>
    <x v="615"/>
  </r>
  <r>
    <x v="596"/>
    <x v="0"/>
    <d v="2024-05-01T00:00:00"/>
    <n v="2024"/>
    <s v="Q2"/>
    <n v="5"/>
    <s v="May"/>
    <n v="1"/>
    <n v="50.19"/>
    <x v="596"/>
    <s v="Furniture"/>
    <s v="Gift Card"/>
    <n v="4"/>
    <x v="616"/>
  </r>
  <r>
    <x v="597"/>
    <x v="1"/>
    <d v="2025-05-15T00:00:00"/>
    <n v="2025"/>
    <s v="Q2"/>
    <n v="5"/>
    <s v="May"/>
    <n v="5"/>
    <n v="619.53"/>
    <x v="597"/>
    <s v="Electronics"/>
    <s v="Cash"/>
    <n v="2"/>
    <x v="617"/>
  </r>
  <r>
    <x v="598"/>
    <x v="2"/>
    <d v="2024-07-19T00:00:00"/>
    <n v="2024"/>
    <s v="Q3"/>
    <n v="7"/>
    <s v="Jul"/>
    <n v="2"/>
    <n v="60.32"/>
    <x v="598"/>
    <s v="Office Supplies"/>
    <s v="Debit Card"/>
    <n v="2"/>
    <x v="618"/>
  </r>
  <r>
    <x v="599"/>
    <x v="0"/>
    <d v="2025-04-01T00:00:00"/>
    <n v="2025"/>
    <s v="Q2"/>
    <n v="4"/>
    <s v="Apr"/>
    <n v="7"/>
    <n v="167.82"/>
    <x v="599"/>
    <s v="Electronics"/>
    <s v="Online"/>
    <n v="1"/>
    <x v="619"/>
  </r>
  <r>
    <x v="600"/>
    <x v="1"/>
    <d v="2024-07-05T00:00:00"/>
    <n v="2024"/>
    <s v="Q3"/>
    <n v="7"/>
    <s v="Jul"/>
    <n v="5"/>
    <n v="563.47"/>
    <x v="600"/>
    <s v="Office Supplies"/>
    <s v="Cash"/>
    <n v="5"/>
    <x v="620"/>
  </r>
  <r>
    <x v="601"/>
    <x v="5"/>
    <d v="2023-10-10T00:00:00"/>
    <n v="2023"/>
    <s v="Q4"/>
    <n v="10"/>
    <s v="Oct"/>
    <n v="8"/>
    <n v="264.31"/>
    <x v="601"/>
    <s v="Furniture"/>
    <s v="Credit Card"/>
    <n v="3"/>
    <x v="621"/>
  </r>
  <r>
    <x v="490"/>
    <x v="3"/>
    <d v="2023-07-12T00:00:00"/>
    <n v="2023"/>
    <s v="Q3"/>
    <n v="7"/>
    <s v="Jul"/>
    <n v="7"/>
    <n v="443.89"/>
    <x v="490"/>
    <s v="Office Supplies"/>
    <s v="Debit Card"/>
    <n v="4"/>
    <x v="622"/>
  </r>
  <r>
    <x v="602"/>
    <x v="3"/>
    <d v="2024-11-26T00:00:00"/>
    <n v="2024"/>
    <s v="Q4"/>
    <n v="11"/>
    <s v="Nov"/>
    <n v="8"/>
    <n v="395.46"/>
    <x v="602"/>
    <s v="Furniture"/>
    <s v="Debit Card"/>
    <n v="1"/>
    <x v="623"/>
  </r>
  <r>
    <x v="603"/>
    <x v="4"/>
    <d v="2023-03-08T00:00:00"/>
    <n v="2023"/>
    <s v="Q1"/>
    <n v="3"/>
    <s v="Mar"/>
    <n v="5"/>
    <n v="57.44"/>
    <x v="603"/>
    <s v="Electronics"/>
    <s v="Credit Card"/>
    <n v="2"/>
    <x v="624"/>
  </r>
  <r>
    <x v="604"/>
    <x v="5"/>
    <d v="2024-03-28T00:00:00"/>
    <n v="2024"/>
    <s v="Q1"/>
    <n v="3"/>
    <s v="Mar"/>
    <n v="8"/>
    <n v="158.72999999999999"/>
    <x v="604"/>
    <s v="Furniture"/>
    <s v="Cash"/>
    <n v="1"/>
    <x v="625"/>
  </r>
  <r>
    <x v="605"/>
    <x v="3"/>
    <d v="2023-09-15T00:00:00"/>
    <n v="2023"/>
    <s v="Q3"/>
    <n v="9"/>
    <s v="Sep"/>
    <n v="6"/>
    <n v="654.29"/>
    <x v="605"/>
    <s v="Electronics"/>
    <s v="Cash"/>
    <n v="2"/>
    <x v="626"/>
  </r>
  <r>
    <x v="606"/>
    <x v="1"/>
    <d v="2023-11-12T00:00:00"/>
    <n v="2023"/>
    <s v="Q4"/>
    <n v="11"/>
    <s v="Nov"/>
    <n v="5"/>
    <n v="226.61"/>
    <x v="606"/>
    <s v="Furniture"/>
    <s v="Cash"/>
    <n v="2"/>
    <x v="627"/>
  </r>
  <r>
    <x v="607"/>
    <x v="2"/>
    <d v="2023-01-01T00:00:00"/>
    <n v="2023"/>
    <s v="Q1"/>
    <n v="1"/>
    <s v="Jan"/>
    <n v="5"/>
    <n v="336.17"/>
    <x v="607"/>
    <s v="Furniture"/>
    <s v="Credit Card"/>
    <n v="1"/>
    <x v="628"/>
  </r>
  <r>
    <x v="608"/>
    <x v="1"/>
    <d v="2024-08-02T00:00:00"/>
    <n v="2024"/>
    <s v="Q3"/>
    <n v="8"/>
    <s v="Aug"/>
    <n v="2"/>
    <n v="132.49"/>
    <x v="608"/>
    <s v="Office Supplies"/>
    <s v="Debit Card"/>
    <n v="4"/>
    <x v="629"/>
  </r>
  <r>
    <x v="609"/>
    <x v="6"/>
    <d v="2023-07-09T00:00:00"/>
    <n v="2023"/>
    <s v="Q3"/>
    <n v="7"/>
    <s v="Jul"/>
    <n v="2"/>
    <n v="664.71"/>
    <x v="609"/>
    <s v="Furniture"/>
    <s v="Gift Card"/>
    <n v="4"/>
    <x v="630"/>
  </r>
  <r>
    <x v="610"/>
    <x v="4"/>
    <d v="2024-06-24T00:00:00"/>
    <n v="2024"/>
    <s v="Q2"/>
    <n v="6"/>
    <s v="Jun"/>
    <n v="3"/>
    <n v="414.11"/>
    <x v="610"/>
    <s v="Office Supplies"/>
    <s v="Debit Card"/>
    <n v="3"/>
    <x v="631"/>
  </r>
  <r>
    <x v="611"/>
    <x v="3"/>
    <d v="2023-12-16T00:00:00"/>
    <n v="2023"/>
    <s v="Q4"/>
    <n v="12"/>
    <s v="Dec"/>
    <n v="6"/>
    <n v="110"/>
    <x v="611"/>
    <s v="Electronics"/>
    <s v="Online"/>
    <n v="1"/>
    <x v="278"/>
  </r>
  <r>
    <x v="612"/>
    <x v="2"/>
    <d v="2024-10-24T00:00:00"/>
    <n v="2024"/>
    <s v="Q4"/>
    <n v="10"/>
    <s v="Oct"/>
    <n v="5"/>
    <n v="42.01"/>
    <x v="612"/>
    <s v="Furniture"/>
    <s v="Debit Card"/>
    <n v="1"/>
    <x v="632"/>
  </r>
  <r>
    <x v="613"/>
    <x v="2"/>
    <d v="2025-02-12T00:00:00"/>
    <n v="2025"/>
    <s v="Q1"/>
    <n v="2"/>
    <s v="Feb"/>
    <n v="2"/>
    <n v="173.26"/>
    <x v="613"/>
    <s v="Office Supplies"/>
    <s v="Credit Card"/>
    <n v="2"/>
    <x v="633"/>
  </r>
  <r>
    <x v="296"/>
    <x v="4"/>
    <d v="2023-12-10T00:00:00"/>
    <n v="2023"/>
    <s v="Q4"/>
    <n v="12"/>
    <s v="Dec"/>
    <n v="8"/>
    <n v="297.94"/>
    <x v="296"/>
    <s v="Electronics"/>
    <s v="Debit Card"/>
    <n v="4"/>
    <x v="634"/>
  </r>
  <r>
    <x v="614"/>
    <x v="5"/>
    <d v="2024-01-27T00:00:00"/>
    <n v="2024"/>
    <s v="Q1"/>
    <n v="1"/>
    <s v="Jan"/>
    <n v="1"/>
    <n v="75.2"/>
    <x v="614"/>
    <s v="Furniture"/>
    <s v="Gift Card"/>
    <n v="2"/>
    <x v="635"/>
  </r>
  <r>
    <x v="615"/>
    <x v="3"/>
    <d v="2023-12-01T00:00:00"/>
    <n v="2023"/>
    <s v="Q4"/>
    <n v="12"/>
    <s v="Dec"/>
    <n v="4"/>
    <n v="186.25"/>
    <x v="615"/>
    <s v="Furniture"/>
    <s v="Cash"/>
    <n v="2"/>
    <x v="636"/>
  </r>
  <r>
    <x v="616"/>
    <x v="2"/>
    <d v="2024-11-23T00:00:00"/>
    <n v="2024"/>
    <s v="Q4"/>
    <n v="11"/>
    <s v="Nov"/>
    <n v="8"/>
    <n v="448.55"/>
    <x v="616"/>
    <s v="Electronics"/>
    <s v="Debit Card"/>
    <n v="1"/>
    <x v="637"/>
  </r>
  <r>
    <x v="159"/>
    <x v="1"/>
    <d v="2024-12-20T00:00:00"/>
    <n v="2024"/>
    <s v="Q4"/>
    <n v="12"/>
    <s v="Dec"/>
    <n v="5"/>
    <n v="682.8"/>
    <x v="159"/>
    <s v="Electronics"/>
    <s v="Debit Card"/>
    <n v="3"/>
    <x v="638"/>
  </r>
  <r>
    <x v="617"/>
    <x v="6"/>
    <d v="2025-06-27T00:00:00"/>
    <n v="2025"/>
    <s v="Q2"/>
    <n v="6"/>
    <s v="Jun"/>
    <n v="8"/>
    <n v="77.66"/>
    <x v="617"/>
    <s v="Furniture"/>
    <s v="Debit Card"/>
    <n v="1"/>
    <x v="639"/>
  </r>
  <r>
    <x v="618"/>
    <x v="4"/>
    <d v="2024-03-10T00:00:00"/>
    <n v="2024"/>
    <s v="Q1"/>
    <n v="3"/>
    <s v="Mar"/>
    <n v="6"/>
    <n v="17.149999999999999"/>
    <x v="618"/>
    <s v="Office Supplies"/>
    <s v="Cash"/>
    <n v="4"/>
    <x v="640"/>
  </r>
  <r>
    <x v="619"/>
    <x v="4"/>
    <d v="2024-05-18T00:00:00"/>
    <n v="2024"/>
    <s v="Q2"/>
    <n v="5"/>
    <s v="May"/>
    <n v="8"/>
    <n v="69.55"/>
    <x v="619"/>
    <s v="Office Supplies"/>
    <s v="Cash"/>
    <n v="3"/>
    <x v="641"/>
  </r>
  <r>
    <x v="620"/>
    <x v="0"/>
    <d v="2025-05-15T00:00:00"/>
    <n v="2025"/>
    <s v="Q2"/>
    <n v="5"/>
    <s v="May"/>
    <n v="1"/>
    <n v="51.54"/>
    <x v="620"/>
    <s v="Furniture"/>
    <s v="Debit Card"/>
    <n v="5"/>
    <x v="642"/>
  </r>
  <r>
    <x v="621"/>
    <x v="0"/>
    <d v="2023-11-18T00:00:00"/>
    <n v="2023"/>
    <s v="Q4"/>
    <n v="11"/>
    <s v="Nov"/>
    <n v="5"/>
    <n v="185.82"/>
    <x v="621"/>
    <s v="Office Supplies"/>
    <s v="Cash"/>
    <n v="1"/>
    <x v="643"/>
  </r>
  <r>
    <x v="622"/>
    <x v="1"/>
    <d v="2025-05-09T00:00:00"/>
    <n v="2025"/>
    <s v="Q2"/>
    <n v="5"/>
    <s v="May"/>
    <n v="2"/>
    <n v="420.24"/>
    <x v="622"/>
    <s v="Furniture"/>
    <s v="Online"/>
    <n v="4"/>
    <x v="644"/>
  </r>
  <r>
    <x v="513"/>
    <x v="0"/>
    <d v="2024-08-24T00:00:00"/>
    <n v="2024"/>
    <s v="Q3"/>
    <n v="8"/>
    <s v="Aug"/>
    <n v="5"/>
    <n v="114.53"/>
    <x v="513"/>
    <s v="Furniture"/>
    <s v="Gift Card"/>
    <n v="1"/>
    <x v="645"/>
  </r>
  <r>
    <x v="623"/>
    <x v="1"/>
    <d v="2024-12-17T00:00:00"/>
    <n v="2024"/>
    <s v="Q4"/>
    <n v="12"/>
    <s v="Dec"/>
    <n v="2"/>
    <n v="265.33999999999997"/>
    <x v="623"/>
    <s v="Furniture"/>
    <s v="Debit Card"/>
    <n v="2"/>
    <x v="646"/>
  </r>
  <r>
    <x v="624"/>
    <x v="4"/>
    <d v="2023-01-01T00:00:00"/>
    <n v="2023"/>
    <s v="Q1"/>
    <n v="1"/>
    <s v="Jan"/>
    <n v="4"/>
    <n v="757.23"/>
    <x v="624"/>
    <s v="Office Supplies"/>
    <s v="Cash"/>
    <n v="5"/>
    <x v="647"/>
  </r>
  <r>
    <x v="625"/>
    <x v="5"/>
    <d v="2024-10-01T00:00:00"/>
    <n v="2024"/>
    <s v="Q4"/>
    <n v="10"/>
    <s v="Oct"/>
    <n v="1"/>
    <n v="698.52"/>
    <x v="625"/>
    <s v="Furniture"/>
    <s v="Gift Card"/>
    <n v="1"/>
    <x v="648"/>
  </r>
  <r>
    <x v="626"/>
    <x v="1"/>
    <d v="2024-12-08T00:00:00"/>
    <n v="2024"/>
    <s v="Q4"/>
    <n v="12"/>
    <s v="Dec"/>
    <n v="8"/>
    <n v="377.44"/>
    <x v="626"/>
    <s v="Electronics"/>
    <s v="Online"/>
    <n v="5"/>
    <x v="649"/>
  </r>
  <r>
    <x v="627"/>
    <x v="2"/>
    <d v="2023-11-25T00:00:00"/>
    <n v="2023"/>
    <s v="Q4"/>
    <n v="11"/>
    <s v="Nov"/>
    <n v="3"/>
    <n v="103.61"/>
    <x v="627"/>
    <s v="Electronics"/>
    <s v="Online"/>
    <n v="4"/>
    <x v="650"/>
  </r>
  <r>
    <x v="628"/>
    <x v="6"/>
    <d v="2024-03-20T00:00:00"/>
    <n v="2024"/>
    <s v="Q1"/>
    <n v="3"/>
    <s v="Mar"/>
    <n v="2"/>
    <n v="504.13"/>
    <x v="628"/>
    <s v="Office Supplies"/>
    <s v="Cash"/>
    <n v="2"/>
    <x v="651"/>
  </r>
  <r>
    <x v="629"/>
    <x v="6"/>
    <d v="2023-11-07T00:00:00"/>
    <n v="2023"/>
    <s v="Q4"/>
    <n v="11"/>
    <s v="Nov"/>
    <n v="6"/>
    <n v="574.6"/>
    <x v="629"/>
    <s v="Electronics"/>
    <s v="Debit Card"/>
    <n v="2"/>
    <x v="652"/>
  </r>
  <r>
    <x v="630"/>
    <x v="3"/>
    <d v="2025-02-14T00:00:00"/>
    <n v="2025"/>
    <s v="Q1"/>
    <n v="2"/>
    <s v="Feb"/>
    <n v="2"/>
    <n v="201.7"/>
    <x v="630"/>
    <s v="Electronics"/>
    <s v="Debit Card"/>
    <n v="1"/>
    <x v="653"/>
  </r>
  <r>
    <x v="631"/>
    <x v="2"/>
    <d v="2023-02-18T00:00:00"/>
    <n v="2023"/>
    <s v="Q1"/>
    <n v="2"/>
    <s v="Feb"/>
    <n v="3"/>
    <n v="330.27"/>
    <x v="631"/>
    <s v="Furniture"/>
    <s v="Online"/>
    <n v="2"/>
    <x v="654"/>
  </r>
  <r>
    <x v="433"/>
    <x v="0"/>
    <d v="2023-04-03T00:00:00"/>
    <n v="2023"/>
    <s v="Q2"/>
    <n v="4"/>
    <s v="Apr"/>
    <n v="3"/>
    <n v="116.05"/>
    <x v="433"/>
    <s v="Furniture"/>
    <s v="Cash"/>
    <n v="1"/>
    <x v="655"/>
  </r>
  <r>
    <x v="632"/>
    <x v="4"/>
    <d v="2025-02-20T00:00:00"/>
    <n v="2025"/>
    <s v="Q1"/>
    <n v="2"/>
    <s v="Feb"/>
    <n v="8"/>
    <n v="204.55"/>
    <x v="632"/>
    <s v="Furniture"/>
    <s v="Gift Card"/>
    <n v="5"/>
    <x v="656"/>
  </r>
  <r>
    <x v="633"/>
    <x v="1"/>
    <d v="2023-11-01T00:00:00"/>
    <n v="2023"/>
    <s v="Q4"/>
    <n v="11"/>
    <s v="Nov"/>
    <n v="2"/>
    <n v="638.58000000000004"/>
    <x v="633"/>
    <s v="Electronics"/>
    <s v="Debit Card"/>
    <n v="1"/>
    <x v="657"/>
  </r>
  <r>
    <x v="634"/>
    <x v="6"/>
    <d v="2023-06-04T00:00:00"/>
    <n v="2023"/>
    <s v="Q2"/>
    <n v="6"/>
    <s v="Jun"/>
    <n v="5"/>
    <n v="434.71"/>
    <x v="634"/>
    <s v="Office Supplies"/>
    <s v="Online"/>
    <n v="5"/>
    <x v="658"/>
  </r>
  <r>
    <x v="635"/>
    <x v="2"/>
    <d v="2023-08-18T00:00:00"/>
    <n v="2023"/>
    <s v="Q3"/>
    <n v="8"/>
    <s v="Aug"/>
    <n v="1"/>
    <n v="247.15"/>
    <x v="635"/>
    <s v="Electronics"/>
    <s v="Cash"/>
    <n v="1"/>
    <x v="659"/>
  </r>
  <r>
    <x v="636"/>
    <x v="6"/>
    <d v="2023-01-01T00:00:00"/>
    <n v="2023"/>
    <s v="Q1"/>
    <n v="1"/>
    <s v="Jan"/>
    <n v="8"/>
    <n v="616.36"/>
    <x v="636"/>
    <s v="Electronics"/>
    <s v="Gift Card"/>
    <n v="5"/>
    <x v="660"/>
  </r>
  <r>
    <x v="637"/>
    <x v="2"/>
    <d v="2025-01-18T00:00:00"/>
    <n v="2025"/>
    <s v="Q1"/>
    <n v="1"/>
    <s v="Jan"/>
    <n v="7"/>
    <n v="287.77999999999997"/>
    <x v="637"/>
    <s v="Electronics"/>
    <s v="Credit Card"/>
    <n v="4"/>
    <x v="661"/>
  </r>
  <r>
    <x v="638"/>
    <x v="6"/>
    <d v="2023-08-15T00:00:00"/>
    <n v="2023"/>
    <s v="Q3"/>
    <n v="8"/>
    <s v="Aug"/>
    <n v="4"/>
    <n v="746.8"/>
    <x v="638"/>
    <s v="Office Supplies"/>
    <s v="Online"/>
    <n v="5"/>
    <x v="662"/>
  </r>
  <r>
    <x v="639"/>
    <x v="1"/>
    <d v="2024-05-10T00:00:00"/>
    <n v="2024"/>
    <s v="Q2"/>
    <n v="5"/>
    <s v="May"/>
    <n v="6"/>
    <n v="76.42"/>
    <x v="639"/>
    <s v="Office Supplies"/>
    <s v="Cash"/>
    <n v="3"/>
    <x v="663"/>
  </r>
  <r>
    <x v="640"/>
    <x v="0"/>
    <d v="2024-10-23T00:00:00"/>
    <n v="2024"/>
    <s v="Q4"/>
    <n v="10"/>
    <s v="Oct"/>
    <n v="5"/>
    <n v="382.32"/>
    <x v="640"/>
    <s v="Furniture"/>
    <s v="Debit Card"/>
    <n v="3"/>
    <x v="664"/>
  </r>
  <r>
    <x v="641"/>
    <x v="4"/>
    <d v="2024-02-13T00:00:00"/>
    <n v="2024"/>
    <s v="Q1"/>
    <n v="2"/>
    <s v="Feb"/>
    <n v="6"/>
    <n v="295.33999999999997"/>
    <x v="641"/>
    <s v="Furniture"/>
    <s v="Debit Card"/>
    <n v="3"/>
    <x v="665"/>
  </r>
  <r>
    <x v="642"/>
    <x v="5"/>
    <d v="2023-02-14T00:00:00"/>
    <n v="2023"/>
    <s v="Q1"/>
    <n v="2"/>
    <s v="Feb"/>
    <n v="4"/>
    <n v="350.18"/>
    <x v="642"/>
    <s v="Furniture"/>
    <s v="Debit Card"/>
    <n v="5"/>
    <x v="666"/>
  </r>
  <r>
    <x v="643"/>
    <x v="2"/>
    <d v="2023-06-24T00:00:00"/>
    <n v="2023"/>
    <s v="Q2"/>
    <n v="6"/>
    <s v="Jun"/>
    <n v="1"/>
    <n v="580.23"/>
    <x v="643"/>
    <s v="Office Supplies"/>
    <s v="Gift Card"/>
    <n v="4"/>
    <x v="667"/>
  </r>
  <r>
    <x v="644"/>
    <x v="6"/>
    <d v="2024-02-12T00:00:00"/>
    <n v="2024"/>
    <s v="Q1"/>
    <n v="2"/>
    <s v="Feb"/>
    <n v="8"/>
    <n v="605.27"/>
    <x v="644"/>
    <s v="Office Supplies"/>
    <s v="Credit Card"/>
    <n v="5"/>
    <x v="668"/>
  </r>
  <r>
    <x v="645"/>
    <x v="2"/>
    <d v="2024-08-30T00:00:00"/>
    <n v="2024"/>
    <s v="Q3"/>
    <n v="8"/>
    <s v="Aug"/>
    <n v="4"/>
    <n v="604.77"/>
    <x v="645"/>
    <s v="Furniture"/>
    <s v="Debit Card"/>
    <n v="5"/>
    <x v="669"/>
  </r>
  <r>
    <x v="646"/>
    <x v="6"/>
    <d v="2024-04-24T00:00:00"/>
    <n v="2024"/>
    <s v="Q2"/>
    <n v="4"/>
    <s v="Apr"/>
    <n v="8"/>
    <n v="456.32"/>
    <x v="646"/>
    <s v="Electronics"/>
    <s v="Gift Card"/>
    <n v="2"/>
    <x v="670"/>
  </r>
  <r>
    <x v="647"/>
    <x v="5"/>
    <d v="2024-03-05T00:00:00"/>
    <n v="2024"/>
    <s v="Q1"/>
    <n v="3"/>
    <s v="Mar"/>
    <n v="2"/>
    <n v="757.62"/>
    <x v="647"/>
    <s v="Electronics"/>
    <s v="Online"/>
    <n v="1"/>
    <x v="671"/>
  </r>
  <r>
    <x v="648"/>
    <x v="0"/>
    <d v="2024-10-14T00:00:00"/>
    <n v="2024"/>
    <s v="Q4"/>
    <n v="10"/>
    <s v="Oct"/>
    <n v="2"/>
    <n v="322.20999999999998"/>
    <x v="648"/>
    <s v="Electronics"/>
    <s v="Debit Card"/>
    <n v="2"/>
    <x v="672"/>
  </r>
  <r>
    <x v="649"/>
    <x v="3"/>
    <d v="2025-06-18T00:00:00"/>
    <n v="2025"/>
    <s v="Q2"/>
    <n v="6"/>
    <s v="Jun"/>
    <n v="3"/>
    <n v="195.52"/>
    <x v="649"/>
    <s v="Furniture"/>
    <s v="Online"/>
    <n v="1"/>
    <x v="673"/>
  </r>
  <r>
    <x v="650"/>
    <x v="3"/>
    <d v="2023-05-25T00:00:00"/>
    <n v="2023"/>
    <s v="Q2"/>
    <n v="5"/>
    <s v="May"/>
    <n v="1"/>
    <n v="614.88"/>
    <x v="650"/>
    <s v="Office Supplies"/>
    <s v="Debit Card"/>
    <n v="2"/>
    <x v="674"/>
  </r>
  <r>
    <x v="651"/>
    <x v="6"/>
    <d v="2023-08-10T00:00:00"/>
    <n v="2023"/>
    <s v="Q3"/>
    <n v="8"/>
    <s v="Aug"/>
    <n v="2"/>
    <n v="408.62"/>
    <x v="651"/>
    <s v="Electronics"/>
    <s v="Gift Card"/>
    <n v="5"/>
    <x v="675"/>
  </r>
  <r>
    <x v="652"/>
    <x v="1"/>
    <d v="2023-04-17T00:00:00"/>
    <n v="2023"/>
    <s v="Q2"/>
    <n v="4"/>
    <s v="Apr"/>
    <n v="3"/>
    <n v="754.36"/>
    <x v="652"/>
    <s v="Electronics"/>
    <s v="Online"/>
    <n v="2"/>
    <x v="676"/>
  </r>
  <r>
    <x v="653"/>
    <x v="1"/>
    <d v="2023-01-09T00:00:00"/>
    <n v="2023"/>
    <s v="Q1"/>
    <n v="1"/>
    <s v="Jan"/>
    <n v="8"/>
    <n v="356.19"/>
    <x v="653"/>
    <s v="Office Supplies"/>
    <s v="Cash"/>
    <n v="4"/>
    <x v="677"/>
  </r>
  <r>
    <x v="654"/>
    <x v="2"/>
    <d v="2025-06-30T00:00:00"/>
    <n v="2025"/>
    <s v="Q2"/>
    <n v="6"/>
    <s v="Jun"/>
    <n v="3"/>
    <n v="141.28"/>
    <x v="654"/>
    <s v="Furniture"/>
    <s v="Online"/>
    <n v="5"/>
    <x v="678"/>
  </r>
  <r>
    <x v="655"/>
    <x v="2"/>
    <d v="2023-12-12T00:00:00"/>
    <n v="2023"/>
    <s v="Q4"/>
    <n v="12"/>
    <s v="Dec"/>
    <n v="5"/>
    <n v="739.13"/>
    <x v="655"/>
    <s v="Office Supplies"/>
    <s v="Credit Card"/>
    <n v="4"/>
    <x v="679"/>
  </r>
  <r>
    <x v="656"/>
    <x v="6"/>
    <d v="2023-06-09T00:00:00"/>
    <n v="2023"/>
    <s v="Q2"/>
    <n v="6"/>
    <s v="Jun"/>
    <n v="6"/>
    <n v="187.11"/>
    <x v="656"/>
    <s v="Electronics"/>
    <s v="Debit Card"/>
    <n v="1"/>
    <x v="680"/>
  </r>
  <r>
    <x v="657"/>
    <x v="0"/>
    <d v="2023-10-28T00:00:00"/>
    <n v="2023"/>
    <s v="Q4"/>
    <n v="10"/>
    <s v="Oct"/>
    <n v="8"/>
    <n v="250.47"/>
    <x v="657"/>
    <s v="Furniture"/>
    <s v="Debit Card"/>
    <n v="5"/>
    <x v="681"/>
  </r>
  <r>
    <x v="658"/>
    <x v="3"/>
    <d v="2024-10-01T00:00:00"/>
    <n v="2024"/>
    <s v="Q4"/>
    <n v="10"/>
    <s v="Oct"/>
    <n v="5"/>
    <n v="22.01"/>
    <x v="658"/>
    <s v="Furniture"/>
    <s v="Debit Card"/>
    <n v="4"/>
    <x v="682"/>
  </r>
  <r>
    <x v="659"/>
    <x v="3"/>
    <d v="2024-02-06T00:00:00"/>
    <n v="2024"/>
    <s v="Q1"/>
    <n v="2"/>
    <s v="Feb"/>
    <n v="2"/>
    <n v="591.47"/>
    <x v="659"/>
    <s v="Furniture"/>
    <s v="Cash"/>
    <n v="1"/>
    <x v="683"/>
  </r>
  <r>
    <x v="660"/>
    <x v="1"/>
    <d v="2025-06-29T00:00:00"/>
    <n v="2025"/>
    <s v="Q2"/>
    <n v="6"/>
    <s v="Jun"/>
    <n v="1"/>
    <n v="626.28"/>
    <x v="660"/>
    <s v="Furniture"/>
    <s v="Debit Card"/>
    <n v="3"/>
    <x v="684"/>
  </r>
  <r>
    <x v="495"/>
    <x v="6"/>
    <d v="2025-05-09T00:00:00"/>
    <n v="2025"/>
    <s v="Q2"/>
    <n v="5"/>
    <s v="May"/>
    <n v="8"/>
    <n v="507.73"/>
    <x v="495"/>
    <s v="Furniture"/>
    <s v="Gift Card"/>
    <n v="5"/>
    <x v="685"/>
  </r>
  <r>
    <x v="661"/>
    <x v="1"/>
    <d v="2024-12-24T00:00:00"/>
    <n v="2024"/>
    <s v="Q4"/>
    <n v="12"/>
    <s v="Dec"/>
    <n v="6"/>
    <n v="643.14"/>
    <x v="661"/>
    <s v="Furniture"/>
    <s v="Gift Card"/>
    <n v="1"/>
    <x v="686"/>
  </r>
  <r>
    <x v="662"/>
    <x v="0"/>
    <d v="2024-12-12T00:00:00"/>
    <n v="2024"/>
    <s v="Q4"/>
    <n v="12"/>
    <s v="Dec"/>
    <n v="7"/>
    <n v="391.81"/>
    <x v="662"/>
    <s v="Electronics"/>
    <s v="Cash"/>
    <n v="1"/>
    <x v="687"/>
  </r>
  <r>
    <x v="663"/>
    <x v="1"/>
    <d v="2025-05-08T00:00:00"/>
    <n v="2025"/>
    <s v="Q2"/>
    <n v="5"/>
    <s v="May"/>
    <n v="6"/>
    <n v="202.43"/>
    <x v="663"/>
    <s v="Electronics"/>
    <s v="Credit Card"/>
    <n v="2"/>
    <x v="688"/>
  </r>
  <r>
    <x v="664"/>
    <x v="0"/>
    <d v="2023-08-16T00:00:00"/>
    <n v="2023"/>
    <s v="Q3"/>
    <n v="8"/>
    <s v="Aug"/>
    <n v="7"/>
    <n v="659.11"/>
    <x v="664"/>
    <s v="Office Supplies"/>
    <s v="Online"/>
    <n v="2"/>
    <x v="689"/>
  </r>
  <r>
    <x v="665"/>
    <x v="5"/>
    <d v="2023-11-08T00:00:00"/>
    <n v="2023"/>
    <s v="Q4"/>
    <n v="11"/>
    <s v="Nov"/>
    <n v="2"/>
    <n v="269.64999999999998"/>
    <x v="665"/>
    <s v="Electronics"/>
    <s v="Credit Card"/>
    <n v="3"/>
    <x v="690"/>
  </r>
  <r>
    <x v="666"/>
    <x v="2"/>
    <d v="2024-04-15T00:00:00"/>
    <n v="2024"/>
    <s v="Q2"/>
    <n v="4"/>
    <s v="Apr"/>
    <n v="7"/>
    <n v="161.44999999999999"/>
    <x v="666"/>
    <s v="Furniture"/>
    <s v="Gift Card"/>
    <n v="4"/>
    <x v="691"/>
  </r>
  <r>
    <x v="667"/>
    <x v="4"/>
    <d v="2024-07-27T00:00:00"/>
    <n v="2024"/>
    <s v="Q3"/>
    <n v="7"/>
    <s v="Jul"/>
    <n v="8"/>
    <n v="254.9"/>
    <x v="667"/>
    <s v="Furniture"/>
    <s v="Cash"/>
    <n v="5"/>
    <x v="692"/>
  </r>
  <r>
    <x v="668"/>
    <x v="3"/>
    <d v="2024-09-03T00:00:00"/>
    <n v="2024"/>
    <s v="Q3"/>
    <n v="9"/>
    <s v="Sep"/>
    <n v="7"/>
    <n v="333.9"/>
    <x v="668"/>
    <s v="Furniture"/>
    <s v="Credit Card"/>
    <n v="2"/>
    <x v="693"/>
  </r>
  <r>
    <x v="669"/>
    <x v="5"/>
    <d v="2024-05-26T00:00:00"/>
    <n v="2024"/>
    <s v="Q2"/>
    <n v="5"/>
    <s v="May"/>
    <n v="5"/>
    <n v="635.66"/>
    <x v="669"/>
    <s v="Office Supplies"/>
    <s v="Online"/>
    <n v="1"/>
    <x v="694"/>
  </r>
  <r>
    <x v="670"/>
    <x v="2"/>
    <d v="2023-10-26T00:00:00"/>
    <n v="2023"/>
    <s v="Q4"/>
    <n v="10"/>
    <s v="Oct"/>
    <n v="4"/>
    <n v="454.98"/>
    <x v="670"/>
    <s v="Furniture"/>
    <s v="Cash"/>
    <n v="3"/>
    <x v="695"/>
  </r>
  <r>
    <x v="671"/>
    <x v="6"/>
    <d v="2024-03-14T00:00:00"/>
    <n v="2024"/>
    <s v="Q1"/>
    <n v="3"/>
    <s v="Mar"/>
    <n v="7"/>
    <n v="518.5"/>
    <x v="671"/>
    <s v="Electronics"/>
    <s v="Cash"/>
    <n v="3"/>
    <x v="696"/>
  </r>
  <r>
    <x v="672"/>
    <x v="2"/>
    <d v="2023-05-25T00:00:00"/>
    <n v="2023"/>
    <s v="Q2"/>
    <n v="5"/>
    <s v="May"/>
    <n v="4"/>
    <n v="620.34"/>
    <x v="672"/>
    <s v="Furniture"/>
    <s v="Cash"/>
    <n v="2"/>
    <x v="697"/>
  </r>
  <r>
    <x v="673"/>
    <x v="5"/>
    <d v="2023-05-14T00:00:00"/>
    <n v="2023"/>
    <s v="Q2"/>
    <n v="5"/>
    <s v="May"/>
    <n v="1"/>
    <n v="746.81"/>
    <x v="673"/>
    <s v="Furniture"/>
    <s v="Online"/>
    <n v="2"/>
    <x v="698"/>
  </r>
  <r>
    <x v="310"/>
    <x v="3"/>
    <d v="2023-05-07T00:00:00"/>
    <n v="2023"/>
    <s v="Q2"/>
    <n v="5"/>
    <s v="May"/>
    <n v="8"/>
    <n v="58.61"/>
    <x v="310"/>
    <s v="Electronics"/>
    <s v="Online"/>
    <n v="2"/>
    <x v="699"/>
  </r>
  <r>
    <x v="674"/>
    <x v="4"/>
    <d v="2025-02-10T00:00:00"/>
    <n v="2025"/>
    <s v="Q1"/>
    <n v="2"/>
    <s v="Feb"/>
    <n v="5"/>
    <n v="315.82"/>
    <x v="674"/>
    <s v="Office Supplies"/>
    <s v="Gift Card"/>
    <n v="2"/>
    <x v="700"/>
  </r>
  <r>
    <x v="675"/>
    <x v="4"/>
    <d v="2025-01-20T00:00:00"/>
    <n v="2025"/>
    <s v="Q1"/>
    <n v="1"/>
    <s v="Jan"/>
    <n v="7"/>
    <n v="748.3"/>
    <x v="675"/>
    <s v="Office Supplies"/>
    <s v="Gift Card"/>
    <n v="3"/>
    <x v="701"/>
  </r>
  <r>
    <x v="676"/>
    <x v="6"/>
    <d v="2024-03-09T00:00:00"/>
    <n v="2024"/>
    <s v="Q1"/>
    <n v="3"/>
    <s v="Mar"/>
    <n v="4"/>
    <n v="480.82"/>
    <x v="676"/>
    <s v="Electronics"/>
    <s v="Credit Card"/>
    <n v="5"/>
    <x v="702"/>
  </r>
  <r>
    <x v="677"/>
    <x v="3"/>
    <d v="2023-05-20T00:00:00"/>
    <n v="2023"/>
    <s v="Q2"/>
    <n v="5"/>
    <s v="May"/>
    <n v="8"/>
    <n v="11.23"/>
    <x v="677"/>
    <s v="Furniture"/>
    <s v="Credit Card"/>
    <n v="2"/>
    <x v="703"/>
  </r>
  <r>
    <x v="678"/>
    <x v="5"/>
    <d v="2023-11-23T00:00:00"/>
    <n v="2023"/>
    <s v="Q4"/>
    <n v="11"/>
    <s v="Nov"/>
    <n v="2"/>
    <n v="126.04"/>
    <x v="678"/>
    <s v="Electronics"/>
    <s v="Cash"/>
    <n v="5"/>
    <x v="704"/>
  </r>
  <r>
    <x v="679"/>
    <x v="1"/>
    <d v="2024-11-28T00:00:00"/>
    <n v="2024"/>
    <s v="Q4"/>
    <n v="11"/>
    <s v="Nov"/>
    <n v="8"/>
    <n v="22.26"/>
    <x v="679"/>
    <s v="Electronics"/>
    <s v="Debit Card"/>
    <n v="3"/>
    <x v="705"/>
  </r>
  <r>
    <x v="680"/>
    <x v="0"/>
    <d v="2024-11-09T00:00:00"/>
    <n v="2024"/>
    <s v="Q4"/>
    <n v="11"/>
    <s v="Nov"/>
    <n v="8"/>
    <n v="168.94"/>
    <x v="680"/>
    <s v="Electronics"/>
    <s v="Gift Card"/>
    <n v="1"/>
    <x v="706"/>
  </r>
  <r>
    <x v="681"/>
    <x v="2"/>
    <d v="2025-03-08T00:00:00"/>
    <n v="2025"/>
    <s v="Q1"/>
    <n v="3"/>
    <s v="Mar"/>
    <n v="8"/>
    <n v="16.07"/>
    <x v="681"/>
    <s v="Electronics"/>
    <s v="Gift Card"/>
    <n v="3"/>
    <x v="707"/>
  </r>
  <r>
    <x v="682"/>
    <x v="6"/>
    <d v="2024-05-17T00:00:00"/>
    <n v="2024"/>
    <s v="Q2"/>
    <n v="5"/>
    <s v="May"/>
    <n v="6"/>
    <n v="450.3"/>
    <x v="682"/>
    <s v="Furniture"/>
    <s v="Gift Card"/>
    <n v="1"/>
    <x v="708"/>
  </r>
  <r>
    <x v="683"/>
    <x v="4"/>
    <d v="2024-03-03T00:00:00"/>
    <n v="2024"/>
    <s v="Q1"/>
    <n v="3"/>
    <s v="Mar"/>
    <n v="3"/>
    <n v="457.26"/>
    <x v="683"/>
    <s v="Electronics"/>
    <s v="Cash"/>
    <n v="2"/>
    <x v="709"/>
  </r>
  <r>
    <x v="684"/>
    <x v="6"/>
    <d v="2023-12-02T00:00:00"/>
    <n v="2023"/>
    <s v="Q4"/>
    <n v="12"/>
    <s v="Dec"/>
    <n v="8"/>
    <n v="566.57000000000005"/>
    <x v="684"/>
    <s v="Office Supplies"/>
    <s v="Online"/>
    <n v="2"/>
    <x v="710"/>
  </r>
  <r>
    <x v="685"/>
    <x v="3"/>
    <d v="2024-04-13T00:00:00"/>
    <n v="2024"/>
    <s v="Q2"/>
    <n v="4"/>
    <s v="Apr"/>
    <n v="4"/>
    <n v="718.59"/>
    <x v="685"/>
    <s v="Furniture"/>
    <s v="Online"/>
    <n v="4"/>
    <x v="711"/>
  </r>
  <r>
    <x v="251"/>
    <x v="4"/>
    <d v="2025-02-24T00:00:00"/>
    <n v="2025"/>
    <s v="Q1"/>
    <n v="2"/>
    <s v="Feb"/>
    <n v="3"/>
    <n v="404.76"/>
    <x v="251"/>
    <s v="Electronics"/>
    <s v="Gift Card"/>
    <n v="1"/>
    <x v="712"/>
  </r>
  <r>
    <x v="686"/>
    <x v="3"/>
    <d v="2024-05-24T00:00:00"/>
    <n v="2024"/>
    <s v="Q2"/>
    <n v="5"/>
    <s v="May"/>
    <n v="1"/>
    <n v="385.9"/>
    <x v="686"/>
    <s v="Electronics"/>
    <s v="Cash"/>
    <n v="2"/>
    <x v="713"/>
  </r>
  <r>
    <x v="687"/>
    <x v="4"/>
    <d v="2024-08-10T00:00:00"/>
    <n v="2024"/>
    <s v="Q3"/>
    <n v="8"/>
    <s v="Aug"/>
    <n v="8"/>
    <n v="486.92"/>
    <x v="687"/>
    <s v="Electronics"/>
    <s v="Credit Card"/>
    <n v="4"/>
    <x v="714"/>
  </r>
  <r>
    <x v="688"/>
    <x v="6"/>
    <d v="2023-01-27T00:00:00"/>
    <n v="2023"/>
    <s v="Q1"/>
    <n v="1"/>
    <s v="Jan"/>
    <n v="2"/>
    <n v="377.71"/>
    <x v="688"/>
    <s v="Furniture"/>
    <s v="Cash"/>
    <n v="2"/>
    <x v="715"/>
  </r>
  <r>
    <x v="689"/>
    <x v="3"/>
    <d v="2024-02-25T00:00:00"/>
    <n v="2024"/>
    <s v="Q1"/>
    <n v="2"/>
    <s v="Feb"/>
    <n v="2"/>
    <n v="294.14"/>
    <x v="689"/>
    <s v="Office Supplies"/>
    <s v="Debit Card"/>
    <n v="3"/>
    <x v="716"/>
  </r>
  <r>
    <x v="690"/>
    <x v="0"/>
    <d v="2024-07-13T00:00:00"/>
    <n v="2024"/>
    <s v="Q3"/>
    <n v="7"/>
    <s v="Jul"/>
    <n v="4"/>
    <n v="793.47"/>
    <x v="690"/>
    <s v="Office Supplies"/>
    <s v="Cash"/>
    <n v="1"/>
    <x v="717"/>
  </r>
  <r>
    <x v="691"/>
    <x v="3"/>
    <d v="2023-10-25T00:00:00"/>
    <n v="2023"/>
    <s v="Q4"/>
    <n v="10"/>
    <s v="Oct"/>
    <n v="4"/>
    <n v="449.17"/>
    <x v="691"/>
    <s v="Electronics"/>
    <s v="Cash"/>
    <n v="2"/>
    <x v="718"/>
  </r>
  <r>
    <x v="692"/>
    <x v="5"/>
    <d v="2024-03-21T00:00:00"/>
    <n v="2024"/>
    <s v="Q1"/>
    <n v="3"/>
    <s v="Mar"/>
    <n v="8"/>
    <n v="70.27"/>
    <x v="692"/>
    <s v="Electronics"/>
    <s v="Gift Card"/>
    <n v="2"/>
    <x v="719"/>
  </r>
  <r>
    <x v="693"/>
    <x v="0"/>
    <d v="2024-06-17T00:00:00"/>
    <n v="2024"/>
    <s v="Q2"/>
    <n v="6"/>
    <s v="Jun"/>
    <n v="7"/>
    <n v="612.41"/>
    <x v="693"/>
    <s v="Furniture"/>
    <s v="Online"/>
    <n v="5"/>
    <x v="720"/>
  </r>
  <r>
    <x v="694"/>
    <x v="3"/>
    <d v="2024-10-04T00:00:00"/>
    <n v="2024"/>
    <s v="Q4"/>
    <n v="10"/>
    <s v="Oct"/>
    <n v="8"/>
    <n v="349.4"/>
    <x v="694"/>
    <s v="Electronics"/>
    <s v="Debit Card"/>
    <n v="5"/>
    <x v="721"/>
  </r>
  <r>
    <x v="695"/>
    <x v="3"/>
    <d v="2024-03-04T00:00:00"/>
    <n v="2024"/>
    <s v="Q1"/>
    <n v="3"/>
    <s v="Mar"/>
    <n v="1"/>
    <n v="113.78"/>
    <x v="695"/>
    <s v="Electronics"/>
    <s v="Gift Card"/>
    <n v="4"/>
    <x v="722"/>
  </r>
  <r>
    <x v="696"/>
    <x v="6"/>
    <d v="2023-03-11T00:00:00"/>
    <n v="2023"/>
    <s v="Q1"/>
    <n v="3"/>
    <s v="Mar"/>
    <n v="4"/>
    <n v="64.23"/>
    <x v="696"/>
    <s v="Electronics"/>
    <s v="Credit Card"/>
    <n v="4"/>
    <x v="723"/>
  </r>
  <r>
    <x v="697"/>
    <x v="1"/>
    <d v="2023-05-12T00:00:00"/>
    <n v="2023"/>
    <s v="Q2"/>
    <n v="5"/>
    <s v="May"/>
    <n v="4"/>
    <n v="176.79"/>
    <x v="697"/>
    <s v="Office Supplies"/>
    <s v="Gift Card"/>
    <n v="5"/>
    <x v="724"/>
  </r>
  <r>
    <x v="698"/>
    <x v="3"/>
    <d v="2023-10-08T00:00:00"/>
    <n v="2023"/>
    <s v="Q4"/>
    <n v="10"/>
    <s v="Oct"/>
    <n v="1"/>
    <n v="314.94"/>
    <x v="698"/>
    <s v="Office Supplies"/>
    <s v="Debit Card"/>
    <n v="2"/>
    <x v="725"/>
  </r>
  <r>
    <x v="699"/>
    <x v="3"/>
    <d v="2025-04-09T00:00:00"/>
    <n v="2025"/>
    <s v="Q2"/>
    <n v="4"/>
    <s v="Apr"/>
    <n v="4"/>
    <n v="159.33000000000001"/>
    <x v="699"/>
    <s v="Electronics"/>
    <s v="Gift Card"/>
    <n v="3"/>
    <x v="726"/>
  </r>
  <r>
    <x v="700"/>
    <x v="0"/>
    <d v="2023-03-20T00:00:00"/>
    <n v="2023"/>
    <s v="Q1"/>
    <n v="3"/>
    <s v="Mar"/>
    <n v="7"/>
    <n v="497.96"/>
    <x v="700"/>
    <s v="Electronics"/>
    <s v="Online"/>
    <n v="5"/>
    <x v="727"/>
  </r>
  <r>
    <x v="701"/>
    <x v="3"/>
    <d v="2024-04-15T00:00:00"/>
    <n v="2024"/>
    <s v="Q2"/>
    <n v="4"/>
    <s v="Apr"/>
    <n v="4"/>
    <n v="775.29"/>
    <x v="701"/>
    <s v="Furniture"/>
    <s v="Cash"/>
    <n v="5"/>
    <x v="728"/>
  </r>
  <r>
    <x v="702"/>
    <x v="5"/>
    <d v="2024-02-17T00:00:00"/>
    <n v="2024"/>
    <s v="Q1"/>
    <n v="2"/>
    <s v="Feb"/>
    <n v="8"/>
    <n v="675.18"/>
    <x v="702"/>
    <s v="Electronics"/>
    <s v="Gift Card"/>
    <n v="2"/>
    <x v="729"/>
  </r>
  <r>
    <x v="703"/>
    <x v="2"/>
    <d v="2024-07-05T00:00:00"/>
    <n v="2024"/>
    <s v="Q3"/>
    <n v="7"/>
    <s v="Jul"/>
    <n v="4"/>
    <n v="522.89"/>
    <x v="703"/>
    <s v="Office Supplies"/>
    <s v="Debit Card"/>
    <n v="4"/>
    <x v="730"/>
  </r>
  <r>
    <x v="704"/>
    <x v="3"/>
    <d v="2025-05-02T00:00:00"/>
    <n v="2025"/>
    <s v="Q2"/>
    <n v="5"/>
    <s v="May"/>
    <n v="6"/>
    <n v="70.87"/>
    <x v="704"/>
    <s v="Electronics"/>
    <s v="Debit Card"/>
    <n v="4"/>
    <x v="731"/>
  </r>
  <r>
    <x v="705"/>
    <x v="5"/>
    <d v="2023-08-24T00:00:00"/>
    <n v="2023"/>
    <s v="Q3"/>
    <n v="8"/>
    <s v="Aug"/>
    <n v="5"/>
    <n v="383.03"/>
    <x v="705"/>
    <s v="Furniture"/>
    <s v="Online"/>
    <n v="2"/>
    <x v="732"/>
  </r>
  <r>
    <x v="706"/>
    <x v="4"/>
    <d v="2024-05-05T00:00:00"/>
    <n v="2024"/>
    <s v="Q2"/>
    <n v="5"/>
    <s v="May"/>
    <n v="5"/>
    <n v="186.86"/>
    <x v="706"/>
    <s v="Furniture"/>
    <s v="Gift Card"/>
    <n v="2"/>
    <x v="733"/>
  </r>
  <r>
    <x v="252"/>
    <x v="1"/>
    <d v="2024-03-12T00:00:00"/>
    <n v="2024"/>
    <s v="Q1"/>
    <n v="3"/>
    <s v="Mar"/>
    <n v="5"/>
    <n v="209.86"/>
    <x v="252"/>
    <s v="Furniture"/>
    <s v="Online"/>
    <n v="5"/>
    <x v="734"/>
  </r>
  <r>
    <x v="707"/>
    <x v="3"/>
    <d v="2023-06-01T00:00:00"/>
    <n v="2023"/>
    <s v="Q2"/>
    <n v="6"/>
    <s v="Jun"/>
    <n v="1"/>
    <n v="114.84"/>
    <x v="707"/>
    <s v="Electronics"/>
    <s v="Credit Card"/>
    <n v="5"/>
    <x v="735"/>
  </r>
  <r>
    <x v="708"/>
    <x v="1"/>
    <d v="2024-11-05T00:00:00"/>
    <n v="2024"/>
    <s v="Q4"/>
    <n v="11"/>
    <s v="Nov"/>
    <n v="8"/>
    <n v="374.39"/>
    <x v="708"/>
    <s v="Furniture"/>
    <s v="Debit Card"/>
    <n v="3"/>
    <x v="736"/>
  </r>
  <r>
    <x v="709"/>
    <x v="5"/>
    <d v="2023-04-18T00:00:00"/>
    <n v="2023"/>
    <s v="Q2"/>
    <n v="4"/>
    <s v="Apr"/>
    <n v="7"/>
    <n v="494.18"/>
    <x v="709"/>
    <s v="Office Supplies"/>
    <s v="Online"/>
    <n v="2"/>
    <x v="737"/>
  </r>
  <r>
    <x v="710"/>
    <x v="1"/>
    <d v="2023-11-09T00:00:00"/>
    <n v="2023"/>
    <s v="Q4"/>
    <n v="11"/>
    <s v="Nov"/>
    <n v="4"/>
    <n v="780.37"/>
    <x v="710"/>
    <s v="Electronics"/>
    <s v="Online"/>
    <n v="2"/>
    <x v="738"/>
  </r>
  <r>
    <x v="711"/>
    <x v="1"/>
    <d v="2024-03-05T00:00:00"/>
    <n v="2024"/>
    <s v="Q1"/>
    <n v="3"/>
    <s v="Mar"/>
    <n v="6"/>
    <n v="766.8"/>
    <x v="711"/>
    <s v="Electronics"/>
    <s v="Debit Card"/>
    <n v="2"/>
    <x v="739"/>
  </r>
  <r>
    <x v="378"/>
    <x v="5"/>
    <d v="2023-10-28T00:00:00"/>
    <n v="2023"/>
    <s v="Q4"/>
    <n v="10"/>
    <s v="Oct"/>
    <n v="7"/>
    <n v="59.51"/>
    <x v="378"/>
    <s v="Electronics"/>
    <s v="Cash"/>
    <n v="3"/>
    <x v="740"/>
  </r>
  <r>
    <x v="712"/>
    <x v="3"/>
    <d v="2024-12-17T00:00:00"/>
    <n v="2024"/>
    <s v="Q4"/>
    <n v="12"/>
    <s v="Dec"/>
    <n v="5"/>
    <n v="457.47"/>
    <x v="712"/>
    <s v="Electronics"/>
    <s v="Gift Card"/>
    <n v="1"/>
    <x v="741"/>
  </r>
  <r>
    <x v="713"/>
    <x v="5"/>
    <d v="2025-06-26T00:00:00"/>
    <n v="2025"/>
    <s v="Q2"/>
    <n v="6"/>
    <s v="Jun"/>
    <n v="2"/>
    <n v="746.79"/>
    <x v="713"/>
    <s v="Furniture"/>
    <s v="Credit Card"/>
    <n v="1"/>
    <x v="742"/>
  </r>
  <r>
    <x v="714"/>
    <x v="4"/>
    <d v="2025-01-06T00:00:00"/>
    <n v="2025"/>
    <s v="Q1"/>
    <n v="1"/>
    <s v="Jan"/>
    <n v="3"/>
    <n v="406.07"/>
    <x v="714"/>
    <s v="Office Supplies"/>
    <s v="Cash"/>
    <n v="3"/>
    <x v="743"/>
  </r>
  <r>
    <x v="715"/>
    <x v="2"/>
    <d v="2023-12-22T00:00:00"/>
    <n v="2023"/>
    <s v="Q4"/>
    <n v="12"/>
    <s v="Dec"/>
    <n v="7"/>
    <n v="450.13"/>
    <x v="715"/>
    <s v="Furniture"/>
    <s v="Gift Card"/>
    <n v="5"/>
    <x v="744"/>
  </r>
  <r>
    <x v="716"/>
    <x v="1"/>
    <d v="2025-03-16T00:00:00"/>
    <n v="2025"/>
    <s v="Q1"/>
    <n v="3"/>
    <s v="Mar"/>
    <n v="3"/>
    <n v="253.17"/>
    <x v="716"/>
    <s v="Electronics"/>
    <s v="Online"/>
    <n v="2"/>
    <x v="745"/>
  </r>
  <r>
    <x v="717"/>
    <x v="3"/>
    <d v="2025-06-18T00:00:00"/>
    <n v="2025"/>
    <s v="Q2"/>
    <n v="6"/>
    <s v="Jun"/>
    <n v="1"/>
    <n v="52.44"/>
    <x v="717"/>
    <s v="Office Supplies"/>
    <s v="Credit Card"/>
    <n v="5"/>
    <x v="746"/>
  </r>
  <r>
    <x v="520"/>
    <x v="0"/>
    <d v="2023-08-10T00:00:00"/>
    <n v="2023"/>
    <s v="Q3"/>
    <n v="8"/>
    <s v="Aug"/>
    <n v="5"/>
    <n v="389.16"/>
    <x v="520"/>
    <s v="Furniture"/>
    <s v="Online"/>
    <n v="3"/>
    <x v="747"/>
  </r>
  <r>
    <x v="718"/>
    <x v="2"/>
    <d v="2024-04-11T00:00:00"/>
    <n v="2024"/>
    <s v="Q2"/>
    <n v="4"/>
    <s v="Apr"/>
    <n v="6"/>
    <n v="453.57"/>
    <x v="718"/>
    <s v="Office Supplies"/>
    <s v="Credit Card"/>
    <n v="1"/>
    <x v="748"/>
  </r>
  <r>
    <x v="719"/>
    <x v="4"/>
    <d v="2023-04-05T00:00:00"/>
    <n v="2023"/>
    <s v="Q2"/>
    <n v="4"/>
    <s v="Apr"/>
    <n v="6"/>
    <n v="137.88"/>
    <x v="719"/>
    <s v="Office Supplies"/>
    <s v="Credit Card"/>
    <n v="1"/>
    <x v="749"/>
  </r>
  <r>
    <x v="720"/>
    <x v="2"/>
    <d v="2023-08-02T00:00:00"/>
    <n v="2023"/>
    <s v="Q3"/>
    <n v="8"/>
    <s v="Aug"/>
    <n v="2"/>
    <n v="183.53"/>
    <x v="720"/>
    <s v="Office Supplies"/>
    <s v="Cash"/>
    <n v="5"/>
    <x v="750"/>
  </r>
  <r>
    <x v="721"/>
    <x v="0"/>
    <d v="2024-01-06T00:00:00"/>
    <n v="2024"/>
    <s v="Q1"/>
    <n v="1"/>
    <s v="Jan"/>
    <n v="5"/>
    <n v="771.5"/>
    <x v="721"/>
    <s v="Electronics"/>
    <s v="Cash"/>
    <n v="4"/>
    <x v="751"/>
  </r>
  <r>
    <x v="722"/>
    <x v="4"/>
    <d v="2023-05-12T00:00:00"/>
    <n v="2023"/>
    <s v="Q2"/>
    <n v="5"/>
    <s v="May"/>
    <n v="6"/>
    <n v="428.16"/>
    <x v="722"/>
    <s v="Office Supplies"/>
    <s v="Cash"/>
    <n v="3"/>
    <x v="752"/>
  </r>
  <r>
    <x v="723"/>
    <x v="6"/>
    <d v="2025-02-12T00:00:00"/>
    <n v="2025"/>
    <s v="Q1"/>
    <n v="2"/>
    <s v="Feb"/>
    <n v="8"/>
    <n v="184.05"/>
    <x v="723"/>
    <s v="Furniture"/>
    <s v="Debit Card"/>
    <n v="5"/>
    <x v="753"/>
  </r>
  <r>
    <x v="724"/>
    <x v="1"/>
    <d v="2025-05-16T00:00:00"/>
    <n v="2025"/>
    <s v="Q2"/>
    <n v="5"/>
    <s v="May"/>
    <n v="8"/>
    <n v="99.49"/>
    <x v="724"/>
    <s v="Furniture"/>
    <s v="Credit Card"/>
    <n v="2"/>
    <x v="754"/>
  </r>
  <r>
    <x v="725"/>
    <x v="2"/>
    <d v="2023-10-01T00:00:00"/>
    <n v="2023"/>
    <s v="Q4"/>
    <n v="10"/>
    <s v="Oct"/>
    <n v="7"/>
    <n v="773.06"/>
    <x v="725"/>
    <s v="Electronics"/>
    <s v="Gift Card"/>
    <n v="5"/>
    <x v="755"/>
  </r>
  <r>
    <x v="726"/>
    <x v="1"/>
    <d v="2024-05-16T00:00:00"/>
    <n v="2024"/>
    <s v="Q2"/>
    <n v="5"/>
    <s v="May"/>
    <n v="8"/>
    <n v="526.76"/>
    <x v="726"/>
    <s v="Office Supplies"/>
    <s v="Credit Card"/>
    <n v="2"/>
    <x v="756"/>
  </r>
  <r>
    <x v="727"/>
    <x v="1"/>
    <d v="2023-04-25T00:00:00"/>
    <n v="2023"/>
    <s v="Q2"/>
    <n v="4"/>
    <s v="Apr"/>
    <n v="6"/>
    <n v="98.54"/>
    <x v="727"/>
    <s v="Office Supplies"/>
    <s v="Online"/>
    <n v="4"/>
    <x v="757"/>
  </r>
  <r>
    <x v="728"/>
    <x v="6"/>
    <d v="2025-02-05T00:00:00"/>
    <n v="2025"/>
    <s v="Q1"/>
    <n v="2"/>
    <s v="Feb"/>
    <n v="7"/>
    <n v="751.2"/>
    <x v="728"/>
    <s v="Office Supplies"/>
    <s v="Cash"/>
    <n v="5"/>
    <x v="758"/>
  </r>
  <r>
    <x v="729"/>
    <x v="6"/>
    <d v="2023-09-30T00:00:00"/>
    <n v="2023"/>
    <s v="Q3"/>
    <n v="9"/>
    <s v="Sep"/>
    <n v="2"/>
    <n v="721.89"/>
    <x v="729"/>
    <s v="Office Supplies"/>
    <s v="Gift Card"/>
    <n v="5"/>
    <x v="759"/>
  </r>
  <r>
    <x v="730"/>
    <x v="2"/>
    <d v="2024-09-20T00:00:00"/>
    <n v="2024"/>
    <s v="Q3"/>
    <n v="9"/>
    <s v="Sep"/>
    <n v="4"/>
    <n v="709.04"/>
    <x v="730"/>
    <s v="Office Supplies"/>
    <s v="Debit Card"/>
    <n v="2"/>
    <x v="760"/>
  </r>
  <r>
    <x v="731"/>
    <x v="6"/>
    <d v="2023-11-11T00:00:00"/>
    <n v="2023"/>
    <s v="Q4"/>
    <n v="11"/>
    <s v="Nov"/>
    <n v="1"/>
    <n v="776.79"/>
    <x v="731"/>
    <s v="Furniture"/>
    <s v="Online"/>
    <n v="2"/>
    <x v="761"/>
  </r>
  <r>
    <x v="732"/>
    <x v="5"/>
    <d v="2024-02-03T00:00:00"/>
    <n v="2024"/>
    <s v="Q1"/>
    <n v="2"/>
    <s v="Feb"/>
    <n v="3"/>
    <n v="635.16999999999996"/>
    <x v="732"/>
    <s v="Electronics"/>
    <s v="Online"/>
    <n v="2"/>
    <x v="762"/>
  </r>
  <r>
    <x v="733"/>
    <x v="0"/>
    <d v="2023-11-03T00:00:00"/>
    <n v="2023"/>
    <s v="Q4"/>
    <n v="11"/>
    <s v="Nov"/>
    <n v="3"/>
    <n v="773.11"/>
    <x v="733"/>
    <s v="Furniture"/>
    <s v="Debit Card"/>
    <n v="4"/>
    <x v="763"/>
  </r>
  <r>
    <x v="734"/>
    <x v="4"/>
    <d v="2023-11-12T00:00:00"/>
    <n v="2023"/>
    <s v="Q4"/>
    <n v="11"/>
    <s v="Nov"/>
    <n v="8"/>
    <n v="397.16"/>
    <x v="734"/>
    <s v="Office Supplies"/>
    <s v="Gift Card"/>
    <n v="2"/>
    <x v="764"/>
  </r>
  <r>
    <x v="735"/>
    <x v="6"/>
    <d v="2025-01-11T00:00:00"/>
    <n v="2025"/>
    <s v="Q1"/>
    <n v="1"/>
    <s v="Jan"/>
    <n v="7"/>
    <n v="404.2"/>
    <x v="735"/>
    <s v="Office Supplies"/>
    <s v="Online"/>
    <n v="1"/>
    <x v="765"/>
  </r>
  <r>
    <x v="736"/>
    <x v="4"/>
    <d v="2025-06-28T00:00:00"/>
    <n v="2025"/>
    <s v="Q2"/>
    <n v="6"/>
    <s v="Jun"/>
    <n v="5"/>
    <n v="375.93"/>
    <x v="736"/>
    <s v="Electronics"/>
    <s v="Cash"/>
    <n v="2"/>
    <x v="766"/>
  </r>
  <r>
    <x v="737"/>
    <x v="6"/>
    <d v="2024-10-14T00:00:00"/>
    <n v="2024"/>
    <s v="Q4"/>
    <n v="10"/>
    <s v="Oct"/>
    <n v="8"/>
    <n v="651.34"/>
    <x v="737"/>
    <s v="Electronics"/>
    <s v="Credit Card"/>
    <n v="5"/>
    <x v="767"/>
  </r>
  <r>
    <x v="738"/>
    <x v="2"/>
    <d v="2025-02-21T00:00:00"/>
    <n v="2025"/>
    <s v="Q1"/>
    <n v="2"/>
    <s v="Feb"/>
    <n v="7"/>
    <n v="77.790000000000006"/>
    <x v="738"/>
    <s v="Office Supplies"/>
    <s v="Cash"/>
    <n v="5"/>
    <x v="768"/>
  </r>
  <r>
    <x v="739"/>
    <x v="1"/>
    <d v="2024-10-19T00:00:00"/>
    <n v="2024"/>
    <s v="Q4"/>
    <n v="10"/>
    <s v="Oct"/>
    <n v="3"/>
    <n v="556.14"/>
    <x v="739"/>
    <s v="Furniture"/>
    <s v="Gift Card"/>
    <n v="4"/>
    <x v="769"/>
  </r>
  <r>
    <x v="272"/>
    <x v="1"/>
    <d v="2023-06-08T00:00:00"/>
    <n v="2023"/>
    <s v="Q2"/>
    <n v="6"/>
    <s v="Jun"/>
    <n v="2"/>
    <n v="544.39"/>
    <x v="272"/>
    <s v="Office Supplies"/>
    <s v="Gift Card"/>
    <n v="2"/>
    <x v="770"/>
  </r>
  <r>
    <x v="740"/>
    <x v="5"/>
    <d v="2025-01-02T00:00:00"/>
    <n v="2025"/>
    <s v="Q1"/>
    <n v="1"/>
    <s v="Jan"/>
    <n v="7"/>
    <n v="387.04"/>
    <x v="740"/>
    <s v="Electronics"/>
    <s v="Cash"/>
    <n v="2"/>
    <x v="771"/>
  </r>
  <r>
    <x v="741"/>
    <x v="2"/>
    <d v="2025-06-05T00:00:00"/>
    <n v="2025"/>
    <s v="Q2"/>
    <n v="6"/>
    <s v="Jun"/>
    <n v="4"/>
    <n v="711.67"/>
    <x v="741"/>
    <s v="Electronics"/>
    <s v="Credit Card"/>
    <n v="5"/>
    <x v="772"/>
  </r>
  <r>
    <x v="742"/>
    <x v="1"/>
    <d v="2024-06-06T00:00:00"/>
    <n v="2024"/>
    <s v="Q2"/>
    <n v="6"/>
    <s v="Jun"/>
    <n v="1"/>
    <n v="347.08"/>
    <x v="742"/>
    <s v="Office Supplies"/>
    <s v="Credit Card"/>
    <n v="2"/>
    <x v="773"/>
  </r>
  <r>
    <x v="743"/>
    <x v="4"/>
    <d v="2023-02-28T00:00:00"/>
    <n v="2023"/>
    <s v="Q1"/>
    <n v="2"/>
    <s v="Feb"/>
    <n v="8"/>
    <n v="147.6"/>
    <x v="743"/>
    <s v="Electronics"/>
    <s v="Cash"/>
    <n v="4"/>
    <x v="774"/>
  </r>
  <r>
    <x v="744"/>
    <x v="1"/>
    <d v="2024-09-05T00:00:00"/>
    <n v="2024"/>
    <s v="Q3"/>
    <n v="9"/>
    <s v="Sep"/>
    <n v="5"/>
    <n v="390.16"/>
    <x v="744"/>
    <s v="Electronics"/>
    <s v="Online"/>
    <n v="3"/>
    <x v="775"/>
  </r>
  <r>
    <x v="745"/>
    <x v="6"/>
    <d v="2023-10-05T00:00:00"/>
    <n v="2023"/>
    <s v="Q4"/>
    <n v="10"/>
    <s v="Oct"/>
    <n v="1"/>
    <n v="782.08"/>
    <x v="745"/>
    <s v="Furniture"/>
    <s v="Credit Card"/>
    <n v="4"/>
    <x v="776"/>
  </r>
  <r>
    <x v="746"/>
    <x v="4"/>
    <d v="2024-12-31T00:00:00"/>
    <n v="2024"/>
    <s v="Q4"/>
    <n v="12"/>
    <s v="Dec"/>
    <n v="7"/>
    <n v="170.39"/>
    <x v="746"/>
    <s v="Electronics"/>
    <s v="Credit Card"/>
    <n v="3"/>
    <x v="777"/>
  </r>
  <r>
    <x v="747"/>
    <x v="4"/>
    <d v="2024-03-23T00:00:00"/>
    <n v="2024"/>
    <s v="Q1"/>
    <n v="3"/>
    <s v="Mar"/>
    <n v="2"/>
    <n v="352.65"/>
    <x v="747"/>
    <s v="Furniture"/>
    <s v="Online"/>
    <n v="2"/>
    <x v="778"/>
  </r>
  <r>
    <x v="748"/>
    <x v="3"/>
    <d v="2023-01-03T00:00:00"/>
    <n v="2023"/>
    <s v="Q1"/>
    <n v="1"/>
    <s v="Jan"/>
    <n v="6"/>
    <n v="98.82"/>
    <x v="748"/>
    <s v="Electronics"/>
    <s v="Online"/>
    <n v="1"/>
    <x v="779"/>
  </r>
  <r>
    <x v="749"/>
    <x v="4"/>
    <d v="2024-07-16T00:00:00"/>
    <n v="2024"/>
    <s v="Q3"/>
    <n v="7"/>
    <s v="Jul"/>
    <n v="4"/>
    <n v="175.63"/>
    <x v="749"/>
    <s v="Furniture"/>
    <s v="Online"/>
    <n v="4"/>
    <x v="780"/>
  </r>
  <r>
    <x v="750"/>
    <x v="5"/>
    <d v="2023-07-07T00:00:00"/>
    <n v="2023"/>
    <s v="Q3"/>
    <n v="7"/>
    <s v="Jul"/>
    <n v="3"/>
    <n v="325.83999999999997"/>
    <x v="750"/>
    <s v="Electronics"/>
    <s v="Credit Card"/>
    <n v="1"/>
    <x v="781"/>
  </r>
  <r>
    <x v="751"/>
    <x v="5"/>
    <d v="2023-08-31T00:00:00"/>
    <n v="2023"/>
    <s v="Q3"/>
    <n v="8"/>
    <s v="Aug"/>
    <n v="1"/>
    <n v="13.47"/>
    <x v="751"/>
    <s v="Electronics"/>
    <s v="Online"/>
    <n v="1"/>
    <x v="782"/>
  </r>
  <r>
    <x v="637"/>
    <x v="6"/>
    <d v="2023-05-30T00:00:00"/>
    <n v="2023"/>
    <s v="Q2"/>
    <n v="5"/>
    <s v="May"/>
    <n v="5"/>
    <n v="343.43"/>
    <x v="637"/>
    <s v="Electronics"/>
    <s v="Debit Card"/>
    <n v="5"/>
    <x v="783"/>
  </r>
  <r>
    <x v="752"/>
    <x v="4"/>
    <d v="2023-02-01T00:00:00"/>
    <n v="2023"/>
    <s v="Q1"/>
    <n v="2"/>
    <s v="Feb"/>
    <n v="4"/>
    <n v="14.21"/>
    <x v="752"/>
    <s v="Electronics"/>
    <s v="Credit Card"/>
    <n v="3"/>
    <x v="784"/>
  </r>
  <r>
    <x v="753"/>
    <x v="3"/>
    <d v="2023-08-19T00:00:00"/>
    <n v="2023"/>
    <s v="Q3"/>
    <n v="8"/>
    <s v="Aug"/>
    <n v="4"/>
    <n v="776.74"/>
    <x v="753"/>
    <s v="Electronics"/>
    <s v="Gift Card"/>
    <n v="4"/>
    <x v="785"/>
  </r>
  <r>
    <x v="754"/>
    <x v="3"/>
    <d v="2023-12-30T00:00:00"/>
    <n v="2023"/>
    <s v="Q4"/>
    <n v="12"/>
    <s v="Dec"/>
    <n v="8"/>
    <n v="389.64"/>
    <x v="754"/>
    <s v="Electronics"/>
    <s v="Credit Card"/>
    <n v="4"/>
    <x v="786"/>
  </r>
  <r>
    <x v="755"/>
    <x v="6"/>
    <d v="2024-07-15T00:00:00"/>
    <n v="2024"/>
    <s v="Q3"/>
    <n v="7"/>
    <s v="Jul"/>
    <n v="5"/>
    <n v="762.58"/>
    <x v="755"/>
    <s v="Office Supplies"/>
    <s v="Debit Card"/>
    <n v="1"/>
    <x v="787"/>
  </r>
  <r>
    <x v="756"/>
    <x v="4"/>
    <d v="2025-02-27T00:00:00"/>
    <n v="2025"/>
    <s v="Q1"/>
    <n v="2"/>
    <s v="Feb"/>
    <n v="7"/>
    <n v="369.21"/>
    <x v="756"/>
    <s v="Furniture"/>
    <s v="Gift Card"/>
    <n v="1"/>
    <x v="788"/>
  </r>
  <r>
    <x v="757"/>
    <x v="3"/>
    <d v="2023-12-27T00:00:00"/>
    <n v="2023"/>
    <s v="Q4"/>
    <n v="12"/>
    <s v="Dec"/>
    <n v="5"/>
    <n v="551.55999999999995"/>
    <x v="757"/>
    <s v="Office Supplies"/>
    <s v="Debit Card"/>
    <n v="3"/>
    <x v="789"/>
  </r>
  <r>
    <x v="758"/>
    <x v="2"/>
    <d v="2023-11-05T00:00:00"/>
    <n v="2023"/>
    <s v="Q4"/>
    <n v="11"/>
    <s v="Nov"/>
    <n v="1"/>
    <n v="475.81"/>
    <x v="758"/>
    <s v="Electronics"/>
    <s v="Cash"/>
    <n v="3"/>
    <x v="790"/>
  </r>
  <r>
    <x v="759"/>
    <x v="0"/>
    <d v="2025-05-22T00:00:00"/>
    <n v="2025"/>
    <s v="Q2"/>
    <n v="5"/>
    <s v="May"/>
    <n v="4"/>
    <n v="139.85"/>
    <x v="759"/>
    <s v="Electronics"/>
    <s v="Online"/>
    <n v="3"/>
    <x v="791"/>
  </r>
  <r>
    <x v="760"/>
    <x v="6"/>
    <d v="2023-09-11T00:00:00"/>
    <n v="2023"/>
    <s v="Q3"/>
    <n v="9"/>
    <s v="Sep"/>
    <n v="8"/>
    <n v="615.47"/>
    <x v="760"/>
    <s v="Electronics"/>
    <s v="Gift Card"/>
    <n v="2"/>
    <x v="792"/>
  </r>
  <r>
    <x v="761"/>
    <x v="3"/>
    <d v="2024-05-01T00:00:00"/>
    <n v="2024"/>
    <s v="Q2"/>
    <n v="5"/>
    <s v="May"/>
    <n v="8"/>
    <n v="149.28"/>
    <x v="761"/>
    <s v="Electronics"/>
    <s v="Gift Card"/>
    <n v="3"/>
    <x v="793"/>
  </r>
  <r>
    <x v="762"/>
    <x v="0"/>
    <d v="2023-02-19T00:00:00"/>
    <n v="2023"/>
    <s v="Q1"/>
    <n v="2"/>
    <s v="Feb"/>
    <n v="7"/>
    <n v="345.77"/>
    <x v="762"/>
    <s v="Furniture"/>
    <s v="Gift Card"/>
    <n v="3"/>
    <x v="794"/>
  </r>
  <r>
    <x v="763"/>
    <x v="4"/>
    <d v="2024-10-17T00:00:00"/>
    <n v="2024"/>
    <s v="Q4"/>
    <n v="10"/>
    <s v="Oct"/>
    <n v="3"/>
    <n v="583.25"/>
    <x v="763"/>
    <s v="Office Supplies"/>
    <s v="Cash"/>
    <n v="1"/>
    <x v="795"/>
  </r>
  <r>
    <x v="764"/>
    <x v="1"/>
    <d v="2024-04-29T00:00:00"/>
    <n v="2024"/>
    <s v="Q2"/>
    <n v="4"/>
    <s v="Apr"/>
    <n v="2"/>
    <n v="768.13"/>
    <x v="764"/>
    <s v="Furniture"/>
    <s v="Cash"/>
    <n v="2"/>
    <x v="796"/>
  </r>
  <r>
    <x v="765"/>
    <x v="1"/>
    <d v="2024-12-23T00:00:00"/>
    <n v="2024"/>
    <s v="Q4"/>
    <n v="12"/>
    <s v="Dec"/>
    <n v="6"/>
    <n v="500.14"/>
    <x v="765"/>
    <s v="Office Supplies"/>
    <s v="Online"/>
    <n v="2"/>
    <x v="797"/>
  </r>
  <r>
    <x v="766"/>
    <x v="6"/>
    <d v="2024-08-13T00:00:00"/>
    <n v="2024"/>
    <s v="Q3"/>
    <n v="8"/>
    <s v="Aug"/>
    <n v="1"/>
    <n v="740.42"/>
    <x v="766"/>
    <s v="Electronics"/>
    <s v="Online"/>
    <n v="4"/>
    <x v="798"/>
  </r>
  <r>
    <x v="272"/>
    <x v="4"/>
    <d v="2023-01-06T00:00:00"/>
    <n v="2023"/>
    <s v="Q1"/>
    <n v="1"/>
    <s v="Jan"/>
    <n v="7"/>
    <n v="579.37"/>
    <x v="272"/>
    <s v="Electronics"/>
    <s v="Online"/>
    <n v="1"/>
    <x v="799"/>
  </r>
  <r>
    <x v="767"/>
    <x v="0"/>
    <d v="2024-06-16T00:00:00"/>
    <n v="2024"/>
    <s v="Q2"/>
    <n v="6"/>
    <s v="Jun"/>
    <n v="7"/>
    <n v="700.67"/>
    <x v="767"/>
    <s v="Furniture"/>
    <s v="Online"/>
    <n v="2"/>
    <x v="800"/>
  </r>
  <r>
    <x v="768"/>
    <x v="1"/>
    <d v="2024-11-20T00:00:00"/>
    <n v="2024"/>
    <s v="Q4"/>
    <n v="11"/>
    <s v="Nov"/>
    <n v="6"/>
    <n v="289.11"/>
    <x v="768"/>
    <s v="Electronics"/>
    <s v="Gift Card"/>
    <n v="1"/>
    <x v="801"/>
  </r>
  <r>
    <x v="769"/>
    <x v="2"/>
    <d v="2024-09-29T00:00:00"/>
    <n v="2024"/>
    <s v="Q3"/>
    <n v="9"/>
    <s v="Sep"/>
    <n v="2"/>
    <n v="339.11"/>
    <x v="769"/>
    <s v="Electronics"/>
    <s v="Debit Card"/>
    <n v="5"/>
    <x v="802"/>
  </r>
  <r>
    <x v="770"/>
    <x v="2"/>
    <d v="2025-01-06T00:00:00"/>
    <n v="2025"/>
    <s v="Q1"/>
    <n v="1"/>
    <s v="Jan"/>
    <n v="7"/>
    <n v="206.05"/>
    <x v="770"/>
    <s v="Electronics"/>
    <s v="Gift Card"/>
    <n v="1"/>
    <x v="803"/>
  </r>
  <r>
    <x v="771"/>
    <x v="5"/>
    <d v="2025-03-03T00:00:00"/>
    <n v="2025"/>
    <s v="Q1"/>
    <n v="3"/>
    <s v="Mar"/>
    <n v="1"/>
    <n v="264.41000000000003"/>
    <x v="771"/>
    <s v="Office Supplies"/>
    <s v="Debit Card"/>
    <n v="3"/>
    <x v="804"/>
  </r>
  <r>
    <x v="772"/>
    <x v="4"/>
    <d v="2023-05-25T00:00:00"/>
    <n v="2023"/>
    <s v="Q2"/>
    <n v="5"/>
    <s v="May"/>
    <n v="6"/>
    <n v="31.97"/>
    <x v="772"/>
    <s v="Office Supplies"/>
    <s v="Gift Card"/>
    <n v="1"/>
    <x v="805"/>
  </r>
  <r>
    <x v="123"/>
    <x v="6"/>
    <d v="2023-06-03T00:00:00"/>
    <n v="2023"/>
    <s v="Q2"/>
    <n v="6"/>
    <s v="Jun"/>
    <n v="4"/>
    <n v="210.3"/>
    <x v="123"/>
    <s v="Electronics"/>
    <s v="Gift Card"/>
    <n v="1"/>
    <x v="806"/>
  </r>
  <r>
    <x v="773"/>
    <x v="3"/>
    <d v="2023-08-15T00:00:00"/>
    <n v="2023"/>
    <s v="Q3"/>
    <n v="8"/>
    <s v="Aug"/>
    <n v="6"/>
    <n v="338.59"/>
    <x v="773"/>
    <s v="Furniture"/>
    <s v="Online"/>
    <n v="3"/>
    <x v="807"/>
  </r>
  <r>
    <x v="774"/>
    <x v="3"/>
    <d v="2025-05-20T00:00:00"/>
    <n v="2025"/>
    <s v="Q2"/>
    <n v="5"/>
    <s v="May"/>
    <n v="7"/>
    <n v="666.05"/>
    <x v="774"/>
    <s v="Furniture"/>
    <s v="Cash"/>
    <n v="3"/>
    <x v="808"/>
  </r>
  <r>
    <x v="775"/>
    <x v="4"/>
    <d v="2024-07-13T00:00:00"/>
    <n v="2024"/>
    <s v="Q3"/>
    <n v="7"/>
    <s v="Jul"/>
    <n v="4"/>
    <n v="126.37"/>
    <x v="775"/>
    <s v="Office Supplies"/>
    <s v="Gift Card"/>
    <n v="4"/>
    <x v="809"/>
  </r>
  <r>
    <x v="776"/>
    <x v="5"/>
    <d v="2024-02-16T00:00:00"/>
    <n v="2024"/>
    <s v="Q1"/>
    <n v="2"/>
    <s v="Feb"/>
    <n v="3"/>
    <n v="674.32"/>
    <x v="776"/>
    <s v="Electronics"/>
    <s v="Cash"/>
    <n v="5"/>
    <x v="810"/>
  </r>
  <r>
    <x v="238"/>
    <x v="5"/>
    <d v="2023-02-04T00:00:00"/>
    <n v="2023"/>
    <s v="Q1"/>
    <n v="2"/>
    <s v="Feb"/>
    <n v="8"/>
    <n v="46.56"/>
    <x v="238"/>
    <s v="Office Supplies"/>
    <s v="Gift Card"/>
    <n v="5"/>
    <x v="811"/>
  </r>
  <r>
    <x v="777"/>
    <x v="1"/>
    <d v="2024-08-04T00:00:00"/>
    <n v="2024"/>
    <s v="Q3"/>
    <n v="8"/>
    <s v="Aug"/>
    <n v="7"/>
    <n v="287.95"/>
    <x v="777"/>
    <s v="Furniture"/>
    <s v="Credit Card"/>
    <n v="5"/>
    <x v="812"/>
  </r>
  <r>
    <x v="778"/>
    <x v="1"/>
    <d v="2024-12-22T00:00:00"/>
    <n v="2024"/>
    <s v="Q4"/>
    <n v="12"/>
    <s v="Dec"/>
    <n v="2"/>
    <n v="285.51"/>
    <x v="778"/>
    <s v="Furniture"/>
    <s v="Online"/>
    <n v="4"/>
    <x v="813"/>
  </r>
  <r>
    <x v="779"/>
    <x v="6"/>
    <d v="2023-03-01T00:00:00"/>
    <n v="2023"/>
    <s v="Q1"/>
    <n v="3"/>
    <s v="Mar"/>
    <n v="3"/>
    <n v="30.16"/>
    <x v="779"/>
    <s v="Office Supplies"/>
    <s v="Gift Card"/>
    <n v="1"/>
    <x v="814"/>
  </r>
  <r>
    <x v="780"/>
    <x v="0"/>
    <d v="2023-10-22T00:00:00"/>
    <n v="2023"/>
    <s v="Q4"/>
    <n v="10"/>
    <s v="Oct"/>
    <n v="1"/>
    <n v="626.98"/>
    <x v="780"/>
    <s v="Office Supplies"/>
    <s v="Credit Card"/>
    <n v="3"/>
    <x v="815"/>
  </r>
  <r>
    <x v="781"/>
    <x v="4"/>
    <d v="2024-11-24T00:00:00"/>
    <n v="2024"/>
    <s v="Q4"/>
    <n v="11"/>
    <s v="Nov"/>
    <n v="1"/>
    <n v="89.17"/>
    <x v="781"/>
    <s v="Furniture"/>
    <s v="Online"/>
    <n v="4"/>
    <x v="816"/>
  </r>
  <r>
    <x v="782"/>
    <x v="3"/>
    <d v="2025-04-11T00:00:00"/>
    <n v="2025"/>
    <s v="Q2"/>
    <n v="4"/>
    <s v="Apr"/>
    <n v="7"/>
    <n v="791.91"/>
    <x v="782"/>
    <s v="Electronics"/>
    <s v="Gift Card"/>
    <n v="2"/>
    <x v="817"/>
  </r>
  <r>
    <x v="783"/>
    <x v="1"/>
    <d v="2023-02-25T00:00:00"/>
    <n v="2023"/>
    <s v="Q1"/>
    <n v="2"/>
    <s v="Feb"/>
    <n v="4"/>
    <n v="612.47"/>
    <x v="783"/>
    <s v="Furniture"/>
    <s v="Gift Card"/>
    <n v="1"/>
    <x v="818"/>
  </r>
  <r>
    <x v="784"/>
    <x v="3"/>
    <d v="2023-12-01T00:00:00"/>
    <n v="2023"/>
    <s v="Q4"/>
    <n v="12"/>
    <s v="Dec"/>
    <n v="3"/>
    <n v="278.73"/>
    <x v="784"/>
    <s v="Electronics"/>
    <s v="Credit Card"/>
    <n v="5"/>
    <x v="819"/>
  </r>
  <r>
    <x v="785"/>
    <x v="3"/>
    <d v="2023-10-15T00:00:00"/>
    <n v="2023"/>
    <s v="Q4"/>
    <n v="10"/>
    <s v="Oct"/>
    <n v="8"/>
    <n v="383.65"/>
    <x v="785"/>
    <s v="Electronics"/>
    <s v="Credit Card"/>
    <n v="3"/>
    <x v="820"/>
  </r>
  <r>
    <x v="786"/>
    <x v="4"/>
    <d v="2023-12-25T00:00:00"/>
    <n v="2023"/>
    <s v="Q4"/>
    <n v="12"/>
    <s v="Dec"/>
    <n v="4"/>
    <n v="472.35"/>
    <x v="786"/>
    <s v="Electronics"/>
    <s v="Debit Card"/>
    <n v="3"/>
    <x v="821"/>
  </r>
  <r>
    <x v="787"/>
    <x v="4"/>
    <d v="2024-04-19T00:00:00"/>
    <n v="2024"/>
    <s v="Q2"/>
    <n v="4"/>
    <s v="Apr"/>
    <n v="1"/>
    <n v="438.65"/>
    <x v="787"/>
    <s v="Furniture"/>
    <s v="Credit Card"/>
    <n v="4"/>
    <x v="822"/>
  </r>
  <r>
    <x v="788"/>
    <x v="2"/>
    <d v="2025-05-22T00:00:00"/>
    <n v="2025"/>
    <s v="Q2"/>
    <n v="5"/>
    <s v="May"/>
    <n v="5"/>
    <n v="695.64"/>
    <x v="788"/>
    <s v="Electronics"/>
    <s v="Online"/>
    <n v="5"/>
    <x v="823"/>
  </r>
  <r>
    <x v="789"/>
    <x v="1"/>
    <d v="2025-05-10T00:00:00"/>
    <n v="2025"/>
    <s v="Q2"/>
    <n v="5"/>
    <s v="May"/>
    <n v="8"/>
    <n v="642.59"/>
    <x v="789"/>
    <s v="Furniture"/>
    <s v="Gift Card"/>
    <n v="5"/>
    <x v="824"/>
  </r>
  <r>
    <x v="790"/>
    <x v="6"/>
    <d v="2025-03-25T00:00:00"/>
    <n v="2025"/>
    <s v="Q1"/>
    <n v="3"/>
    <s v="Mar"/>
    <n v="2"/>
    <n v="560.77"/>
    <x v="790"/>
    <s v="Electronics"/>
    <s v="Gift Card"/>
    <n v="5"/>
    <x v="825"/>
  </r>
  <r>
    <x v="791"/>
    <x v="6"/>
    <d v="2025-06-10T00:00:00"/>
    <n v="2025"/>
    <s v="Q2"/>
    <n v="6"/>
    <s v="Jun"/>
    <n v="6"/>
    <n v="7.55"/>
    <x v="791"/>
    <s v="Electronics"/>
    <s v="Credit Card"/>
    <n v="5"/>
    <x v="826"/>
  </r>
  <r>
    <x v="792"/>
    <x v="1"/>
    <d v="2024-11-14T00:00:00"/>
    <n v="2024"/>
    <s v="Q4"/>
    <n v="11"/>
    <s v="Nov"/>
    <n v="6"/>
    <n v="256.02999999999997"/>
    <x v="792"/>
    <s v="Electronics"/>
    <s v="Gift Card"/>
    <n v="1"/>
    <x v="827"/>
  </r>
  <r>
    <x v="793"/>
    <x v="5"/>
    <d v="2023-11-16T00:00:00"/>
    <n v="2023"/>
    <s v="Q4"/>
    <n v="11"/>
    <s v="Nov"/>
    <n v="8"/>
    <n v="323.16000000000003"/>
    <x v="793"/>
    <s v="Furniture"/>
    <s v="Gift Card"/>
    <n v="1"/>
    <x v="828"/>
  </r>
  <r>
    <x v="794"/>
    <x v="6"/>
    <d v="2025-04-10T00:00:00"/>
    <n v="2025"/>
    <s v="Q2"/>
    <n v="4"/>
    <s v="Apr"/>
    <n v="2"/>
    <n v="665.61"/>
    <x v="794"/>
    <s v="Office Supplies"/>
    <s v="Credit Card"/>
    <n v="5"/>
    <x v="829"/>
  </r>
  <r>
    <x v="795"/>
    <x v="3"/>
    <d v="2024-06-23T00:00:00"/>
    <n v="2024"/>
    <s v="Q2"/>
    <n v="6"/>
    <s v="Jun"/>
    <n v="8"/>
    <n v="284.95"/>
    <x v="795"/>
    <s v="Furniture"/>
    <s v="Credit Card"/>
    <n v="2"/>
    <x v="830"/>
  </r>
  <r>
    <x v="796"/>
    <x v="1"/>
    <d v="2024-08-27T00:00:00"/>
    <n v="2024"/>
    <s v="Q3"/>
    <n v="8"/>
    <s v="Aug"/>
    <n v="7"/>
    <n v="695.02"/>
    <x v="796"/>
    <s v="Electronics"/>
    <s v="Online"/>
    <n v="3"/>
    <x v="831"/>
  </r>
  <r>
    <x v="797"/>
    <x v="4"/>
    <d v="2024-03-18T00:00:00"/>
    <n v="2024"/>
    <s v="Q1"/>
    <n v="3"/>
    <s v="Mar"/>
    <n v="4"/>
    <n v="168.32"/>
    <x v="797"/>
    <s v="Office Supplies"/>
    <s v="Gift Card"/>
    <n v="5"/>
    <x v="832"/>
  </r>
  <r>
    <x v="798"/>
    <x v="0"/>
    <d v="2024-05-12T00:00:00"/>
    <n v="2024"/>
    <s v="Q2"/>
    <n v="5"/>
    <s v="May"/>
    <n v="5"/>
    <n v="226.71"/>
    <x v="798"/>
    <s v="Office Supplies"/>
    <s v="Gift Card"/>
    <n v="4"/>
    <x v="833"/>
  </r>
  <r>
    <x v="799"/>
    <x v="3"/>
    <d v="2024-08-29T00:00:00"/>
    <n v="2024"/>
    <s v="Q3"/>
    <n v="8"/>
    <s v="Aug"/>
    <n v="7"/>
    <n v="606.16999999999996"/>
    <x v="799"/>
    <s v="Electronics"/>
    <s v="Online"/>
    <n v="2"/>
    <x v="834"/>
  </r>
  <r>
    <x v="800"/>
    <x v="3"/>
    <d v="2025-01-30T00:00:00"/>
    <n v="2025"/>
    <s v="Q1"/>
    <n v="1"/>
    <s v="Jan"/>
    <n v="5"/>
    <n v="432.85"/>
    <x v="800"/>
    <s v="Furniture"/>
    <s v="Gift Card"/>
    <n v="5"/>
    <x v="835"/>
  </r>
  <r>
    <x v="801"/>
    <x v="2"/>
    <d v="2023-12-15T00:00:00"/>
    <n v="2023"/>
    <s v="Q4"/>
    <n v="12"/>
    <s v="Dec"/>
    <n v="3"/>
    <n v="204.93"/>
    <x v="801"/>
    <s v="Electronics"/>
    <s v="Debit Card"/>
    <n v="3"/>
    <x v="836"/>
  </r>
  <r>
    <x v="802"/>
    <x v="5"/>
    <d v="2023-11-04T00:00:00"/>
    <n v="2023"/>
    <s v="Q4"/>
    <n v="11"/>
    <s v="Nov"/>
    <n v="6"/>
    <n v="548.88"/>
    <x v="802"/>
    <s v="Office Supplies"/>
    <s v="Cash"/>
    <n v="1"/>
    <x v="837"/>
  </r>
  <r>
    <x v="803"/>
    <x v="5"/>
    <d v="2025-03-19T00:00:00"/>
    <n v="2025"/>
    <s v="Q1"/>
    <n v="3"/>
    <s v="Mar"/>
    <n v="8"/>
    <n v="563.03"/>
    <x v="803"/>
    <s v="Electronics"/>
    <s v="Gift Card"/>
    <n v="1"/>
    <x v="838"/>
  </r>
  <r>
    <x v="804"/>
    <x v="5"/>
    <d v="2025-05-14T00:00:00"/>
    <n v="2025"/>
    <s v="Q2"/>
    <n v="5"/>
    <s v="May"/>
    <n v="8"/>
    <n v="620.6"/>
    <x v="804"/>
    <s v="Electronics"/>
    <s v="Credit Card"/>
    <n v="1"/>
    <x v="839"/>
  </r>
  <r>
    <x v="805"/>
    <x v="0"/>
    <d v="2024-02-13T00:00:00"/>
    <n v="2024"/>
    <s v="Q1"/>
    <n v="2"/>
    <s v="Feb"/>
    <n v="1"/>
    <n v="430.58"/>
    <x v="805"/>
    <s v="Electronics"/>
    <s v="Cash"/>
    <n v="5"/>
    <x v="840"/>
  </r>
  <r>
    <x v="806"/>
    <x v="3"/>
    <d v="2023-12-31T00:00:00"/>
    <n v="2023"/>
    <s v="Q4"/>
    <n v="12"/>
    <s v="Dec"/>
    <n v="8"/>
    <n v="506.43"/>
    <x v="806"/>
    <s v="Furniture"/>
    <s v="Gift Card"/>
    <n v="3"/>
    <x v="841"/>
  </r>
  <r>
    <x v="807"/>
    <x v="5"/>
    <d v="2023-05-02T00:00:00"/>
    <n v="2023"/>
    <s v="Q2"/>
    <n v="5"/>
    <s v="May"/>
    <n v="7"/>
    <n v="555.39"/>
    <x v="807"/>
    <s v="Office Supplies"/>
    <s v="Online"/>
    <n v="1"/>
    <x v="842"/>
  </r>
  <r>
    <x v="808"/>
    <x v="4"/>
    <d v="2023-11-21T00:00:00"/>
    <n v="2023"/>
    <s v="Q4"/>
    <n v="11"/>
    <s v="Nov"/>
    <n v="1"/>
    <n v="139.83000000000001"/>
    <x v="808"/>
    <s v="Furniture"/>
    <s v="Credit Card"/>
    <n v="5"/>
    <x v="843"/>
  </r>
  <r>
    <x v="809"/>
    <x v="1"/>
    <d v="2024-10-23T00:00:00"/>
    <n v="2024"/>
    <s v="Q4"/>
    <n v="10"/>
    <s v="Oct"/>
    <n v="5"/>
    <n v="85.4"/>
    <x v="809"/>
    <s v="Office Supplies"/>
    <s v="Debit Card"/>
    <n v="4"/>
    <x v="844"/>
  </r>
  <r>
    <x v="810"/>
    <x v="0"/>
    <d v="2024-03-12T00:00:00"/>
    <n v="2024"/>
    <s v="Q1"/>
    <n v="3"/>
    <s v="Mar"/>
    <n v="8"/>
    <n v="634.55999999999995"/>
    <x v="810"/>
    <s v="Office Supplies"/>
    <s v="Gift Card"/>
    <n v="4"/>
    <x v="845"/>
  </r>
  <r>
    <x v="811"/>
    <x v="4"/>
    <d v="2024-12-18T00:00:00"/>
    <n v="2024"/>
    <s v="Q4"/>
    <n v="12"/>
    <s v="Dec"/>
    <n v="8"/>
    <n v="768.09"/>
    <x v="811"/>
    <s v="Electronics"/>
    <s v="Debit Card"/>
    <n v="1"/>
    <x v="846"/>
  </r>
  <r>
    <x v="812"/>
    <x v="6"/>
    <d v="2023-03-18T00:00:00"/>
    <n v="2023"/>
    <s v="Q1"/>
    <n v="3"/>
    <s v="Mar"/>
    <n v="4"/>
    <n v="592.34"/>
    <x v="812"/>
    <s v="Electronics"/>
    <s v="Online"/>
    <n v="4"/>
    <x v="847"/>
  </r>
  <r>
    <x v="813"/>
    <x v="2"/>
    <d v="2024-09-15T00:00:00"/>
    <n v="2024"/>
    <s v="Q3"/>
    <n v="9"/>
    <s v="Sep"/>
    <n v="3"/>
    <n v="256.5"/>
    <x v="813"/>
    <s v="Office Supplies"/>
    <s v="Gift Card"/>
    <n v="1"/>
    <x v="848"/>
  </r>
  <r>
    <x v="50"/>
    <x v="3"/>
    <d v="2024-09-22T00:00:00"/>
    <n v="2024"/>
    <s v="Q3"/>
    <n v="9"/>
    <s v="Sep"/>
    <n v="1"/>
    <n v="592.24"/>
    <x v="50"/>
    <s v="Office Supplies"/>
    <s v="Cash"/>
    <n v="3"/>
    <x v="849"/>
  </r>
  <r>
    <x v="814"/>
    <x v="3"/>
    <d v="2023-03-26T00:00:00"/>
    <n v="2023"/>
    <s v="Q1"/>
    <n v="3"/>
    <s v="Mar"/>
    <n v="7"/>
    <n v="69.12"/>
    <x v="814"/>
    <s v="Furniture"/>
    <s v="Debit Card"/>
    <n v="3"/>
    <x v="850"/>
  </r>
  <r>
    <x v="815"/>
    <x v="4"/>
    <d v="2023-03-26T00:00:00"/>
    <n v="2023"/>
    <s v="Q1"/>
    <n v="3"/>
    <s v="Mar"/>
    <n v="3"/>
    <n v="128.52000000000001"/>
    <x v="815"/>
    <s v="Electronics"/>
    <s v="Credit Card"/>
    <n v="3"/>
    <x v="851"/>
  </r>
  <r>
    <x v="816"/>
    <x v="4"/>
    <d v="2023-06-20T00:00:00"/>
    <n v="2023"/>
    <s v="Q2"/>
    <n v="6"/>
    <s v="Jun"/>
    <n v="6"/>
    <n v="70.13"/>
    <x v="816"/>
    <s v="Office Supplies"/>
    <s v="Gift Card"/>
    <n v="4"/>
    <x v="852"/>
  </r>
  <r>
    <x v="817"/>
    <x v="0"/>
    <d v="2025-06-30T00:00:00"/>
    <n v="2025"/>
    <s v="Q2"/>
    <n v="6"/>
    <s v="Jun"/>
    <n v="7"/>
    <n v="548.54"/>
    <x v="817"/>
    <s v="Electronics"/>
    <s v="Online"/>
    <n v="4"/>
    <x v="853"/>
  </r>
  <r>
    <x v="331"/>
    <x v="1"/>
    <d v="2025-02-09T00:00:00"/>
    <n v="2025"/>
    <s v="Q1"/>
    <n v="2"/>
    <s v="Feb"/>
    <n v="6"/>
    <n v="279.06"/>
    <x v="331"/>
    <s v="Furniture"/>
    <s v="Gift Card"/>
    <n v="3"/>
    <x v="854"/>
  </r>
  <r>
    <x v="818"/>
    <x v="1"/>
    <d v="2023-03-29T00:00:00"/>
    <n v="2023"/>
    <s v="Q1"/>
    <n v="3"/>
    <s v="Mar"/>
    <n v="3"/>
    <n v="770.49"/>
    <x v="818"/>
    <s v="Office Supplies"/>
    <s v="Online"/>
    <n v="4"/>
    <x v="855"/>
  </r>
  <r>
    <x v="819"/>
    <x v="3"/>
    <d v="2024-08-17T00:00:00"/>
    <n v="2024"/>
    <s v="Q3"/>
    <n v="8"/>
    <s v="Aug"/>
    <n v="4"/>
    <n v="174.39"/>
    <x v="819"/>
    <s v="Electronics"/>
    <s v="Gift Card"/>
    <n v="4"/>
    <x v="856"/>
  </r>
  <r>
    <x v="820"/>
    <x v="5"/>
    <d v="2024-02-10T00:00:00"/>
    <n v="2024"/>
    <s v="Q1"/>
    <n v="2"/>
    <s v="Feb"/>
    <n v="5"/>
    <n v="451.64"/>
    <x v="820"/>
    <s v="Furniture"/>
    <s v="Online"/>
    <n v="5"/>
    <x v="857"/>
  </r>
  <r>
    <x v="821"/>
    <x v="5"/>
    <d v="2024-01-09T00:00:00"/>
    <n v="2024"/>
    <s v="Q1"/>
    <n v="1"/>
    <s v="Jan"/>
    <n v="2"/>
    <n v="488.07"/>
    <x v="821"/>
    <s v="Furniture"/>
    <s v="Cash"/>
    <n v="4"/>
    <x v="858"/>
  </r>
  <r>
    <x v="822"/>
    <x v="2"/>
    <d v="2023-12-04T00:00:00"/>
    <n v="2023"/>
    <s v="Q4"/>
    <n v="12"/>
    <s v="Dec"/>
    <n v="4"/>
    <n v="329.91"/>
    <x v="822"/>
    <s v="Office Supplies"/>
    <s v="Online"/>
    <n v="4"/>
    <x v="859"/>
  </r>
  <r>
    <x v="823"/>
    <x v="2"/>
    <d v="2024-12-08T00:00:00"/>
    <n v="2024"/>
    <s v="Q4"/>
    <n v="12"/>
    <s v="Dec"/>
    <n v="7"/>
    <n v="41.97"/>
    <x v="823"/>
    <s v="Office Supplies"/>
    <s v="Debit Card"/>
    <n v="2"/>
    <x v="860"/>
  </r>
  <r>
    <x v="824"/>
    <x v="1"/>
    <d v="2023-07-20T00:00:00"/>
    <n v="2023"/>
    <s v="Q3"/>
    <n v="7"/>
    <s v="Jul"/>
    <n v="7"/>
    <n v="284.86"/>
    <x v="824"/>
    <s v="Furniture"/>
    <s v="Debit Card"/>
    <n v="5"/>
    <x v="861"/>
  </r>
  <r>
    <x v="825"/>
    <x v="0"/>
    <d v="2024-01-24T00:00:00"/>
    <n v="2024"/>
    <s v="Q1"/>
    <n v="1"/>
    <s v="Jan"/>
    <n v="2"/>
    <n v="433.59"/>
    <x v="825"/>
    <s v="Electronics"/>
    <s v="Debit Card"/>
    <n v="2"/>
    <x v="862"/>
  </r>
  <r>
    <x v="826"/>
    <x v="2"/>
    <d v="2025-02-28T00:00:00"/>
    <n v="2025"/>
    <s v="Q1"/>
    <n v="2"/>
    <s v="Feb"/>
    <n v="1"/>
    <n v="79.900000000000006"/>
    <x v="826"/>
    <s v="Office Supplies"/>
    <s v="Gift Card"/>
    <n v="1"/>
    <x v="863"/>
  </r>
  <r>
    <x v="827"/>
    <x v="3"/>
    <d v="2024-08-12T00:00:00"/>
    <n v="2024"/>
    <s v="Q3"/>
    <n v="8"/>
    <s v="Aug"/>
    <n v="8"/>
    <n v="138.11000000000001"/>
    <x v="827"/>
    <s v="Furniture"/>
    <s v="Online"/>
    <n v="4"/>
    <x v="864"/>
  </r>
  <r>
    <x v="828"/>
    <x v="6"/>
    <d v="2025-04-15T00:00:00"/>
    <n v="2025"/>
    <s v="Q2"/>
    <n v="4"/>
    <s v="Apr"/>
    <n v="8"/>
    <n v="65.260000000000005"/>
    <x v="828"/>
    <s v="Electronics"/>
    <s v="Online"/>
    <n v="2"/>
    <x v="865"/>
  </r>
  <r>
    <x v="829"/>
    <x v="3"/>
    <d v="2024-07-24T00:00:00"/>
    <n v="2024"/>
    <s v="Q3"/>
    <n v="7"/>
    <s v="Jul"/>
    <n v="8"/>
    <n v="263.56"/>
    <x v="829"/>
    <s v="Office Supplies"/>
    <s v="Gift Card"/>
    <n v="5"/>
    <x v="866"/>
  </r>
  <r>
    <x v="830"/>
    <x v="1"/>
    <d v="2024-02-06T00:00:00"/>
    <n v="2024"/>
    <s v="Q1"/>
    <n v="2"/>
    <s v="Feb"/>
    <n v="8"/>
    <n v="621.67999999999995"/>
    <x v="830"/>
    <s v="Furniture"/>
    <s v="Credit Card"/>
    <n v="2"/>
    <x v="867"/>
  </r>
  <r>
    <x v="301"/>
    <x v="2"/>
    <d v="2023-04-25T00:00:00"/>
    <n v="2023"/>
    <s v="Q2"/>
    <n v="4"/>
    <s v="Apr"/>
    <n v="1"/>
    <n v="147.34"/>
    <x v="301"/>
    <s v="Electronics"/>
    <s v="Gift Card"/>
    <n v="1"/>
    <x v="868"/>
  </r>
  <r>
    <x v="831"/>
    <x v="2"/>
    <d v="2024-03-31T00:00:00"/>
    <n v="2024"/>
    <s v="Q1"/>
    <n v="3"/>
    <s v="Mar"/>
    <n v="6"/>
    <n v="192.17"/>
    <x v="831"/>
    <s v="Furniture"/>
    <s v="Credit Card"/>
    <n v="2"/>
    <x v="869"/>
  </r>
  <r>
    <x v="832"/>
    <x v="5"/>
    <d v="2024-03-09T00:00:00"/>
    <n v="2024"/>
    <s v="Q1"/>
    <n v="3"/>
    <s v="Mar"/>
    <n v="7"/>
    <n v="560.05999999999995"/>
    <x v="832"/>
    <s v="Office Supplies"/>
    <s v="Online"/>
    <n v="1"/>
    <x v="870"/>
  </r>
  <r>
    <x v="833"/>
    <x v="1"/>
    <d v="2023-05-25T00:00:00"/>
    <n v="2023"/>
    <s v="Q2"/>
    <n v="5"/>
    <s v="May"/>
    <n v="8"/>
    <n v="131.26"/>
    <x v="833"/>
    <s v="Electronics"/>
    <s v="Debit Card"/>
    <n v="3"/>
    <x v="871"/>
  </r>
  <r>
    <x v="834"/>
    <x v="6"/>
    <d v="2024-01-29T00:00:00"/>
    <n v="2024"/>
    <s v="Q1"/>
    <n v="1"/>
    <s v="Jan"/>
    <n v="4"/>
    <n v="57.77"/>
    <x v="834"/>
    <s v="Furniture"/>
    <s v="Credit Card"/>
    <n v="4"/>
    <x v="872"/>
  </r>
  <r>
    <x v="835"/>
    <x v="1"/>
    <d v="2023-07-23T00:00:00"/>
    <n v="2023"/>
    <s v="Q3"/>
    <n v="7"/>
    <s v="Jul"/>
    <n v="4"/>
    <n v="149.13999999999999"/>
    <x v="835"/>
    <s v="Office Supplies"/>
    <s v="Debit Card"/>
    <n v="4"/>
    <x v="873"/>
  </r>
  <r>
    <x v="836"/>
    <x v="3"/>
    <d v="2024-09-14T00:00:00"/>
    <n v="2024"/>
    <s v="Q3"/>
    <n v="9"/>
    <s v="Sep"/>
    <n v="6"/>
    <n v="580.01"/>
    <x v="836"/>
    <s v="Office Supplies"/>
    <s v="Gift Card"/>
    <n v="1"/>
    <x v="874"/>
  </r>
  <r>
    <x v="837"/>
    <x v="5"/>
    <d v="2024-07-03T00:00:00"/>
    <n v="2024"/>
    <s v="Q3"/>
    <n v="7"/>
    <s v="Jul"/>
    <n v="3"/>
    <n v="495.51"/>
    <x v="837"/>
    <s v="Electronics"/>
    <s v="Online"/>
    <n v="5"/>
    <x v="875"/>
  </r>
  <r>
    <x v="838"/>
    <x v="0"/>
    <d v="2024-12-06T00:00:00"/>
    <n v="2024"/>
    <s v="Q4"/>
    <n v="12"/>
    <s v="Dec"/>
    <n v="6"/>
    <n v="360.05"/>
    <x v="838"/>
    <s v="Furniture"/>
    <s v="Gift Card"/>
    <n v="4"/>
    <x v="876"/>
  </r>
  <r>
    <x v="839"/>
    <x v="1"/>
    <d v="2024-12-06T00:00:00"/>
    <n v="2024"/>
    <s v="Q4"/>
    <n v="12"/>
    <s v="Dec"/>
    <n v="5"/>
    <n v="276.75"/>
    <x v="839"/>
    <s v="Office Supplies"/>
    <s v="Debit Card"/>
    <n v="2"/>
    <x v="877"/>
  </r>
  <r>
    <x v="840"/>
    <x v="0"/>
    <d v="2024-02-22T00:00:00"/>
    <n v="2024"/>
    <s v="Q1"/>
    <n v="2"/>
    <s v="Feb"/>
    <n v="7"/>
    <n v="662.26"/>
    <x v="840"/>
    <s v="Furniture"/>
    <s v="Credit Card"/>
    <n v="2"/>
    <x v="878"/>
  </r>
  <r>
    <x v="841"/>
    <x v="0"/>
    <d v="2023-10-31T00:00:00"/>
    <n v="2023"/>
    <s v="Q4"/>
    <n v="10"/>
    <s v="Oct"/>
    <n v="1"/>
    <n v="72.25"/>
    <x v="841"/>
    <s v="Office Supplies"/>
    <s v="Credit Card"/>
    <n v="2"/>
    <x v="879"/>
  </r>
  <r>
    <x v="842"/>
    <x v="5"/>
    <d v="2023-06-25T00:00:00"/>
    <n v="2023"/>
    <s v="Q2"/>
    <n v="6"/>
    <s v="Jun"/>
    <n v="4"/>
    <n v="495.28"/>
    <x v="842"/>
    <s v="Electronics"/>
    <s v="Cash"/>
    <n v="1"/>
    <x v="880"/>
  </r>
  <r>
    <x v="843"/>
    <x v="6"/>
    <d v="2024-08-17T00:00:00"/>
    <n v="2024"/>
    <s v="Q3"/>
    <n v="8"/>
    <s v="Aug"/>
    <n v="2"/>
    <n v="322.62"/>
    <x v="843"/>
    <s v="Office Supplies"/>
    <s v="Cash"/>
    <n v="1"/>
    <x v="881"/>
  </r>
  <r>
    <x v="844"/>
    <x v="4"/>
    <d v="2025-04-26T00:00:00"/>
    <n v="2025"/>
    <s v="Q2"/>
    <n v="4"/>
    <s v="Apr"/>
    <n v="5"/>
    <n v="184.75"/>
    <x v="844"/>
    <s v="Office Supplies"/>
    <s v="Gift Card"/>
    <n v="3"/>
    <x v="882"/>
  </r>
  <r>
    <x v="845"/>
    <x v="1"/>
    <d v="2024-05-18T00:00:00"/>
    <n v="2024"/>
    <s v="Q2"/>
    <n v="5"/>
    <s v="May"/>
    <n v="2"/>
    <n v="638.03"/>
    <x v="845"/>
    <s v="Furniture"/>
    <s v="Cash"/>
    <n v="1"/>
    <x v="883"/>
  </r>
  <r>
    <x v="846"/>
    <x v="6"/>
    <d v="2023-04-03T00:00:00"/>
    <n v="2023"/>
    <s v="Q2"/>
    <n v="4"/>
    <s v="Apr"/>
    <n v="3"/>
    <n v="100.78"/>
    <x v="846"/>
    <s v="Furniture"/>
    <s v="Online"/>
    <n v="5"/>
    <x v="884"/>
  </r>
  <r>
    <x v="847"/>
    <x v="5"/>
    <d v="2025-02-03T00:00:00"/>
    <n v="2025"/>
    <s v="Q1"/>
    <n v="2"/>
    <s v="Feb"/>
    <n v="8"/>
    <n v="398.91"/>
    <x v="847"/>
    <s v="Office Supplies"/>
    <s v="Cash"/>
    <n v="1"/>
    <x v="885"/>
  </r>
  <r>
    <x v="848"/>
    <x v="1"/>
    <d v="2023-04-24T00:00:00"/>
    <n v="2023"/>
    <s v="Q2"/>
    <n v="4"/>
    <s v="Apr"/>
    <n v="6"/>
    <n v="525.79"/>
    <x v="848"/>
    <s v="Office Supplies"/>
    <s v="Cash"/>
    <n v="1"/>
    <x v="886"/>
  </r>
  <r>
    <x v="849"/>
    <x v="6"/>
    <d v="2023-07-13T00:00:00"/>
    <n v="2023"/>
    <s v="Q3"/>
    <n v="7"/>
    <s v="Jul"/>
    <n v="5"/>
    <n v="680.25"/>
    <x v="849"/>
    <s v="Furniture"/>
    <s v="Online"/>
    <n v="5"/>
    <x v="887"/>
  </r>
  <r>
    <x v="850"/>
    <x v="1"/>
    <d v="2024-07-14T00:00:00"/>
    <n v="2024"/>
    <s v="Q3"/>
    <n v="7"/>
    <s v="Jul"/>
    <n v="5"/>
    <n v="184.75"/>
    <x v="850"/>
    <s v="Office Supplies"/>
    <s v="Credit Card"/>
    <n v="5"/>
    <x v="882"/>
  </r>
  <r>
    <x v="851"/>
    <x v="6"/>
    <d v="2025-04-01T00:00:00"/>
    <n v="2025"/>
    <s v="Q2"/>
    <n v="4"/>
    <s v="Apr"/>
    <n v="7"/>
    <n v="751.55"/>
    <x v="851"/>
    <s v="Office Supplies"/>
    <s v="Online"/>
    <n v="5"/>
    <x v="888"/>
  </r>
  <r>
    <x v="852"/>
    <x v="0"/>
    <d v="2024-07-22T00:00:00"/>
    <n v="2024"/>
    <s v="Q3"/>
    <n v="7"/>
    <s v="Jul"/>
    <n v="4"/>
    <n v="692.94"/>
    <x v="852"/>
    <s v="Furniture"/>
    <s v="Credit Card"/>
    <n v="3"/>
    <x v="889"/>
  </r>
  <r>
    <x v="853"/>
    <x v="0"/>
    <d v="2024-11-15T00:00:00"/>
    <n v="2024"/>
    <s v="Q4"/>
    <n v="11"/>
    <s v="Nov"/>
    <n v="1"/>
    <n v="441.82"/>
    <x v="853"/>
    <s v="Office Supplies"/>
    <s v="Gift Card"/>
    <n v="4"/>
    <x v="890"/>
  </r>
  <r>
    <x v="854"/>
    <x v="0"/>
    <d v="2023-05-05T00:00:00"/>
    <n v="2023"/>
    <s v="Q2"/>
    <n v="5"/>
    <s v="May"/>
    <n v="6"/>
    <n v="541.99"/>
    <x v="854"/>
    <s v="Electronics"/>
    <s v="Debit Card"/>
    <n v="4"/>
    <x v="891"/>
  </r>
  <r>
    <x v="855"/>
    <x v="3"/>
    <d v="2024-02-14T00:00:00"/>
    <n v="2024"/>
    <s v="Q1"/>
    <n v="2"/>
    <s v="Feb"/>
    <n v="2"/>
    <n v="254.53"/>
    <x v="855"/>
    <s v="Electronics"/>
    <s v="Gift Card"/>
    <n v="1"/>
    <x v="892"/>
  </r>
  <r>
    <x v="856"/>
    <x v="4"/>
    <d v="2023-08-12T00:00:00"/>
    <n v="2023"/>
    <s v="Q3"/>
    <n v="8"/>
    <s v="Aug"/>
    <n v="5"/>
    <n v="497.12"/>
    <x v="856"/>
    <s v="Electronics"/>
    <s v="Debit Card"/>
    <n v="5"/>
    <x v="893"/>
  </r>
  <r>
    <x v="857"/>
    <x v="0"/>
    <d v="2024-03-15T00:00:00"/>
    <n v="2024"/>
    <s v="Q1"/>
    <n v="3"/>
    <s v="Mar"/>
    <n v="1"/>
    <n v="343.27"/>
    <x v="857"/>
    <s v="Office Supplies"/>
    <s v="Gift Card"/>
    <n v="3"/>
    <x v="894"/>
  </r>
  <r>
    <x v="858"/>
    <x v="5"/>
    <d v="2025-02-18T00:00:00"/>
    <n v="2025"/>
    <s v="Q1"/>
    <n v="2"/>
    <s v="Feb"/>
    <n v="6"/>
    <n v="347.73"/>
    <x v="858"/>
    <s v="Furniture"/>
    <s v="Online"/>
    <n v="1"/>
    <x v="895"/>
  </r>
  <r>
    <x v="859"/>
    <x v="0"/>
    <d v="2025-04-12T00:00:00"/>
    <n v="2025"/>
    <s v="Q2"/>
    <n v="4"/>
    <s v="Apr"/>
    <n v="3"/>
    <n v="610.49"/>
    <x v="859"/>
    <s v="Office Supplies"/>
    <s v="Debit Card"/>
    <n v="4"/>
    <x v="896"/>
  </r>
  <r>
    <x v="860"/>
    <x v="5"/>
    <d v="2023-03-18T00:00:00"/>
    <n v="2023"/>
    <s v="Q1"/>
    <n v="3"/>
    <s v="Mar"/>
    <n v="1"/>
    <n v="742.11"/>
    <x v="860"/>
    <s v="Office Supplies"/>
    <s v="Debit Card"/>
    <n v="4"/>
    <x v="897"/>
  </r>
  <r>
    <x v="861"/>
    <x v="6"/>
    <d v="2025-03-26T00:00:00"/>
    <n v="2025"/>
    <s v="Q1"/>
    <n v="3"/>
    <s v="Mar"/>
    <n v="1"/>
    <n v="22.9"/>
    <x v="861"/>
    <s v="Furniture"/>
    <s v="Gift Card"/>
    <n v="2"/>
    <x v="898"/>
  </r>
  <r>
    <x v="862"/>
    <x v="3"/>
    <d v="2023-03-31T00:00:00"/>
    <n v="2023"/>
    <s v="Q1"/>
    <n v="3"/>
    <s v="Mar"/>
    <n v="3"/>
    <n v="308.95"/>
    <x v="862"/>
    <s v="Office Supplies"/>
    <s v="Credit Card"/>
    <n v="1"/>
    <x v="899"/>
  </r>
  <r>
    <x v="863"/>
    <x v="3"/>
    <d v="2023-11-20T00:00:00"/>
    <n v="2023"/>
    <s v="Q4"/>
    <n v="11"/>
    <s v="Nov"/>
    <n v="7"/>
    <n v="210.35"/>
    <x v="863"/>
    <s v="Electronics"/>
    <s v="Cash"/>
    <n v="3"/>
    <x v="900"/>
  </r>
  <r>
    <x v="864"/>
    <x v="1"/>
    <d v="2025-05-11T00:00:00"/>
    <n v="2025"/>
    <s v="Q2"/>
    <n v="5"/>
    <s v="May"/>
    <n v="3"/>
    <n v="478.64"/>
    <x v="864"/>
    <s v="Furniture"/>
    <s v="Credit Card"/>
    <n v="3"/>
    <x v="901"/>
  </r>
  <r>
    <x v="865"/>
    <x v="2"/>
    <d v="2023-11-13T00:00:00"/>
    <n v="2023"/>
    <s v="Q4"/>
    <n v="11"/>
    <s v="Nov"/>
    <n v="6"/>
    <n v="660.84"/>
    <x v="865"/>
    <s v="Office Supplies"/>
    <s v="Debit Card"/>
    <n v="3"/>
    <x v="902"/>
  </r>
  <r>
    <x v="866"/>
    <x v="1"/>
    <d v="2024-11-11T00:00:00"/>
    <n v="2024"/>
    <s v="Q4"/>
    <n v="11"/>
    <s v="Nov"/>
    <n v="6"/>
    <n v="146.72"/>
    <x v="866"/>
    <s v="Furniture"/>
    <s v="Credit Card"/>
    <n v="4"/>
    <x v="903"/>
  </r>
  <r>
    <x v="867"/>
    <x v="5"/>
    <d v="2024-05-31T00:00:00"/>
    <n v="2024"/>
    <s v="Q2"/>
    <n v="5"/>
    <s v="May"/>
    <n v="2"/>
    <n v="612.89"/>
    <x v="867"/>
    <s v="Electronics"/>
    <s v="Gift Card"/>
    <n v="1"/>
    <x v="904"/>
  </r>
  <r>
    <x v="738"/>
    <x v="1"/>
    <d v="2024-07-18T00:00:00"/>
    <n v="2024"/>
    <s v="Q3"/>
    <n v="7"/>
    <s v="Jul"/>
    <n v="2"/>
    <n v="96.41"/>
    <x v="738"/>
    <s v="Office Supplies"/>
    <s v="Credit Card"/>
    <n v="2"/>
    <x v="905"/>
  </r>
  <r>
    <x v="868"/>
    <x v="5"/>
    <d v="2023-02-01T00:00:00"/>
    <n v="2023"/>
    <s v="Q1"/>
    <n v="2"/>
    <s v="Feb"/>
    <n v="4"/>
    <n v="185.82"/>
    <x v="868"/>
    <s v="Electronics"/>
    <s v="Online"/>
    <n v="3"/>
    <x v="906"/>
  </r>
  <r>
    <x v="107"/>
    <x v="6"/>
    <d v="2023-07-03T00:00:00"/>
    <n v="2023"/>
    <s v="Q3"/>
    <n v="7"/>
    <s v="Jul"/>
    <n v="4"/>
    <n v="386.84"/>
    <x v="107"/>
    <s v="Office Supplies"/>
    <s v="Cash"/>
    <n v="1"/>
    <x v="907"/>
  </r>
  <r>
    <x v="489"/>
    <x v="0"/>
    <d v="2024-09-30T00:00:00"/>
    <n v="2024"/>
    <s v="Q3"/>
    <n v="9"/>
    <s v="Sep"/>
    <n v="6"/>
    <n v="216.1"/>
    <x v="489"/>
    <s v="Office Supplies"/>
    <s v="Gift Card"/>
    <n v="3"/>
    <x v="908"/>
  </r>
  <r>
    <x v="869"/>
    <x v="5"/>
    <d v="2023-09-13T00:00:00"/>
    <n v="2023"/>
    <s v="Q3"/>
    <n v="9"/>
    <s v="Sep"/>
    <n v="8"/>
    <n v="159.15"/>
    <x v="869"/>
    <s v="Electronics"/>
    <s v="Online"/>
    <n v="5"/>
    <x v="909"/>
  </r>
  <r>
    <x v="475"/>
    <x v="3"/>
    <d v="2023-07-01T00:00:00"/>
    <n v="2023"/>
    <s v="Q3"/>
    <n v="7"/>
    <s v="Jul"/>
    <n v="2"/>
    <n v="581.6"/>
    <x v="475"/>
    <s v="Office Supplies"/>
    <s v="Gift Card"/>
    <n v="5"/>
    <x v="910"/>
  </r>
  <r>
    <x v="870"/>
    <x v="6"/>
    <d v="2023-04-23T00:00:00"/>
    <n v="2023"/>
    <s v="Q2"/>
    <n v="4"/>
    <s v="Apr"/>
    <n v="8"/>
    <n v="521.59"/>
    <x v="870"/>
    <s v="Electronics"/>
    <s v="Online"/>
    <n v="4"/>
    <x v="911"/>
  </r>
  <r>
    <x v="11"/>
    <x v="6"/>
    <d v="2024-05-07T00:00:00"/>
    <n v="2024"/>
    <s v="Q2"/>
    <n v="5"/>
    <s v="May"/>
    <n v="8"/>
    <n v="637.41999999999996"/>
    <x v="11"/>
    <s v="Furniture"/>
    <s v="Online"/>
    <n v="5"/>
    <x v="912"/>
  </r>
  <r>
    <x v="146"/>
    <x v="5"/>
    <d v="2023-09-30T00:00:00"/>
    <n v="2023"/>
    <s v="Q3"/>
    <n v="9"/>
    <s v="Sep"/>
    <n v="7"/>
    <n v="786.45"/>
    <x v="146"/>
    <s v="Office Supplies"/>
    <s v="Credit Card"/>
    <n v="4"/>
    <x v="913"/>
  </r>
  <r>
    <x v="871"/>
    <x v="2"/>
    <d v="2023-08-18T00:00:00"/>
    <n v="2023"/>
    <s v="Q3"/>
    <n v="8"/>
    <s v="Aug"/>
    <n v="5"/>
    <n v="154.47999999999999"/>
    <x v="871"/>
    <s v="Furniture"/>
    <s v="Credit Card"/>
    <n v="5"/>
    <x v="914"/>
  </r>
  <r>
    <x v="872"/>
    <x v="1"/>
    <d v="2025-06-05T00:00:00"/>
    <n v="2025"/>
    <s v="Q2"/>
    <n v="6"/>
    <s v="Jun"/>
    <n v="5"/>
    <n v="159"/>
    <x v="872"/>
    <s v="Electronics"/>
    <s v="Cash"/>
    <n v="5"/>
    <x v="915"/>
  </r>
  <r>
    <x v="873"/>
    <x v="0"/>
    <d v="2024-06-16T00:00:00"/>
    <n v="2024"/>
    <s v="Q2"/>
    <n v="6"/>
    <s v="Jun"/>
    <n v="6"/>
    <n v="330.64"/>
    <x v="873"/>
    <s v="Furniture"/>
    <s v="Debit Card"/>
    <n v="4"/>
    <x v="916"/>
  </r>
  <r>
    <x v="874"/>
    <x v="0"/>
    <d v="2023-01-09T00:00:00"/>
    <n v="2023"/>
    <s v="Q1"/>
    <n v="1"/>
    <s v="Jan"/>
    <n v="2"/>
    <n v="683.9"/>
    <x v="874"/>
    <s v="Electronics"/>
    <s v="Debit Card"/>
    <n v="3"/>
    <x v="917"/>
  </r>
  <r>
    <x v="875"/>
    <x v="1"/>
    <d v="2025-05-06T00:00:00"/>
    <n v="2025"/>
    <s v="Q2"/>
    <n v="5"/>
    <s v="May"/>
    <n v="5"/>
    <n v="9.8800000000000008"/>
    <x v="875"/>
    <s v="Office Supplies"/>
    <s v="Cash"/>
    <n v="5"/>
    <x v="918"/>
  </r>
  <r>
    <x v="876"/>
    <x v="5"/>
    <d v="2024-04-13T00:00:00"/>
    <n v="2024"/>
    <s v="Q2"/>
    <n v="4"/>
    <s v="Apr"/>
    <n v="2"/>
    <n v="650.49"/>
    <x v="876"/>
    <s v="Office Supplies"/>
    <s v="Online"/>
    <n v="3"/>
    <x v="919"/>
  </r>
  <r>
    <x v="817"/>
    <x v="4"/>
    <d v="2023-06-12T00:00:00"/>
    <n v="2023"/>
    <s v="Q2"/>
    <n v="6"/>
    <s v="Jun"/>
    <n v="8"/>
    <n v="652.61"/>
    <x v="817"/>
    <s v="Furniture"/>
    <s v="Gift Card"/>
    <n v="1"/>
    <x v="920"/>
  </r>
  <r>
    <x v="877"/>
    <x v="1"/>
    <d v="2023-11-29T00:00:00"/>
    <n v="2023"/>
    <s v="Q4"/>
    <n v="11"/>
    <s v="Nov"/>
    <n v="1"/>
    <n v="410.32"/>
    <x v="877"/>
    <s v="Furniture"/>
    <s v="Debit Card"/>
    <n v="5"/>
    <x v="921"/>
  </r>
  <r>
    <x v="878"/>
    <x v="0"/>
    <d v="2023-11-03T00:00:00"/>
    <n v="2023"/>
    <s v="Q4"/>
    <n v="11"/>
    <s v="Nov"/>
    <n v="7"/>
    <n v="547.1"/>
    <x v="878"/>
    <s v="Office Supplies"/>
    <s v="Debit Card"/>
    <n v="2"/>
    <x v="922"/>
  </r>
  <r>
    <x v="879"/>
    <x v="0"/>
    <d v="2025-06-19T00:00:00"/>
    <n v="2025"/>
    <s v="Q2"/>
    <n v="6"/>
    <s v="Jun"/>
    <n v="8"/>
    <n v="113.63"/>
    <x v="879"/>
    <s v="Electronics"/>
    <s v="Online"/>
    <n v="3"/>
    <x v="923"/>
  </r>
  <r>
    <x v="880"/>
    <x v="3"/>
    <d v="2025-02-06T00:00:00"/>
    <n v="2025"/>
    <s v="Q1"/>
    <n v="2"/>
    <s v="Feb"/>
    <n v="7"/>
    <n v="10.14"/>
    <x v="880"/>
    <s v="Office Supplies"/>
    <s v="Online"/>
    <n v="4"/>
    <x v="924"/>
  </r>
  <r>
    <x v="881"/>
    <x v="3"/>
    <d v="2023-04-17T00:00:00"/>
    <n v="2023"/>
    <s v="Q2"/>
    <n v="4"/>
    <s v="Apr"/>
    <n v="4"/>
    <n v="448.03"/>
    <x v="881"/>
    <s v="Office Supplies"/>
    <s v="Gift Card"/>
    <n v="2"/>
    <x v="925"/>
  </r>
  <r>
    <x v="882"/>
    <x v="2"/>
    <d v="2024-06-06T00:00:00"/>
    <n v="2024"/>
    <s v="Q2"/>
    <n v="6"/>
    <s v="Jun"/>
    <n v="8"/>
    <n v="621.75"/>
    <x v="882"/>
    <s v="Office Supplies"/>
    <s v="Cash"/>
    <n v="2"/>
    <x v="926"/>
  </r>
  <r>
    <x v="883"/>
    <x v="1"/>
    <d v="2023-09-25T00:00:00"/>
    <n v="2023"/>
    <s v="Q3"/>
    <n v="9"/>
    <s v="Sep"/>
    <n v="6"/>
    <n v="634.28"/>
    <x v="883"/>
    <s v="Electronics"/>
    <s v="Debit Card"/>
    <n v="5"/>
    <x v="927"/>
  </r>
  <r>
    <x v="884"/>
    <x v="0"/>
    <d v="2024-12-07T00:00:00"/>
    <n v="2024"/>
    <s v="Q4"/>
    <n v="12"/>
    <s v="Dec"/>
    <n v="8"/>
    <n v="470.4"/>
    <x v="884"/>
    <s v="Electronics"/>
    <s v="Credit Card"/>
    <n v="2"/>
    <x v="928"/>
  </r>
  <r>
    <x v="885"/>
    <x v="4"/>
    <d v="2025-01-18T00:00:00"/>
    <n v="2025"/>
    <s v="Q1"/>
    <n v="1"/>
    <s v="Jan"/>
    <n v="7"/>
    <n v="285.35000000000002"/>
    <x v="885"/>
    <s v="Office Supplies"/>
    <s v="Credit Card"/>
    <n v="1"/>
    <x v="929"/>
  </r>
  <r>
    <x v="886"/>
    <x v="2"/>
    <d v="2024-01-12T00:00:00"/>
    <n v="2024"/>
    <s v="Q1"/>
    <n v="1"/>
    <s v="Jan"/>
    <n v="3"/>
    <n v="80.7"/>
    <x v="886"/>
    <s v="Furniture"/>
    <s v="Debit Card"/>
    <n v="1"/>
    <x v="930"/>
  </r>
  <r>
    <x v="887"/>
    <x v="1"/>
    <d v="2025-05-16T00:00:00"/>
    <n v="2025"/>
    <s v="Q2"/>
    <n v="5"/>
    <s v="May"/>
    <n v="2"/>
    <n v="134.49"/>
    <x v="887"/>
    <s v="Furniture"/>
    <s v="Credit Card"/>
    <n v="5"/>
    <x v="931"/>
  </r>
  <r>
    <x v="888"/>
    <x v="6"/>
    <d v="2025-05-26T00:00:00"/>
    <n v="2025"/>
    <s v="Q2"/>
    <n v="5"/>
    <s v="May"/>
    <n v="6"/>
    <n v="427.49"/>
    <x v="888"/>
    <s v="Office Supplies"/>
    <s v="Credit Card"/>
    <n v="2"/>
    <x v="932"/>
  </r>
  <r>
    <x v="889"/>
    <x v="4"/>
    <d v="2024-09-06T00:00:00"/>
    <n v="2024"/>
    <s v="Q3"/>
    <n v="9"/>
    <s v="Sep"/>
    <n v="2"/>
    <n v="388.43"/>
    <x v="889"/>
    <s v="Furniture"/>
    <s v="Credit Card"/>
    <n v="4"/>
    <x v="933"/>
  </r>
  <r>
    <x v="890"/>
    <x v="2"/>
    <d v="2023-11-08T00:00:00"/>
    <n v="2023"/>
    <s v="Q4"/>
    <n v="11"/>
    <s v="Nov"/>
    <n v="2"/>
    <n v="449.21"/>
    <x v="890"/>
    <s v="Furniture"/>
    <s v="Debit Card"/>
    <n v="4"/>
    <x v="934"/>
  </r>
  <r>
    <x v="891"/>
    <x v="1"/>
    <d v="2025-01-21T00:00:00"/>
    <n v="2025"/>
    <s v="Q1"/>
    <n v="1"/>
    <s v="Jan"/>
    <n v="3"/>
    <n v="7.63"/>
    <x v="891"/>
    <s v="Electronics"/>
    <s v="Debit Card"/>
    <n v="3"/>
    <x v="935"/>
  </r>
  <r>
    <x v="892"/>
    <x v="6"/>
    <d v="2023-04-07T00:00:00"/>
    <n v="2023"/>
    <s v="Q2"/>
    <n v="4"/>
    <s v="Apr"/>
    <n v="3"/>
    <n v="96.85"/>
    <x v="892"/>
    <s v="Furniture"/>
    <s v="Cash"/>
    <n v="4"/>
    <x v="936"/>
  </r>
  <r>
    <x v="893"/>
    <x v="4"/>
    <d v="2024-06-19T00:00:00"/>
    <n v="2024"/>
    <s v="Q2"/>
    <n v="6"/>
    <s v="Jun"/>
    <n v="3"/>
    <n v="783.65"/>
    <x v="893"/>
    <s v="Office Supplies"/>
    <s v="Cash"/>
    <n v="2"/>
    <x v="937"/>
  </r>
  <r>
    <x v="894"/>
    <x v="2"/>
    <d v="2023-01-14T00:00:00"/>
    <n v="2023"/>
    <s v="Q1"/>
    <n v="1"/>
    <s v="Jan"/>
    <n v="4"/>
    <n v="566.23"/>
    <x v="894"/>
    <s v="Furniture"/>
    <s v="Credit Card"/>
    <n v="3"/>
    <x v="938"/>
  </r>
  <r>
    <x v="895"/>
    <x v="3"/>
    <d v="2023-06-11T00:00:00"/>
    <n v="2023"/>
    <s v="Q2"/>
    <n v="6"/>
    <s v="Jun"/>
    <n v="3"/>
    <n v="120.53"/>
    <x v="895"/>
    <s v="Furniture"/>
    <s v="Online"/>
    <n v="5"/>
    <x v="939"/>
  </r>
  <r>
    <x v="896"/>
    <x v="1"/>
    <d v="2023-02-09T00:00:00"/>
    <n v="2023"/>
    <s v="Q1"/>
    <n v="2"/>
    <s v="Feb"/>
    <n v="1"/>
    <n v="499.22"/>
    <x v="896"/>
    <s v="Electronics"/>
    <s v="Cash"/>
    <n v="1"/>
    <x v="940"/>
  </r>
  <r>
    <x v="366"/>
    <x v="1"/>
    <d v="2025-05-20T00:00:00"/>
    <n v="2025"/>
    <s v="Q2"/>
    <n v="5"/>
    <s v="May"/>
    <n v="8"/>
    <n v="363.25"/>
    <x v="366"/>
    <s v="Furniture"/>
    <s v="Gift Card"/>
    <n v="3"/>
    <x v="941"/>
  </r>
  <r>
    <x v="897"/>
    <x v="6"/>
    <d v="2023-12-21T00:00:00"/>
    <n v="2023"/>
    <s v="Q4"/>
    <n v="12"/>
    <s v="Dec"/>
    <n v="6"/>
    <n v="684.42"/>
    <x v="897"/>
    <s v="Electronics"/>
    <s v="Cash"/>
    <n v="3"/>
    <x v="942"/>
  </r>
  <r>
    <x v="632"/>
    <x v="6"/>
    <d v="2024-11-28T00:00:00"/>
    <n v="2024"/>
    <s v="Q4"/>
    <n v="11"/>
    <s v="Nov"/>
    <n v="6"/>
    <n v="416.2"/>
    <x v="632"/>
    <s v="Office Supplies"/>
    <s v="Cash"/>
    <n v="3"/>
    <x v="943"/>
  </r>
  <r>
    <x v="898"/>
    <x v="0"/>
    <d v="2025-02-13T00:00:00"/>
    <n v="2025"/>
    <s v="Q1"/>
    <n v="2"/>
    <s v="Feb"/>
    <n v="7"/>
    <n v="536.13"/>
    <x v="898"/>
    <s v="Electronics"/>
    <s v="Online"/>
    <n v="1"/>
    <x v="944"/>
  </r>
  <r>
    <x v="899"/>
    <x v="4"/>
    <d v="2024-02-20T00:00:00"/>
    <n v="2024"/>
    <s v="Q1"/>
    <n v="2"/>
    <s v="Feb"/>
    <n v="4"/>
    <n v="606.22"/>
    <x v="899"/>
    <s v="Electronics"/>
    <s v="Online"/>
    <n v="3"/>
    <x v="945"/>
  </r>
  <r>
    <x v="900"/>
    <x v="4"/>
    <d v="2023-02-22T00:00:00"/>
    <n v="2023"/>
    <s v="Q1"/>
    <n v="2"/>
    <s v="Feb"/>
    <n v="8"/>
    <n v="165.92"/>
    <x v="900"/>
    <s v="Office Supplies"/>
    <s v="Online"/>
    <n v="1"/>
    <x v="946"/>
  </r>
  <r>
    <x v="901"/>
    <x v="5"/>
    <d v="2025-01-04T00:00:00"/>
    <n v="2025"/>
    <s v="Q1"/>
    <n v="1"/>
    <s v="Jan"/>
    <n v="8"/>
    <n v="777.8"/>
    <x v="901"/>
    <s v="Office Supplies"/>
    <s v="Cash"/>
    <n v="3"/>
    <x v="947"/>
  </r>
  <r>
    <x v="902"/>
    <x v="3"/>
    <d v="2025-01-28T00:00:00"/>
    <n v="2025"/>
    <s v="Q1"/>
    <n v="1"/>
    <s v="Jan"/>
    <n v="1"/>
    <n v="167.38"/>
    <x v="902"/>
    <s v="Electronics"/>
    <s v="Cash"/>
    <n v="5"/>
    <x v="948"/>
  </r>
  <r>
    <x v="903"/>
    <x v="5"/>
    <d v="2024-01-20T00:00:00"/>
    <n v="2024"/>
    <s v="Q1"/>
    <n v="1"/>
    <s v="Jan"/>
    <n v="6"/>
    <n v="706.16"/>
    <x v="903"/>
    <s v="Office Supplies"/>
    <s v="Credit Card"/>
    <n v="2"/>
    <x v="949"/>
  </r>
  <r>
    <x v="904"/>
    <x v="0"/>
    <d v="2023-08-19T00:00:00"/>
    <n v="2023"/>
    <s v="Q3"/>
    <n v="8"/>
    <s v="Aug"/>
    <n v="4"/>
    <n v="517.12"/>
    <x v="904"/>
    <s v="Electronics"/>
    <s v="Cash"/>
    <n v="3"/>
    <x v="950"/>
  </r>
  <r>
    <x v="905"/>
    <x v="0"/>
    <d v="2023-03-19T00:00:00"/>
    <n v="2023"/>
    <s v="Q1"/>
    <n v="3"/>
    <s v="Mar"/>
    <n v="6"/>
    <n v="441.69"/>
    <x v="905"/>
    <s v="Furniture"/>
    <s v="Gift Card"/>
    <n v="3"/>
    <x v="951"/>
  </r>
  <r>
    <x v="906"/>
    <x v="5"/>
    <d v="2024-01-04T00:00:00"/>
    <n v="2024"/>
    <s v="Q1"/>
    <n v="1"/>
    <s v="Jan"/>
    <n v="3"/>
    <n v="275.93"/>
    <x v="906"/>
    <s v="Electronics"/>
    <s v="Cash"/>
    <n v="4"/>
    <x v="952"/>
  </r>
  <r>
    <x v="907"/>
    <x v="4"/>
    <d v="2023-05-20T00:00:00"/>
    <n v="2023"/>
    <s v="Q2"/>
    <n v="5"/>
    <s v="May"/>
    <n v="3"/>
    <n v="63.43"/>
    <x v="907"/>
    <s v="Electronics"/>
    <s v="Debit Card"/>
    <n v="2"/>
    <x v="953"/>
  </r>
  <r>
    <x v="908"/>
    <x v="0"/>
    <d v="2025-02-01T00:00:00"/>
    <n v="2025"/>
    <s v="Q1"/>
    <n v="2"/>
    <s v="Feb"/>
    <n v="1"/>
    <n v="631.80999999999995"/>
    <x v="908"/>
    <s v="Furniture"/>
    <s v="Credit Card"/>
    <n v="3"/>
    <x v="954"/>
  </r>
  <r>
    <x v="909"/>
    <x v="2"/>
    <d v="2023-08-08T00:00:00"/>
    <n v="2023"/>
    <s v="Q3"/>
    <n v="8"/>
    <s v="Aug"/>
    <n v="6"/>
    <n v="658.7"/>
    <x v="909"/>
    <s v="Electronics"/>
    <s v="Credit Card"/>
    <n v="2"/>
    <x v="955"/>
  </r>
  <r>
    <x v="910"/>
    <x v="0"/>
    <d v="2023-02-24T00:00:00"/>
    <n v="2023"/>
    <s v="Q1"/>
    <n v="2"/>
    <s v="Feb"/>
    <n v="7"/>
    <n v="607.38"/>
    <x v="910"/>
    <s v="Electronics"/>
    <s v="Debit Card"/>
    <n v="1"/>
    <x v="956"/>
  </r>
  <r>
    <x v="911"/>
    <x v="0"/>
    <d v="2024-07-18T00:00:00"/>
    <n v="2024"/>
    <s v="Q3"/>
    <n v="7"/>
    <s v="Jul"/>
    <n v="7"/>
    <n v="509.99"/>
    <x v="911"/>
    <s v="Office Supplies"/>
    <s v="Credit Card"/>
    <n v="1"/>
    <x v="957"/>
  </r>
  <r>
    <x v="912"/>
    <x v="4"/>
    <d v="2024-01-31T00:00:00"/>
    <n v="2024"/>
    <s v="Q1"/>
    <n v="1"/>
    <s v="Jan"/>
    <n v="2"/>
    <n v="555.65"/>
    <x v="912"/>
    <s v="Furniture"/>
    <s v="Online"/>
    <n v="5"/>
    <x v="958"/>
  </r>
  <r>
    <x v="913"/>
    <x v="6"/>
    <d v="2024-03-25T00:00:00"/>
    <n v="2024"/>
    <s v="Q1"/>
    <n v="3"/>
    <s v="Mar"/>
    <n v="1"/>
    <n v="122.52"/>
    <x v="913"/>
    <s v="Furniture"/>
    <s v="Debit Card"/>
    <n v="4"/>
    <x v="959"/>
  </r>
  <r>
    <x v="914"/>
    <x v="3"/>
    <d v="2023-01-19T00:00:00"/>
    <n v="2023"/>
    <s v="Q1"/>
    <n v="1"/>
    <s v="Jan"/>
    <n v="6"/>
    <n v="60.9"/>
    <x v="914"/>
    <s v="Electronics"/>
    <s v="Gift Card"/>
    <n v="4"/>
    <x v="960"/>
  </r>
  <r>
    <x v="915"/>
    <x v="4"/>
    <d v="2023-02-25T00:00:00"/>
    <n v="2023"/>
    <s v="Q1"/>
    <n v="2"/>
    <s v="Feb"/>
    <n v="1"/>
    <n v="234.79"/>
    <x v="915"/>
    <s v="Electronics"/>
    <s v="Debit Card"/>
    <n v="5"/>
    <x v="961"/>
  </r>
  <r>
    <x v="916"/>
    <x v="3"/>
    <d v="2023-03-20T00:00:00"/>
    <n v="2023"/>
    <s v="Q1"/>
    <n v="3"/>
    <s v="Mar"/>
    <n v="6"/>
    <n v="158.22999999999999"/>
    <x v="916"/>
    <s v="Electronics"/>
    <s v="Cash"/>
    <n v="4"/>
    <x v="962"/>
  </r>
  <r>
    <x v="917"/>
    <x v="6"/>
    <d v="2025-06-20T00:00:00"/>
    <n v="2025"/>
    <s v="Q2"/>
    <n v="6"/>
    <s v="Jun"/>
    <n v="1"/>
    <n v="450.66"/>
    <x v="917"/>
    <s v="Furniture"/>
    <s v="Cash"/>
    <n v="1"/>
    <x v="963"/>
  </r>
  <r>
    <x v="918"/>
    <x v="5"/>
    <d v="2023-09-23T00:00:00"/>
    <n v="2023"/>
    <s v="Q3"/>
    <n v="9"/>
    <s v="Sep"/>
    <n v="2"/>
    <n v="69.97"/>
    <x v="918"/>
    <s v="Electronics"/>
    <s v="Online"/>
    <n v="5"/>
    <x v="964"/>
  </r>
  <r>
    <x v="919"/>
    <x v="0"/>
    <d v="2024-03-13T00:00:00"/>
    <n v="2024"/>
    <s v="Q1"/>
    <n v="3"/>
    <s v="Mar"/>
    <n v="4"/>
    <n v="778.86"/>
    <x v="919"/>
    <s v="Electronics"/>
    <s v="Online"/>
    <n v="5"/>
    <x v="965"/>
  </r>
  <r>
    <x v="920"/>
    <x v="4"/>
    <d v="2025-01-03T00:00:00"/>
    <n v="2025"/>
    <s v="Q1"/>
    <n v="1"/>
    <s v="Jan"/>
    <n v="7"/>
    <n v="383.36"/>
    <x v="920"/>
    <s v="Office Supplies"/>
    <s v="Debit Card"/>
    <n v="4"/>
    <x v="966"/>
  </r>
  <r>
    <x v="921"/>
    <x v="5"/>
    <d v="2024-11-05T00:00:00"/>
    <n v="2024"/>
    <s v="Q4"/>
    <n v="11"/>
    <s v="Nov"/>
    <n v="7"/>
    <n v="487.31"/>
    <x v="921"/>
    <s v="Electronics"/>
    <s v="Cash"/>
    <n v="3"/>
    <x v="967"/>
  </r>
  <r>
    <x v="922"/>
    <x v="4"/>
    <d v="2024-10-17T00:00:00"/>
    <n v="2024"/>
    <s v="Q4"/>
    <n v="10"/>
    <s v="Oct"/>
    <n v="5"/>
    <n v="389.98"/>
    <x v="922"/>
    <s v="Furniture"/>
    <s v="Gift Card"/>
    <n v="3"/>
    <x v="968"/>
  </r>
  <r>
    <x v="764"/>
    <x v="0"/>
    <d v="2025-03-23T00:00:00"/>
    <n v="2025"/>
    <s v="Q1"/>
    <n v="3"/>
    <s v="Mar"/>
    <n v="4"/>
    <n v="184.5"/>
    <x v="764"/>
    <s v="Furniture"/>
    <s v="Online"/>
    <n v="3"/>
    <x v="969"/>
  </r>
  <r>
    <x v="923"/>
    <x v="3"/>
    <d v="2024-03-14T00:00:00"/>
    <n v="2024"/>
    <s v="Q1"/>
    <n v="3"/>
    <s v="Mar"/>
    <n v="7"/>
    <n v="303.18"/>
    <x v="923"/>
    <s v="Office Supplies"/>
    <s v="Cash"/>
    <n v="2"/>
    <x v="970"/>
  </r>
  <r>
    <x v="924"/>
    <x v="5"/>
    <d v="2023-11-09T00:00:00"/>
    <n v="2023"/>
    <s v="Q4"/>
    <n v="11"/>
    <s v="Nov"/>
    <n v="2"/>
    <n v="84.22"/>
    <x v="924"/>
    <s v="Furniture"/>
    <s v="Debit Card"/>
    <n v="4"/>
    <x v="971"/>
  </r>
  <r>
    <x v="925"/>
    <x v="6"/>
    <d v="2024-08-21T00:00:00"/>
    <n v="2024"/>
    <s v="Q3"/>
    <n v="8"/>
    <s v="Aug"/>
    <n v="8"/>
    <n v="665.91"/>
    <x v="925"/>
    <s v="Furniture"/>
    <s v="Debit Card"/>
    <n v="4"/>
    <x v="972"/>
  </r>
  <r>
    <x v="926"/>
    <x v="2"/>
    <d v="2024-01-25T00:00:00"/>
    <n v="2024"/>
    <s v="Q1"/>
    <n v="1"/>
    <s v="Jan"/>
    <n v="8"/>
    <n v="326.48"/>
    <x v="926"/>
    <s v="Furniture"/>
    <s v="Credit Card"/>
    <n v="5"/>
    <x v="973"/>
  </r>
  <r>
    <x v="927"/>
    <x v="1"/>
    <d v="2025-02-15T00:00:00"/>
    <n v="2025"/>
    <s v="Q1"/>
    <n v="2"/>
    <s v="Feb"/>
    <n v="6"/>
    <n v="342"/>
    <x v="927"/>
    <s v="Electronics"/>
    <s v="Cash"/>
    <n v="5"/>
    <x v="974"/>
  </r>
  <r>
    <x v="928"/>
    <x v="3"/>
    <d v="2024-01-24T00:00:00"/>
    <n v="2024"/>
    <s v="Q1"/>
    <n v="1"/>
    <s v="Jan"/>
    <n v="6"/>
    <n v="183.17"/>
    <x v="928"/>
    <s v="Furniture"/>
    <s v="Credit Card"/>
    <n v="3"/>
    <x v="975"/>
  </r>
  <r>
    <x v="929"/>
    <x v="6"/>
    <d v="2023-02-22T00:00:00"/>
    <n v="2023"/>
    <s v="Q1"/>
    <n v="2"/>
    <s v="Feb"/>
    <n v="3"/>
    <n v="177.94"/>
    <x v="929"/>
    <s v="Furniture"/>
    <s v="Credit Card"/>
    <n v="3"/>
    <x v="976"/>
  </r>
  <r>
    <x v="930"/>
    <x v="2"/>
    <d v="2024-05-02T00:00:00"/>
    <n v="2024"/>
    <s v="Q2"/>
    <n v="5"/>
    <s v="May"/>
    <n v="5"/>
    <n v="775.79"/>
    <x v="930"/>
    <s v="Office Supplies"/>
    <s v="Online"/>
    <n v="4"/>
    <x v="977"/>
  </r>
  <r>
    <x v="931"/>
    <x v="5"/>
    <d v="2024-06-28T00:00:00"/>
    <n v="2024"/>
    <s v="Q2"/>
    <n v="6"/>
    <s v="Jun"/>
    <n v="6"/>
    <n v="505.37"/>
    <x v="931"/>
    <s v="Electronics"/>
    <s v="Debit Card"/>
    <n v="2"/>
    <x v="978"/>
  </r>
  <r>
    <x v="932"/>
    <x v="6"/>
    <d v="2023-10-06T00:00:00"/>
    <n v="2023"/>
    <s v="Q4"/>
    <n v="10"/>
    <s v="Oct"/>
    <n v="2"/>
    <n v="317.70999999999998"/>
    <x v="932"/>
    <s v="Office Supplies"/>
    <s v="Gift Card"/>
    <n v="5"/>
    <x v="979"/>
  </r>
  <r>
    <x v="933"/>
    <x v="0"/>
    <d v="2024-03-08T00:00:00"/>
    <n v="2024"/>
    <s v="Q1"/>
    <n v="3"/>
    <s v="Mar"/>
    <n v="7"/>
    <n v="688.23"/>
    <x v="933"/>
    <s v="Electronics"/>
    <s v="Cash"/>
    <n v="5"/>
    <x v="980"/>
  </r>
  <r>
    <x v="934"/>
    <x v="4"/>
    <d v="2025-01-10T00:00:00"/>
    <n v="2025"/>
    <s v="Q1"/>
    <n v="1"/>
    <s v="Jan"/>
    <n v="7"/>
    <n v="766.99"/>
    <x v="934"/>
    <s v="Office Supplies"/>
    <s v="Credit Card"/>
    <n v="4"/>
    <x v="981"/>
  </r>
  <r>
    <x v="935"/>
    <x v="2"/>
    <d v="2024-12-25T00:00:00"/>
    <n v="2024"/>
    <s v="Q4"/>
    <n v="12"/>
    <s v="Dec"/>
    <n v="6"/>
    <n v="407.58"/>
    <x v="935"/>
    <s v="Electronics"/>
    <s v="Cash"/>
    <n v="4"/>
    <x v="982"/>
  </r>
  <r>
    <x v="936"/>
    <x v="3"/>
    <d v="2024-03-12T00:00:00"/>
    <n v="2024"/>
    <s v="Q1"/>
    <n v="3"/>
    <s v="Mar"/>
    <n v="3"/>
    <n v="429.9"/>
    <x v="936"/>
    <s v="Electronics"/>
    <s v="Gift Card"/>
    <n v="5"/>
    <x v="983"/>
  </r>
  <r>
    <x v="937"/>
    <x v="4"/>
    <d v="2023-12-17T00:00:00"/>
    <n v="2023"/>
    <s v="Q4"/>
    <n v="12"/>
    <s v="Dec"/>
    <n v="8"/>
    <n v="600.54999999999995"/>
    <x v="937"/>
    <s v="Electronics"/>
    <s v="Cash"/>
    <n v="4"/>
    <x v="984"/>
  </r>
  <r>
    <x v="938"/>
    <x v="0"/>
    <d v="2023-05-26T00:00:00"/>
    <n v="2023"/>
    <s v="Q2"/>
    <n v="5"/>
    <s v="May"/>
    <n v="5"/>
    <n v="254.14"/>
    <x v="938"/>
    <s v="Electronics"/>
    <s v="Credit Card"/>
    <n v="3"/>
    <x v="985"/>
  </r>
  <r>
    <x v="939"/>
    <x v="4"/>
    <d v="2023-12-02T00:00:00"/>
    <n v="2023"/>
    <s v="Q4"/>
    <n v="12"/>
    <s v="Dec"/>
    <n v="7"/>
    <n v="523.87"/>
    <x v="939"/>
    <s v="Furniture"/>
    <s v="Debit Card"/>
    <n v="5"/>
    <x v="986"/>
  </r>
  <r>
    <x v="940"/>
    <x v="2"/>
    <d v="2023-03-03T00:00:00"/>
    <n v="2023"/>
    <s v="Q1"/>
    <n v="3"/>
    <s v="Mar"/>
    <n v="5"/>
    <n v="317.99"/>
    <x v="940"/>
    <s v="Electronics"/>
    <s v="Gift Card"/>
    <n v="4"/>
    <x v="987"/>
  </r>
  <r>
    <x v="941"/>
    <x v="0"/>
    <d v="2024-12-30T00:00:00"/>
    <n v="2024"/>
    <s v="Q4"/>
    <n v="12"/>
    <s v="Dec"/>
    <n v="5"/>
    <n v="11.95"/>
    <x v="941"/>
    <s v="Electronics"/>
    <s v="Cash"/>
    <n v="5"/>
    <x v="988"/>
  </r>
  <r>
    <x v="942"/>
    <x v="0"/>
    <d v="2024-10-05T00:00:00"/>
    <n v="2024"/>
    <s v="Q4"/>
    <n v="10"/>
    <s v="Oct"/>
    <n v="7"/>
    <n v="192.85"/>
    <x v="942"/>
    <s v="Furniture"/>
    <s v="Debit Card"/>
    <n v="1"/>
    <x v="989"/>
  </r>
  <r>
    <x v="943"/>
    <x v="5"/>
    <d v="2024-08-31T00:00:00"/>
    <n v="2024"/>
    <s v="Q3"/>
    <n v="8"/>
    <s v="Aug"/>
    <n v="5"/>
    <n v="136.72999999999999"/>
    <x v="943"/>
    <s v="Office Supplies"/>
    <s v="Credit Card"/>
    <n v="4"/>
    <x v="990"/>
  </r>
  <r>
    <x v="944"/>
    <x v="0"/>
    <d v="2025-04-06T00:00:00"/>
    <n v="2025"/>
    <s v="Q2"/>
    <n v="4"/>
    <s v="Apr"/>
    <n v="4"/>
    <n v="501.22"/>
    <x v="944"/>
    <s v="Furniture"/>
    <s v="Cash"/>
    <n v="4"/>
    <x v="991"/>
  </r>
  <r>
    <x v="945"/>
    <x v="6"/>
    <d v="2024-08-24T00:00:00"/>
    <n v="2024"/>
    <s v="Q3"/>
    <n v="8"/>
    <s v="Aug"/>
    <n v="6"/>
    <n v="445.51"/>
    <x v="945"/>
    <s v="Office Supplies"/>
    <s v="Debit Card"/>
    <n v="2"/>
    <x v="992"/>
  </r>
  <r>
    <x v="946"/>
    <x v="5"/>
    <d v="2024-02-22T00:00:00"/>
    <n v="2024"/>
    <s v="Q1"/>
    <n v="2"/>
    <s v="Feb"/>
    <n v="6"/>
    <n v="55.46"/>
    <x v="946"/>
    <s v="Office Supplies"/>
    <s v="Debit Card"/>
    <n v="3"/>
    <x v="993"/>
  </r>
  <r>
    <x v="757"/>
    <x v="0"/>
    <d v="2025-03-23T00:00:00"/>
    <n v="2025"/>
    <s v="Q1"/>
    <n v="3"/>
    <s v="Mar"/>
    <n v="1"/>
    <n v="592.98"/>
    <x v="757"/>
    <s v="Furniture"/>
    <s v="Debit Card"/>
    <n v="4"/>
    <x v="994"/>
  </r>
  <r>
    <x v="947"/>
    <x v="2"/>
    <d v="2023-08-18T00:00:00"/>
    <n v="2023"/>
    <s v="Q3"/>
    <n v="8"/>
    <s v="Aug"/>
    <n v="7"/>
    <n v="591.5"/>
    <x v="947"/>
    <s v="Electronics"/>
    <s v="Gift Card"/>
    <n v="5"/>
    <x v="995"/>
  </r>
  <r>
    <x v="948"/>
    <x v="3"/>
    <d v="2025-03-23T00:00:00"/>
    <n v="2025"/>
    <s v="Q1"/>
    <n v="3"/>
    <s v="Mar"/>
    <n v="5"/>
    <n v="486.12"/>
    <x v="948"/>
    <s v="Electronics"/>
    <s v="Credit Card"/>
    <n v="5"/>
    <x v="996"/>
  </r>
  <r>
    <x v="949"/>
    <x v="6"/>
    <d v="2023-04-12T00:00:00"/>
    <n v="2023"/>
    <s v="Q2"/>
    <n v="4"/>
    <s v="Apr"/>
    <n v="7"/>
    <n v="617.02"/>
    <x v="949"/>
    <s v="Office Supplies"/>
    <s v="Credit Card"/>
    <n v="2"/>
    <x v="997"/>
  </r>
  <r>
    <x v="950"/>
    <x v="1"/>
    <d v="2024-09-19T00:00:00"/>
    <n v="2024"/>
    <s v="Q3"/>
    <n v="9"/>
    <s v="Sep"/>
    <n v="8"/>
    <n v="72.209999999999994"/>
    <x v="950"/>
    <s v="Electronics"/>
    <s v="Debit Card"/>
    <n v="4"/>
    <x v="998"/>
  </r>
  <r>
    <x v="951"/>
    <x v="5"/>
    <d v="2024-09-11T00:00:00"/>
    <n v="2024"/>
    <s v="Q3"/>
    <n v="9"/>
    <s v="Sep"/>
    <n v="5"/>
    <n v="454.21"/>
    <x v="951"/>
    <s v="Electronics"/>
    <s v="Credit Card"/>
    <n v="1"/>
    <x v="999"/>
  </r>
  <r>
    <x v="952"/>
    <x v="5"/>
    <d v="2025-05-18T00:00:00"/>
    <n v="2025"/>
    <s v="Q2"/>
    <n v="5"/>
    <s v="May"/>
    <n v="4"/>
    <n v="69.53"/>
    <x v="952"/>
    <s v="Furniture"/>
    <s v="Debit Card"/>
    <n v="3"/>
    <x v="1000"/>
  </r>
  <r>
    <x v="953"/>
    <x v="2"/>
    <d v="2024-02-23T00:00:00"/>
    <n v="2024"/>
    <s v="Q1"/>
    <n v="2"/>
    <s v="Feb"/>
    <n v="7"/>
    <n v="608.99"/>
    <x v="953"/>
    <s v="Office Supplies"/>
    <s v="Debit Card"/>
    <n v="5"/>
    <x v="1001"/>
  </r>
  <r>
    <x v="954"/>
    <x v="1"/>
    <d v="2023-04-26T00:00:00"/>
    <n v="2023"/>
    <s v="Q2"/>
    <n v="4"/>
    <s v="Apr"/>
    <n v="4"/>
    <n v="734.98"/>
    <x v="954"/>
    <s v="Office Supplies"/>
    <s v="Gift Card"/>
    <n v="3"/>
    <x v="1002"/>
  </r>
  <r>
    <x v="109"/>
    <x v="2"/>
    <d v="2024-09-11T00:00:00"/>
    <n v="2024"/>
    <s v="Q3"/>
    <n v="9"/>
    <s v="Sep"/>
    <n v="8"/>
    <n v="571.33000000000004"/>
    <x v="109"/>
    <s v="Furniture"/>
    <s v="Cash"/>
    <n v="2"/>
    <x v="1003"/>
  </r>
  <r>
    <x v="955"/>
    <x v="1"/>
    <d v="2023-02-20T00:00:00"/>
    <n v="2023"/>
    <s v="Q1"/>
    <n v="2"/>
    <s v="Feb"/>
    <n v="5"/>
    <n v="287.26"/>
    <x v="955"/>
    <s v="Electronics"/>
    <s v="Gift Card"/>
    <n v="1"/>
    <x v="1004"/>
  </r>
  <r>
    <x v="956"/>
    <x v="5"/>
    <d v="2024-10-26T00:00:00"/>
    <n v="2024"/>
    <s v="Q4"/>
    <n v="10"/>
    <s v="Oct"/>
    <n v="2"/>
    <n v="271.44"/>
    <x v="956"/>
    <s v="Furniture"/>
    <s v="Gift Card"/>
    <n v="5"/>
    <x v="1005"/>
  </r>
  <r>
    <x v="957"/>
    <x v="3"/>
    <d v="2024-10-22T00:00:00"/>
    <n v="2024"/>
    <s v="Q4"/>
    <n v="10"/>
    <s v="Oct"/>
    <n v="4"/>
    <n v="669.05"/>
    <x v="957"/>
    <s v="Office Supplies"/>
    <s v="Debit Card"/>
    <n v="2"/>
    <x v="1006"/>
  </r>
  <r>
    <x v="958"/>
    <x v="3"/>
    <d v="2023-09-12T00:00:00"/>
    <n v="2023"/>
    <s v="Q3"/>
    <n v="9"/>
    <s v="Sep"/>
    <n v="3"/>
    <n v="688.48"/>
    <x v="958"/>
    <s v="Furniture"/>
    <s v="Credit Card"/>
    <n v="1"/>
    <x v="1007"/>
  </r>
  <r>
    <x v="959"/>
    <x v="6"/>
    <d v="2025-06-22T00:00:00"/>
    <n v="2025"/>
    <s v="Q2"/>
    <n v="6"/>
    <s v="Jun"/>
    <n v="8"/>
    <n v="300.64"/>
    <x v="959"/>
    <s v="Office Supplies"/>
    <s v="Credit Card"/>
    <n v="3"/>
    <x v="1008"/>
  </r>
  <r>
    <x v="960"/>
    <x v="4"/>
    <d v="2023-02-07T00:00:00"/>
    <n v="2023"/>
    <s v="Q1"/>
    <n v="2"/>
    <s v="Feb"/>
    <n v="3"/>
    <n v="612.01"/>
    <x v="960"/>
    <s v="Office Supplies"/>
    <s v="Online"/>
    <n v="3"/>
    <x v="1009"/>
  </r>
  <r>
    <x v="961"/>
    <x v="2"/>
    <d v="2023-02-07T00:00:00"/>
    <n v="2023"/>
    <s v="Q1"/>
    <n v="2"/>
    <s v="Feb"/>
    <n v="2"/>
    <n v="454.61"/>
    <x v="961"/>
    <s v="Furniture"/>
    <s v="Online"/>
    <n v="5"/>
    <x v="1010"/>
  </r>
  <r>
    <x v="962"/>
    <x v="0"/>
    <d v="2024-03-29T00:00:00"/>
    <n v="2024"/>
    <s v="Q1"/>
    <n v="3"/>
    <s v="Mar"/>
    <n v="6"/>
    <n v="8.31"/>
    <x v="962"/>
    <s v="Furniture"/>
    <s v="Cash"/>
    <n v="1"/>
    <x v="1011"/>
  </r>
  <r>
    <x v="963"/>
    <x v="1"/>
    <d v="2023-04-27T00:00:00"/>
    <n v="2023"/>
    <s v="Q2"/>
    <n v="4"/>
    <s v="Apr"/>
    <n v="3"/>
    <n v="275.94"/>
    <x v="963"/>
    <s v="Office Supplies"/>
    <s v="Credit Card"/>
    <n v="2"/>
    <x v="1012"/>
  </r>
  <r>
    <x v="9"/>
    <x v="2"/>
    <d v="2024-04-28T00:00:00"/>
    <n v="2024"/>
    <s v="Q2"/>
    <n v="4"/>
    <s v="Apr"/>
    <n v="3"/>
    <n v="603.4"/>
    <x v="9"/>
    <s v="Furniture"/>
    <s v="Cash"/>
    <n v="4"/>
    <x v="1013"/>
  </r>
  <r>
    <x v="964"/>
    <x v="3"/>
    <d v="2023-04-03T00:00:00"/>
    <n v="2023"/>
    <s v="Q2"/>
    <n v="4"/>
    <s v="Apr"/>
    <n v="5"/>
    <n v="770.99"/>
    <x v="964"/>
    <s v="Office Supplies"/>
    <s v="Debit Card"/>
    <n v="4"/>
    <x v="1014"/>
  </r>
  <r>
    <x v="965"/>
    <x v="6"/>
    <d v="2023-06-15T00:00:00"/>
    <n v="2023"/>
    <s v="Q2"/>
    <n v="6"/>
    <s v="Jun"/>
    <n v="6"/>
    <n v="484.43"/>
    <x v="965"/>
    <s v="Electronics"/>
    <s v="Debit Card"/>
    <n v="2"/>
    <x v="1015"/>
  </r>
  <r>
    <x v="966"/>
    <x v="4"/>
    <d v="2024-12-11T00:00:00"/>
    <n v="2024"/>
    <s v="Q4"/>
    <n v="12"/>
    <s v="Dec"/>
    <n v="1"/>
    <n v="781.99"/>
    <x v="966"/>
    <s v="Office Supplies"/>
    <s v="Online"/>
    <n v="3"/>
    <x v="1016"/>
  </r>
  <r>
    <x v="967"/>
    <x v="0"/>
    <d v="2025-03-29T00:00:00"/>
    <n v="2025"/>
    <s v="Q1"/>
    <n v="3"/>
    <s v="Mar"/>
    <n v="5"/>
    <n v="406.64"/>
    <x v="967"/>
    <s v="Office Supplies"/>
    <s v="Debit Card"/>
    <n v="5"/>
    <x v="1017"/>
  </r>
  <r>
    <x v="968"/>
    <x v="6"/>
    <d v="2025-03-12T00:00:00"/>
    <n v="2025"/>
    <s v="Q1"/>
    <n v="3"/>
    <s v="Mar"/>
    <n v="1"/>
    <n v="261.17"/>
    <x v="968"/>
    <s v="Office Supplies"/>
    <s v="Gift Card"/>
    <n v="1"/>
    <x v="1018"/>
  </r>
  <r>
    <x v="969"/>
    <x v="6"/>
    <d v="2023-02-11T00:00:00"/>
    <n v="2023"/>
    <s v="Q1"/>
    <n v="2"/>
    <s v="Feb"/>
    <n v="6"/>
    <n v="646.4"/>
    <x v="969"/>
    <s v="Furniture"/>
    <s v="Gift Card"/>
    <n v="4"/>
    <x v="1019"/>
  </r>
  <r>
    <x v="970"/>
    <x v="2"/>
    <d v="2023-02-10T00:00:00"/>
    <n v="2023"/>
    <s v="Q1"/>
    <n v="2"/>
    <s v="Feb"/>
    <n v="7"/>
    <n v="710.8"/>
    <x v="970"/>
    <s v="Office Supplies"/>
    <s v="Cash"/>
    <n v="1"/>
    <x v="1020"/>
  </r>
  <r>
    <x v="971"/>
    <x v="0"/>
    <d v="2025-06-05T00:00:00"/>
    <n v="2025"/>
    <s v="Q2"/>
    <n v="6"/>
    <s v="Jun"/>
    <n v="5"/>
    <n v="287.66000000000003"/>
    <x v="971"/>
    <s v="Electronics"/>
    <s v="Gift Card"/>
    <n v="3"/>
    <x v="1021"/>
  </r>
  <r>
    <x v="972"/>
    <x v="1"/>
    <d v="2024-07-19T00:00:00"/>
    <n v="2024"/>
    <s v="Q3"/>
    <n v="7"/>
    <s v="Jul"/>
    <n v="8"/>
    <n v="516.33000000000004"/>
    <x v="972"/>
    <s v="Electronics"/>
    <s v="Online"/>
    <n v="2"/>
    <x v="1022"/>
  </r>
  <r>
    <x v="298"/>
    <x v="4"/>
    <d v="2025-03-03T00:00:00"/>
    <n v="2025"/>
    <s v="Q1"/>
    <n v="3"/>
    <s v="Mar"/>
    <n v="2"/>
    <n v="451.66"/>
    <x v="298"/>
    <s v="Furniture"/>
    <s v="Gift Card"/>
    <n v="2"/>
    <x v="1023"/>
  </r>
  <r>
    <x v="973"/>
    <x v="5"/>
    <d v="2024-12-07T00:00:00"/>
    <n v="2024"/>
    <s v="Q4"/>
    <n v="12"/>
    <s v="Dec"/>
    <n v="2"/>
    <n v="8.89"/>
    <x v="973"/>
    <s v="Furniture"/>
    <s v="Credit Card"/>
    <n v="4"/>
    <x v="1024"/>
  </r>
  <r>
    <x v="974"/>
    <x v="2"/>
    <d v="2024-04-07T00:00:00"/>
    <n v="2024"/>
    <s v="Q2"/>
    <n v="4"/>
    <s v="Apr"/>
    <n v="4"/>
    <n v="363.31"/>
    <x v="974"/>
    <s v="Furniture"/>
    <s v="Online"/>
    <n v="4"/>
    <x v="1025"/>
  </r>
  <r>
    <x v="138"/>
    <x v="1"/>
    <d v="2023-02-19T00:00:00"/>
    <n v="2023"/>
    <s v="Q1"/>
    <n v="2"/>
    <s v="Feb"/>
    <n v="8"/>
    <n v="507.74"/>
    <x v="138"/>
    <s v="Electronics"/>
    <s v="Credit Card"/>
    <n v="3"/>
    <x v="1026"/>
  </r>
  <r>
    <x v="975"/>
    <x v="6"/>
    <d v="2024-05-30T00:00:00"/>
    <n v="2024"/>
    <s v="Q2"/>
    <n v="5"/>
    <s v="May"/>
    <n v="6"/>
    <n v="645.22"/>
    <x v="975"/>
    <s v="Office Supplies"/>
    <s v="Cash"/>
    <n v="1"/>
    <x v="1027"/>
  </r>
  <r>
    <x v="976"/>
    <x v="6"/>
    <d v="2024-07-17T00:00:00"/>
    <n v="2024"/>
    <s v="Q3"/>
    <n v="7"/>
    <s v="Jul"/>
    <n v="7"/>
    <n v="11.35"/>
    <x v="976"/>
    <s v="Furniture"/>
    <s v="Cash"/>
    <n v="3"/>
    <x v="1028"/>
  </r>
  <r>
    <x v="977"/>
    <x v="5"/>
    <d v="2025-01-24T00:00:00"/>
    <n v="2025"/>
    <s v="Q1"/>
    <n v="1"/>
    <s v="Jan"/>
    <n v="1"/>
    <n v="550.04999999999995"/>
    <x v="977"/>
    <s v="Electronics"/>
    <s v="Cash"/>
    <n v="2"/>
    <x v="1029"/>
  </r>
  <r>
    <x v="978"/>
    <x v="2"/>
    <d v="2025-05-09T00:00:00"/>
    <n v="2025"/>
    <s v="Q2"/>
    <n v="5"/>
    <s v="May"/>
    <n v="8"/>
    <n v="788.91"/>
    <x v="978"/>
    <s v="Furniture"/>
    <s v="Cash"/>
    <n v="1"/>
    <x v="1030"/>
  </r>
  <r>
    <x v="979"/>
    <x v="4"/>
    <d v="2025-04-07T00:00:00"/>
    <n v="2025"/>
    <s v="Q2"/>
    <n v="4"/>
    <s v="Apr"/>
    <n v="6"/>
    <n v="60.99"/>
    <x v="979"/>
    <s v="Office Supplies"/>
    <s v="Online"/>
    <n v="5"/>
    <x v="1031"/>
  </r>
  <r>
    <x v="201"/>
    <x v="4"/>
    <d v="2025-06-19T00:00:00"/>
    <n v="2025"/>
    <s v="Q2"/>
    <n v="6"/>
    <s v="Jun"/>
    <n v="1"/>
    <n v="359.68"/>
    <x v="201"/>
    <s v="Office Supplies"/>
    <s v="Credit Card"/>
    <n v="4"/>
    <x v="1032"/>
  </r>
  <r>
    <x v="980"/>
    <x v="0"/>
    <d v="2024-04-27T00:00:00"/>
    <n v="2024"/>
    <s v="Q2"/>
    <n v="4"/>
    <s v="Apr"/>
    <n v="1"/>
    <n v="750.46"/>
    <x v="980"/>
    <s v="Office Supplies"/>
    <s v="Gift Card"/>
    <n v="2"/>
    <x v="1033"/>
  </r>
  <r>
    <x v="981"/>
    <x v="3"/>
    <d v="2024-04-08T00:00:00"/>
    <n v="2024"/>
    <s v="Q2"/>
    <n v="4"/>
    <s v="Apr"/>
    <n v="3"/>
    <n v="28.1"/>
    <x v="981"/>
    <s v="Office Supplies"/>
    <s v="Gift Card"/>
    <n v="5"/>
    <x v="1034"/>
  </r>
  <r>
    <x v="862"/>
    <x v="6"/>
    <d v="2025-02-13T00:00:00"/>
    <n v="2025"/>
    <s v="Q1"/>
    <n v="2"/>
    <s v="Feb"/>
    <n v="3"/>
    <n v="699.19"/>
    <x v="862"/>
    <s v="Office Supplies"/>
    <s v="Cash"/>
    <n v="2"/>
    <x v="1035"/>
  </r>
  <r>
    <x v="867"/>
    <x v="2"/>
    <d v="2023-01-03T00:00:00"/>
    <n v="2023"/>
    <s v="Q1"/>
    <n v="1"/>
    <s v="Jan"/>
    <n v="8"/>
    <n v="126.85"/>
    <x v="867"/>
    <s v="Office Supplies"/>
    <s v="Debit Card"/>
    <n v="1"/>
    <x v="1036"/>
  </r>
  <r>
    <x v="982"/>
    <x v="4"/>
    <d v="2023-12-31T00:00:00"/>
    <n v="2023"/>
    <s v="Q4"/>
    <n v="12"/>
    <s v="Dec"/>
    <n v="5"/>
    <n v="739.34"/>
    <x v="982"/>
    <s v="Electronics"/>
    <s v="Online"/>
    <n v="2"/>
    <x v="1037"/>
  </r>
  <r>
    <x v="983"/>
    <x v="6"/>
    <d v="2023-05-05T00:00:00"/>
    <n v="2023"/>
    <s v="Q2"/>
    <n v="5"/>
    <s v="May"/>
    <n v="7"/>
    <n v="424.41"/>
    <x v="983"/>
    <s v="Electronics"/>
    <s v="Credit Card"/>
    <n v="4"/>
    <x v="1038"/>
  </r>
  <r>
    <x v="984"/>
    <x v="3"/>
    <d v="2023-02-24T00:00:00"/>
    <n v="2023"/>
    <s v="Q1"/>
    <n v="2"/>
    <s v="Feb"/>
    <n v="4"/>
    <n v="174.7"/>
    <x v="984"/>
    <s v="Office Supplies"/>
    <s v="Online"/>
    <n v="1"/>
    <x v="546"/>
  </r>
  <r>
    <x v="581"/>
    <x v="6"/>
    <d v="2023-01-04T00:00:00"/>
    <n v="2023"/>
    <s v="Q1"/>
    <n v="1"/>
    <s v="Jan"/>
    <n v="6"/>
    <n v="243.58"/>
    <x v="581"/>
    <s v="Office Supplies"/>
    <s v="Credit Card"/>
    <n v="2"/>
    <x v="1039"/>
  </r>
  <r>
    <x v="106"/>
    <x v="3"/>
    <d v="2024-10-12T00:00:00"/>
    <n v="2024"/>
    <s v="Q4"/>
    <n v="10"/>
    <s v="Oct"/>
    <n v="7"/>
    <n v="286.52"/>
    <x v="106"/>
    <s v="Electronics"/>
    <s v="Credit Card"/>
    <n v="3"/>
    <x v="1040"/>
  </r>
  <r>
    <x v="985"/>
    <x v="1"/>
    <d v="2023-05-21T00:00:00"/>
    <n v="2023"/>
    <s v="Q2"/>
    <n v="5"/>
    <s v="May"/>
    <n v="2"/>
    <n v="8.56"/>
    <x v="985"/>
    <s v="Electronics"/>
    <s v="Credit Card"/>
    <n v="1"/>
    <x v="1041"/>
  </r>
  <r>
    <x v="986"/>
    <x v="0"/>
    <d v="2024-10-29T00:00:00"/>
    <n v="2024"/>
    <s v="Q4"/>
    <n v="10"/>
    <s v="Oct"/>
    <n v="6"/>
    <n v="18.03"/>
    <x v="986"/>
    <s v="Office Supplies"/>
    <s v="Debit Card"/>
    <n v="1"/>
    <x v="1042"/>
  </r>
  <r>
    <x v="987"/>
    <x v="1"/>
    <d v="2023-05-01T00:00:00"/>
    <n v="2023"/>
    <s v="Q2"/>
    <n v="5"/>
    <s v="May"/>
    <n v="1"/>
    <n v="462.31"/>
    <x v="987"/>
    <s v="Electronics"/>
    <s v="Credit Card"/>
    <n v="5"/>
    <x v="1043"/>
  </r>
  <r>
    <x v="988"/>
    <x v="1"/>
    <d v="2023-11-11T00:00:00"/>
    <n v="2023"/>
    <s v="Q4"/>
    <n v="11"/>
    <s v="Nov"/>
    <n v="6"/>
    <n v="313.62"/>
    <x v="988"/>
    <s v="Furniture"/>
    <s v="Debit Card"/>
    <n v="4"/>
    <x v="1044"/>
  </r>
  <r>
    <x v="989"/>
    <x v="6"/>
    <d v="2024-02-08T00:00:00"/>
    <n v="2024"/>
    <s v="Q1"/>
    <n v="2"/>
    <s v="Feb"/>
    <n v="2"/>
    <n v="267.7"/>
    <x v="989"/>
    <s v="Office Supplies"/>
    <s v="Cash"/>
    <n v="3"/>
    <x v="1045"/>
  </r>
  <r>
    <x v="946"/>
    <x v="1"/>
    <d v="2023-01-07T00:00:00"/>
    <n v="2023"/>
    <s v="Q1"/>
    <n v="1"/>
    <s v="Jan"/>
    <n v="1"/>
    <n v="346.77"/>
    <x v="946"/>
    <s v="Office Supplies"/>
    <s v="Gift Card"/>
    <n v="2"/>
    <x v="1046"/>
  </r>
  <r>
    <x v="990"/>
    <x v="4"/>
    <d v="2023-11-14T00:00:00"/>
    <n v="2023"/>
    <s v="Q4"/>
    <n v="11"/>
    <s v="Nov"/>
    <n v="5"/>
    <n v="117.04"/>
    <x v="990"/>
    <s v="Furniture"/>
    <s v="Online"/>
    <n v="5"/>
    <x v="1047"/>
  </r>
  <r>
    <x v="991"/>
    <x v="3"/>
    <d v="2023-05-13T00:00:00"/>
    <n v="2023"/>
    <s v="Q2"/>
    <n v="5"/>
    <s v="May"/>
    <n v="5"/>
    <n v="607.6"/>
    <x v="991"/>
    <s v="Office Supplies"/>
    <s v="Cash"/>
    <n v="4"/>
    <x v="1048"/>
  </r>
  <r>
    <x v="992"/>
    <x v="6"/>
    <d v="2025-02-13T00:00:00"/>
    <n v="2025"/>
    <s v="Q1"/>
    <n v="2"/>
    <s v="Feb"/>
    <n v="2"/>
    <n v="286.87"/>
    <x v="992"/>
    <s v="Office Supplies"/>
    <s v="Credit Card"/>
    <n v="4"/>
    <x v="1049"/>
  </r>
  <r>
    <x v="993"/>
    <x v="3"/>
    <d v="2024-09-28T00:00:00"/>
    <n v="2024"/>
    <s v="Q3"/>
    <n v="9"/>
    <s v="Sep"/>
    <n v="4"/>
    <n v="64.53"/>
    <x v="993"/>
    <s v="Electronics"/>
    <s v="Credit Card"/>
    <n v="3"/>
    <x v="1050"/>
  </r>
  <r>
    <x v="994"/>
    <x v="5"/>
    <d v="2025-02-03T00:00:00"/>
    <n v="2025"/>
    <s v="Q1"/>
    <n v="2"/>
    <s v="Feb"/>
    <n v="7"/>
    <n v="7.19"/>
    <x v="994"/>
    <s v="Furniture"/>
    <s v="Gift Card"/>
    <n v="1"/>
    <x v="1051"/>
  </r>
  <r>
    <x v="995"/>
    <x v="2"/>
    <d v="2023-02-17T00:00:00"/>
    <n v="2023"/>
    <s v="Q1"/>
    <n v="2"/>
    <s v="Feb"/>
    <n v="5"/>
    <n v="181.92"/>
    <x v="995"/>
    <s v="Electronics"/>
    <s v="Credit Card"/>
    <n v="4"/>
    <x v="1052"/>
  </r>
  <r>
    <x v="65"/>
    <x v="3"/>
    <d v="2023-08-20T00:00:00"/>
    <n v="2023"/>
    <s v="Q3"/>
    <n v="8"/>
    <s v="Aug"/>
    <n v="2"/>
    <n v="378.19"/>
    <x v="65"/>
    <s v="Electronics"/>
    <s v="Debit Card"/>
    <n v="3"/>
    <x v="1053"/>
  </r>
  <r>
    <x v="443"/>
    <x v="1"/>
    <d v="2024-02-27T00:00:00"/>
    <n v="2024"/>
    <s v="Q1"/>
    <n v="2"/>
    <s v="Feb"/>
    <n v="5"/>
    <n v="129.16999999999999"/>
    <x v="443"/>
    <s v="Electronics"/>
    <s v="Credit Card"/>
    <n v="3"/>
    <x v="1054"/>
  </r>
  <r>
    <x v="996"/>
    <x v="0"/>
    <d v="2023-04-08T00:00:00"/>
    <n v="2023"/>
    <s v="Q2"/>
    <n v="4"/>
    <s v="Apr"/>
    <n v="4"/>
    <n v="62.34"/>
    <x v="996"/>
    <s v="Furniture"/>
    <s v="Debit Card"/>
    <n v="4"/>
    <x v="1055"/>
  </r>
  <r>
    <x v="997"/>
    <x v="6"/>
    <d v="2025-05-08T00:00:00"/>
    <n v="2025"/>
    <s v="Q2"/>
    <n v="5"/>
    <s v="May"/>
    <n v="7"/>
    <n v="497.8"/>
    <x v="997"/>
    <s v="Electronics"/>
    <s v="Debit Card"/>
    <n v="5"/>
    <x v="1056"/>
  </r>
  <r>
    <x v="998"/>
    <x v="4"/>
    <d v="2024-05-21T00:00:00"/>
    <n v="2024"/>
    <s v="Q2"/>
    <n v="5"/>
    <s v="May"/>
    <n v="7"/>
    <n v="736.95"/>
    <x v="998"/>
    <s v="Office Supplies"/>
    <s v="Credit Card"/>
    <n v="5"/>
    <x v="1057"/>
  </r>
  <r>
    <x v="999"/>
    <x v="3"/>
    <d v="2023-10-18T00:00:00"/>
    <n v="2023"/>
    <s v="Q4"/>
    <n v="10"/>
    <s v="Oct"/>
    <n v="1"/>
    <n v="107.67"/>
    <x v="999"/>
    <s v="Electronics"/>
    <s v="Gift Card"/>
    <n v="5"/>
    <x v="1058"/>
  </r>
  <r>
    <x v="1000"/>
    <x v="6"/>
    <d v="2023-11-03T00:00:00"/>
    <n v="2023"/>
    <s v="Q4"/>
    <n v="11"/>
    <s v="Nov"/>
    <n v="1"/>
    <n v="192.81"/>
    <x v="1000"/>
    <s v="Furniture"/>
    <s v="Credit Card"/>
    <n v="4"/>
    <x v="1059"/>
  </r>
  <r>
    <x v="1001"/>
    <x v="3"/>
    <d v="2024-01-15T00:00:00"/>
    <n v="2024"/>
    <s v="Q1"/>
    <n v="1"/>
    <s v="Jan"/>
    <n v="4"/>
    <n v="671.79"/>
    <x v="1001"/>
    <s v="Electronics"/>
    <s v="Credit Card"/>
    <n v="4"/>
    <x v="1060"/>
  </r>
  <r>
    <x v="1002"/>
    <x v="2"/>
    <d v="2023-03-19T00:00:00"/>
    <n v="2023"/>
    <s v="Q1"/>
    <n v="3"/>
    <s v="Mar"/>
    <n v="6"/>
    <n v="425.92"/>
    <x v="1002"/>
    <s v="Furniture"/>
    <s v="Gift Card"/>
    <n v="1"/>
    <x v="1061"/>
  </r>
  <r>
    <x v="1003"/>
    <x v="5"/>
    <d v="2023-05-04T00:00:00"/>
    <n v="2023"/>
    <s v="Q2"/>
    <n v="5"/>
    <s v="May"/>
    <n v="2"/>
    <n v="264.97000000000003"/>
    <x v="1003"/>
    <s v="Office Supplies"/>
    <s v="Debit Card"/>
    <n v="4"/>
    <x v="1062"/>
  </r>
  <r>
    <x v="1004"/>
    <x v="5"/>
    <d v="2023-05-06T00:00:00"/>
    <n v="2023"/>
    <s v="Q2"/>
    <n v="5"/>
    <s v="May"/>
    <n v="1"/>
    <n v="122.06"/>
    <x v="1004"/>
    <s v="Electronics"/>
    <s v="Gift Card"/>
    <n v="4"/>
    <x v="1063"/>
  </r>
  <r>
    <x v="1005"/>
    <x v="0"/>
    <d v="2023-12-20T00:00:00"/>
    <n v="2023"/>
    <s v="Q4"/>
    <n v="12"/>
    <s v="Dec"/>
    <n v="1"/>
    <n v="572.04999999999995"/>
    <x v="1005"/>
    <s v="Electronics"/>
    <s v="Cash"/>
    <n v="4"/>
    <x v="1064"/>
  </r>
  <r>
    <x v="1006"/>
    <x v="2"/>
    <d v="2023-05-27T00:00:00"/>
    <n v="2023"/>
    <s v="Q2"/>
    <n v="5"/>
    <s v="May"/>
    <n v="5"/>
    <n v="298.95"/>
    <x v="1006"/>
    <s v="Electronics"/>
    <s v="Cash"/>
    <n v="5"/>
    <x v="1065"/>
  </r>
  <r>
    <x v="1007"/>
    <x v="6"/>
    <d v="2023-03-20T00:00:00"/>
    <n v="2023"/>
    <s v="Q1"/>
    <n v="3"/>
    <s v="Mar"/>
    <n v="5"/>
    <n v="534.75"/>
    <x v="1007"/>
    <s v="Office Supplies"/>
    <s v="Gift Card"/>
    <n v="5"/>
    <x v="1066"/>
  </r>
  <r>
    <x v="1008"/>
    <x v="3"/>
    <d v="2023-06-26T00:00:00"/>
    <n v="2023"/>
    <s v="Q2"/>
    <n v="6"/>
    <s v="Jun"/>
    <n v="7"/>
    <n v="367.19"/>
    <x v="1008"/>
    <s v="Furniture"/>
    <s v="Cash"/>
    <n v="4"/>
    <x v="1067"/>
  </r>
  <r>
    <x v="1009"/>
    <x v="5"/>
    <d v="2024-07-04T00:00:00"/>
    <n v="2024"/>
    <s v="Q3"/>
    <n v="7"/>
    <s v="Jul"/>
    <n v="5"/>
    <n v="121.55"/>
    <x v="1009"/>
    <s v="Office Supplies"/>
    <s v="Debit Card"/>
    <n v="1"/>
    <x v="1068"/>
  </r>
  <r>
    <x v="1010"/>
    <x v="2"/>
    <d v="2024-10-01T00:00:00"/>
    <n v="2024"/>
    <s v="Q4"/>
    <n v="10"/>
    <s v="Oct"/>
    <n v="4"/>
    <n v="406.85"/>
    <x v="1010"/>
    <s v="Furniture"/>
    <s v="Credit Card"/>
    <n v="5"/>
    <x v="1069"/>
  </r>
  <r>
    <x v="1011"/>
    <x v="3"/>
    <d v="2025-04-28T00:00:00"/>
    <n v="2025"/>
    <s v="Q2"/>
    <n v="4"/>
    <s v="Apr"/>
    <n v="4"/>
    <n v="307.95999999999998"/>
    <x v="1011"/>
    <s v="Electronics"/>
    <s v="Online"/>
    <n v="1"/>
    <x v="1070"/>
  </r>
  <r>
    <x v="1012"/>
    <x v="5"/>
    <d v="2024-03-25T00:00:00"/>
    <n v="2024"/>
    <s v="Q1"/>
    <n v="3"/>
    <s v="Mar"/>
    <n v="6"/>
    <n v="168.05"/>
    <x v="1012"/>
    <s v="Office Supplies"/>
    <s v="Debit Card"/>
    <n v="4"/>
    <x v="1071"/>
  </r>
  <r>
    <x v="1013"/>
    <x v="4"/>
    <d v="2023-01-27T00:00:00"/>
    <n v="2023"/>
    <s v="Q1"/>
    <n v="1"/>
    <s v="Jan"/>
    <n v="8"/>
    <n v="686.94"/>
    <x v="1013"/>
    <s v="Office Supplies"/>
    <s v="Debit Card"/>
    <n v="1"/>
    <x v="1072"/>
  </r>
  <r>
    <x v="1014"/>
    <x v="1"/>
    <d v="2023-07-31T00:00:00"/>
    <n v="2023"/>
    <s v="Q3"/>
    <n v="7"/>
    <s v="Jul"/>
    <n v="3"/>
    <n v="621.01"/>
    <x v="1014"/>
    <s v="Electronics"/>
    <s v="Online"/>
    <n v="3"/>
    <x v="1073"/>
  </r>
  <r>
    <x v="1015"/>
    <x v="6"/>
    <d v="2023-11-22T00:00:00"/>
    <n v="2023"/>
    <s v="Q4"/>
    <n v="11"/>
    <s v="Nov"/>
    <n v="5"/>
    <n v="15.54"/>
    <x v="1015"/>
    <s v="Electronics"/>
    <s v="Online"/>
    <n v="5"/>
    <x v="158"/>
  </r>
  <r>
    <x v="1016"/>
    <x v="5"/>
    <d v="2025-01-04T00:00:00"/>
    <n v="2025"/>
    <s v="Q1"/>
    <n v="1"/>
    <s v="Jan"/>
    <n v="2"/>
    <n v="728.1"/>
    <x v="1016"/>
    <s v="Office Supplies"/>
    <s v="Debit Card"/>
    <n v="5"/>
    <x v="1074"/>
  </r>
  <r>
    <x v="1017"/>
    <x v="2"/>
    <d v="2023-08-13T00:00:00"/>
    <n v="2023"/>
    <s v="Q3"/>
    <n v="8"/>
    <s v="Aug"/>
    <n v="4"/>
    <n v="277"/>
    <x v="1017"/>
    <s v="Electronics"/>
    <s v="Online"/>
    <n v="4"/>
    <x v="1075"/>
  </r>
  <r>
    <x v="1018"/>
    <x v="2"/>
    <d v="2024-07-22T00:00:00"/>
    <n v="2024"/>
    <s v="Q3"/>
    <n v="7"/>
    <s v="Jul"/>
    <n v="1"/>
    <n v="638.11"/>
    <x v="1018"/>
    <s v="Electronics"/>
    <s v="Cash"/>
    <n v="1"/>
    <x v="1076"/>
  </r>
  <r>
    <x v="1019"/>
    <x v="0"/>
    <d v="2024-06-08T00:00:00"/>
    <n v="2024"/>
    <s v="Q2"/>
    <n v="6"/>
    <s v="Jun"/>
    <n v="7"/>
    <n v="60.21"/>
    <x v="1019"/>
    <s v="Furniture"/>
    <s v="Cash"/>
    <n v="3"/>
    <x v="1077"/>
  </r>
  <r>
    <x v="1020"/>
    <x v="4"/>
    <d v="2025-02-16T00:00:00"/>
    <n v="2025"/>
    <s v="Q1"/>
    <n v="2"/>
    <s v="Feb"/>
    <n v="7"/>
    <n v="653.16999999999996"/>
    <x v="1020"/>
    <s v="Furniture"/>
    <s v="Gift Card"/>
    <n v="4"/>
    <x v="1078"/>
  </r>
  <r>
    <x v="1021"/>
    <x v="2"/>
    <d v="2023-08-22T00:00:00"/>
    <n v="2023"/>
    <s v="Q3"/>
    <n v="8"/>
    <s v="Aug"/>
    <n v="1"/>
    <n v="521.99"/>
    <x v="1021"/>
    <s v="Furniture"/>
    <s v="Credit Card"/>
    <n v="5"/>
    <x v="1079"/>
  </r>
  <r>
    <x v="1022"/>
    <x v="5"/>
    <d v="2023-03-21T00:00:00"/>
    <n v="2023"/>
    <s v="Q1"/>
    <n v="3"/>
    <s v="Mar"/>
    <n v="7"/>
    <n v="432.68"/>
    <x v="1022"/>
    <s v="Furniture"/>
    <s v="Credit Card"/>
    <n v="4"/>
    <x v="1080"/>
  </r>
  <r>
    <x v="1023"/>
    <x v="0"/>
    <d v="2023-07-05T00:00:00"/>
    <n v="2023"/>
    <s v="Q3"/>
    <n v="7"/>
    <s v="Jul"/>
    <n v="5"/>
    <n v="761.72"/>
    <x v="1023"/>
    <s v="Electronics"/>
    <s v="Credit Card"/>
    <n v="4"/>
    <x v="1081"/>
  </r>
  <r>
    <x v="1024"/>
    <x v="6"/>
    <d v="2024-12-18T00:00:00"/>
    <n v="2024"/>
    <s v="Q4"/>
    <n v="12"/>
    <s v="Dec"/>
    <n v="2"/>
    <n v="397.68"/>
    <x v="1024"/>
    <s v="Office Supplies"/>
    <s v="Online"/>
    <n v="1"/>
    <x v="1082"/>
  </r>
  <r>
    <x v="1025"/>
    <x v="1"/>
    <d v="2023-09-30T00:00:00"/>
    <n v="2023"/>
    <s v="Q3"/>
    <n v="9"/>
    <s v="Sep"/>
    <n v="4"/>
    <n v="56.84"/>
    <x v="1025"/>
    <s v="Electronics"/>
    <s v="Debit Card"/>
    <n v="4"/>
    <x v="1083"/>
  </r>
  <r>
    <x v="1026"/>
    <x v="6"/>
    <d v="2025-02-09T00:00:00"/>
    <n v="2025"/>
    <s v="Q1"/>
    <n v="2"/>
    <s v="Feb"/>
    <n v="8"/>
    <n v="53.9"/>
    <x v="1026"/>
    <s v="Office Supplies"/>
    <s v="Online"/>
    <n v="4"/>
    <x v="1084"/>
  </r>
  <r>
    <x v="1027"/>
    <x v="6"/>
    <d v="2024-05-06T00:00:00"/>
    <n v="2024"/>
    <s v="Q2"/>
    <n v="5"/>
    <s v="May"/>
    <n v="6"/>
    <n v="539.32000000000005"/>
    <x v="1027"/>
    <s v="Electronics"/>
    <s v="Cash"/>
    <n v="4"/>
    <x v="1085"/>
  </r>
  <r>
    <x v="1028"/>
    <x v="1"/>
    <d v="2024-05-25T00:00:00"/>
    <n v="2024"/>
    <s v="Q2"/>
    <n v="5"/>
    <s v="May"/>
    <n v="2"/>
    <n v="58.29"/>
    <x v="1028"/>
    <s v="Electronics"/>
    <s v="Cash"/>
    <n v="3"/>
    <x v="1086"/>
  </r>
  <r>
    <x v="1029"/>
    <x v="2"/>
    <d v="2023-11-19T00:00:00"/>
    <n v="2023"/>
    <s v="Q4"/>
    <n v="11"/>
    <s v="Nov"/>
    <n v="2"/>
    <n v="616.6"/>
    <x v="1029"/>
    <s v="Office Supplies"/>
    <s v="Credit Card"/>
    <n v="5"/>
    <x v="1087"/>
  </r>
  <r>
    <x v="1030"/>
    <x v="1"/>
    <d v="2024-07-23T00:00:00"/>
    <n v="2024"/>
    <s v="Q3"/>
    <n v="7"/>
    <s v="Jul"/>
    <n v="1"/>
    <n v="562.4"/>
    <x v="1030"/>
    <s v="Furniture"/>
    <s v="Debit Card"/>
    <n v="5"/>
    <x v="1088"/>
  </r>
  <r>
    <x v="26"/>
    <x v="0"/>
    <d v="2025-02-01T00:00:00"/>
    <n v="2025"/>
    <s v="Q1"/>
    <n v="2"/>
    <s v="Feb"/>
    <n v="5"/>
    <n v="575.52"/>
    <x v="26"/>
    <s v="Electronics"/>
    <s v="Online"/>
    <n v="1"/>
    <x v="1089"/>
  </r>
  <r>
    <x v="1031"/>
    <x v="0"/>
    <d v="2025-02-18T00:00:00"/>
    <n v="2025"/>
    <s v="Q1"/>
    <n v="2"/>
    <s v="Feb"/>
    <n v="5"/>
    <n v="339.15"/>
    <x v="1031"/>
    <s v="Electronics"/>
    <s v="Credit Card"/>
    <n v="2"/>
    <x v="1090"/>
  </r>
  <r>
    <x v="1032"/>
    <x v="6"/>
    <d v="2023-06-13T00:00:00"/>
    <n v="2023"/>
    <s v="Q2"/>
    <n v="6"/>
    <s v="Jun"/>
    <n v="1"/>
    <n v="506.82"/>
    <x v="1032"/>
    <s v="Electronics"/>
    <s v="Cash"/>
    <n v="3"/>
    <x v="1091"/>
  </r>
  <r>
    <x v="1033"/>
    <x v="0"/>
    <d v="2023-05-20T00:00:00"/>
    <n v="2023"/>
    <s v="Q2"/>
    <n v="5"/>
    <s v="May"/>
    <n v="1"/>
    <n v="56.35"/>
    <x v="1033"/>
    <s v="Office Supplies"/>
    <s v="Credit Card"/>
    <n v="3"/>
    <x v="1092"/>
  </r>
  <r>
    <x v="1034"/>
    <x v="0"/>
    <d v="2023-05-20T00:00:00"/>
    <n v="2023"/>
    <s v="Q2"/>
    <n v="5"/>
    <s v="May"/>
    <n v="5"/>
    <n v="77.42"/>
    <x v="1034"/>
    <s v="Electronics"/>
    <s v="Cash"/>
    <n v="3"/>
    <x v="1093"/>
  </r>
  <r>
    <x v="1035"/>
    <x v="6"/>
    <d v="2024-12-14T00:00:00"/>
    <n v="2024"/>
    <s v="Q4"/>
    <n v="12"/>
    <s v="Dec"/>
    <n v="3"/>
    <n v="117.3"/>
    <x v="1035"/>
    <s v="Electronics"/>
    <s v="Debit Card"/>
    <n v="1"/>
    <x v="1094"/>
  </r>
  <r>
    <x v="1036"/>
    <x v="6"/>
    <d v="2024-03-17T00:00:00"/>
    <n v="2024"/>
    <s v="Q1"/>
    <n v="3"/>
    <s v="Mar"/>
    <n v="1"/>
    <n v="362.89"/>
    <x v="1036"/>
    <s v="Electronics"/>
    <s v="Debit Card"/>
    <n v="4"/>
    <x v="1095"/>
  </r>
  <r>
    <x v="1037"/>
    <x v="6"/>
    <d v="2023-07-12T00:00:00"/>
    <n v="2023"/>
    <s v="Q3"/>
    <n v="7"/>
    <s v="Jul"/>
    <n v="1"/>
    <n v="50.18"/>
    <x v="1037"/>
    <s v="Furniture"/>
    <s v="Credit Card"/>
    <n v="3"/>
    <x v="1096"/>
  </r>
  <r>
    <x v="701"/>
    <x v="3"/>
    <d v="2024-11-01T00:00:00"/>
    <n v="2024"/>
    <s v="Q4"/>
    <n v="11"/>
    <s v="Nov"/>
    <n v="3"/>
    <n v="85.35"/>
    <x v="701"/>
    <s v="Office Supplies"/>
    <s v="Online"/>
    <n v="5"/>
    <x v="1097"/>
  </r>
  <r>
    <x v="1038"/>
    <x v="4"/>
    <d v="2023-08-30T00:00:00"/>
    <n v="2023"/>
    <s v="Q3"/>
    <n v="8"/>
    <s v="Aug"/>
    <n v="7"/>
    <n v="425.05"/>
    <x v="1038"/>
    <s v="Electronics"/>
    <s v="Cash"/>
    <n v="2"/>
    <x v="1098"/>
  </r>
  <r>
    <x v="1039"/>
    <x v="1"/>
    <d v="2024-05-26T00:00:00"/>
    <n v="2024"/>
    <s v="Q2"/>
    <n v="5"/>
    <s v="May"/>
    <n v="6"/>
    <n v="420.68"/>
    <x v="1039"/>
    <s v="Electronics"/>
    <s v="Online"/>
    <n v="4"/>
    <x v="1099"/>
  </r>
  <r>
    <x v="1040"/>
    <x v="0"/>
    <d v="2024-01-22T00:00:00"/>
    <n v="2024"/>
    <s v="Q1"/>
    <n v="1"/>
    <s v="Jan"/>
    <n v="4"/>
    <n v="657.75"/>
    <x v="1040"/>
    <s v="Electronics"/>
    <s v="Credit Card"/>
    <n v="1"/>
    <x v="1100"/>
  </r>
  <r>
    <x v="1041"/>
    <x v="0"/>
    <d v="2024-11-02T00:00:00"/>
    <n v="2024"/>
    <s v="Q4"/>
    <n v="11"/>
    <s v="Nov"/>
    <n v="7"/>
    <n v="404.89"/>
    <x v="1041"/>
    <s v="Office Supplies"/>
    <s v="Gift Card"/>
    <n v="5"/>
    <x v="1101"/>
  </r>
  <r>
    <x v="1042"/>
    <x v="2"/>
    <d v="2023-01-10T00:00:00"/>
    <n v="2023"/>
    <s v="Q1"/>
    <n v="1"/>
    <s v="Jan"/>
    <n v="5"/>
    <n v="342.38"/>
    <x v="1042"/>
    <s v="Office Supplies"/>
    <s v="Debit Card"/>
    <n v="1"/>
    <x v="1102"/>
  </r>
  <r>
    <x v="706"/>
    <x v="3"/>
    <d v="2023-12-28T00:00:00"/>
    <n v="2023"/>
    <s v="Q4"/>
    <n v="12"/>
    <s v="Dec"/>
    <n v="6"/>
    <n v="685.83"/>
    <x v="706"/>
    <s v="Furniture"/>
    <s v="Cash"/>
    <n v="3"/>
    <x v="1103"/>
  </r>
  <r>
    <x v="1043"/>
    <x v="0"/>
    <d v="2023-12-14T00:00:00"/>
    <n v="2023"/>
    <s v="Q4"/>
    <n v="12"/>
    <s v="Dec"/>
    <n v="3"/>
    <n v="49.19"/>
    <x v="1043"/>
    <s v="Office Supplies"/>
    <s v="Debit Card"/>
    <n v="5"/>
    <x v="1104"/>
  </r>
  <r>
    <x v="1044"/>
    <x v="5"/>
    <d v="2024-03-20T00:00:00"/>
    <n v="2024"/>
    <s v="Q1"/>
    <n v="3"/>
    <s v="Mar"/>
    <n v="3"/>
    <n v="224.35"/>
    <x v="1044"/>
    <s v="Office Supplies"/>
    <s v="Credit Card"/>
    <n v="2"/>
    <x v="1105"/>
  </r>
  <r>
    <x v="1045"/>
    <x v="4"/>
    <d v="2024-11-30T00:00:00"/>
    <n v="2024"/>
    <s v="Q4"/>
    <n v="11"/>
    <s v="Nov"/>
    <n v="1"/>
    <n v="308.3"/>
    <x v="1045"/>
    <s v="Electronics"/>
    <s v="Cash"/>
    <n v="1"/>
    <x v="1106"/>
  </r>
  <r>
    <x v="1046"/>
    <x v="1"/>
    <d v="2023-05-18T00:00:00"/>
    <n v="2023"/>
    <s v="Q2"/>
    <n v="5"/>
    <s v="May"/>
    <n v="3"/>
    <n v="465.68"/>
    <x v="1046"/>
    <s v="Electronics"/>
    <s v="Gift Card"/>
    <n v="2"/>
    <x v="1107"/>
  </r>
  <r>
    <x v="552"/>
    <x v="5"/>
    <d v="2024-01-31T00:00:00"/>
    <n v="2024"/>
    <s v="Q1"/>
    <n v="1"/>
    <s v="Jan"/>
    <n v="3"/>
    <n v="330.83"/>
    <x v="552"/>
    <s v="Office Supplies"/>
    <s v="Credit Card"/>
    <n v="4"/>
    <x v="1108"/>
  </r>
  <r>
    <x v="1047"/>
    <x v="2"/>
    <d v="2024-08-16T00:00:00"/>
    <n v="2024"/>
    <s v="Q3"/>
    <n v="8"/>
    <s v="Aug"/>
    <n v="5"/>
    <n v="388.21"/>
    <x v="1047"/>
    <s v="Furniture"/>
    <s v="Debit Card"/>
    <n v="3"/>
    <x v="1109"/>
  </r>
  <r>
    <x v="1048"/>
    <x v="5"/>
    <d v="2024-08-30T00:00:00"/>
    <n v="2024"/>
    <s v="Q3"/>
    <n v="8"/>
    <s v="Aug"/>
    <n v="1"/>
    <n v="757.95"/>
    <x v="1048"/>
    <s v="Office Supplies"/>
    <s v="Online"/>
    <n v="5"/>
    <x v="1110"/>
  </r>
  <r>
    <x v="1049"/>
    <x v="1"/>
    <d v="2024-12-03T00:00:00"/>
    <n v="2024"/>
    <s v="Q4"/>
    <n v="12"/>
    <s v="Dec"/>
    <n v="6"/>
    <n v="575.29999999999995"/>
    <x v="1049"/>
    <s v="Office Supplies"/>
    <s v="Credit Card"/>
    <n v="5"/>
    <x v="1111"/>
  </r>
  <r>
    <x v="1050"/>
    <x v="1"/>
    <d v="2025-03-30T00:00:00"/>
    <n v="2025"/>
    <s v="Q1"/>
    <n v="3"/>
    <s v="Mar"/>
    <n v="6"/>
    <n v="277.83"/>
    <x v="1050"/>
    <s v="Electronics"/>
    <s v="Debit Card"/>
    <n v="4"/>
    <x v="1112"/>
  </r>
  <r>
    <x v="1051"/>
    <x v="2"/>
    <d v="2023-02-16T00:00:00"/>
    <n v="2023"/>
    <s v="Q1"/>
    <n v="2"/>
    <s v="Feb"/>
    <n v="4"/>
    <n v="631.44000000000005"/>
    <x v="1051"/>
    <s v="Electronics"/>
    <s v="Debit Card"/>
    <n v="1"/>
    <x v="1113"/>
  </r>
  <r>
    <x v="1052"/>
    <x v="1"/>
    <d v="2023-11-06T00:00:00"/>
    <n v="2023"/>
    <s v="Q4"/>
    <n v="11"/>
    <s v="Nov"/>
    <n v="5"/>
    <n v="690.26"/>
    <x v="1052"/>
    <s v="Furniture"/>
    <s v="Cash"/>
    <n v="5"/>
    <x v="1114"/>
  </r>
  <r>
    <x v="1053"/>
    <x v="2"/>
    <d v="2024-08-04T00:00:00"/>
    <n v="2024"/>
    <s v="Q3"/>
    <n v="8"/>
    <s v="Aug"/>
    <n v="1"/>
    <n v="659.76"/>
    <x v="1053"/>
    <s v="Office Supplies"/>
    <s v="Online"/>
    <n v="1"/>
    <x v="1115"/>
  </r>
  <r>
    <x v="1054"/>
    <x v="1"/>
    <d v="2023-05-06T00:00:00"/>
    <n v="2023"/>
    <s v="Q2"/>
    <n v="5"/>
    <s v="May"/>
    <n v="1"/>
    <n v="336.3"/>
    <x v="1054"/>
    <s v="Furniture"/>
    <s v="Online"/>
    <n v="3"/>
    <x v="1116"/>
  </r>
  <r>
    <x v="1055"/>
    <x v="4"/>
    <d v="2025-02-28T00:00:00"/>
    <n v="2025"/>
    <s v="Q1"/>
    <n v="2"/>
    <s v="Feb"/>
    <n v="5"/>
    <n v="720.71"/>
    <x v="1055"/>
    <s v="Electronics"/>
    <s v="Debit Card"/>
    <n v="1"/>
    <x v="1117"/>
  </r>
  <r>
    <x v="823"/>
    <x v="0"/>
    <d v="2024-05-30T00:00:00"/>
    <n v="2024"/>
    <s v="Q2"/>
    <n v="5"/>
    <s v="May"/>
    <n v="7"/>
    <n v="495.8"/>
    <x v="823"/>
    <s v="Electronics"/>
    <s v="Cash"/>
    <n v="5"/>
    <x v="1118"/>
  </r>
  <r>
    <x v="1056"/>
    <x v="2"/>
    <d v="2025-01-16T00:00:00"/>
    <n v="2025"/>
    <s v="Q1"/>
    <n v="1"/>
    <s v="Jan"/>
    <n v="1"/>
    <n v="283.8"/>
    <x v="1056"/>
    <s v="Electronics"/>
    <s v="Gift Card"/>
    <n v="5"/>
    <x v="1119"/>
  </r>
  <r>
    <x v="1057"/>
    <x v="5"/>
    <d v="2023-07-30T00:00:00"/>
    <n v="2023"/>
    <s v="Q3"/>
    <n v="7"/>
    <s v="Jul"/>
    <n v="2"/>
    <n v="269.89999999999998"/>
    <x v="1057"/>
    <s v="Office Supplies"/>
    <s v="Debit Card"/>
    <n v="3"/>
    <x v="1120"/>
  </r>
  <r>
    <x v="1058"/>
    <x v="6"/>
    <d v="2024-02-20T00:00:00"/>
    <n v="2024"/>
    <s v="Q1"/>
    <n v="2"/>
    <s v="Feb"/>
    <n v="1"/>
    <n v="582.02"/>
    <x v="1058"/>
    <s v="Furniture"/>
    <s v="Cash"/>
    <n v="5"/>
    <x v="1121"/>
  </r>
  <r>
    <x v="1059"/>
    <x v="2"/>
    <d v="2024-06-12T00:00:00"/>
    <n v="2024"/>
    <s v="Q2"/>
    <n v="6"/>
    <s v="Jun"/>
    <n v="4"/>
    <n v="163.49"/>
    <x v="1059"/>
    <s v="Furniture"/>
    <s v="Cash"/>
    <n v="5"/>
    <x v="1122"/>
  </r>
  <r>
    <x v="1060"/>
    <x v="2"/>
    <d v="2023-07-30T00:00:00"/>
    <n v="2023"/>
    <s v="Q3"/>
    <n v="7"/>
    <s v="Jul"/>
    <n v="5"/>
    <n v="501.45"/>
    <x v="1060"/>
    <s v="Electronics"/>
    <s v="Debit Card"/>
    <n v="2"/>
    <x v="1123"/>
  </r>
  <r>
    <x v="1061"/>
    <x v="6"/>
    <d v="2023-09-06T00:00:00"/>
    <n v="2023"/>
    <s v="Q3"/>
    <n v="9"/>
    <s v="Sep"/>
    <n v="7"/>
    <n v="138.65"/>
    <x v="1061"/>
    <s v="Office Supplies"/>
    <s v="Cash"/>
    <n v="5"/>
    <x v="1124"/>
  </r>
  <r>
    <x v="1062"/>
    <x v="6"/>
    <d v="2025-05-13T00:00:00"/>
    <n v="2025"/>
    <s v="Q2"/>
    <n v="5"/>
    <s v="May"/>
    <n v="7"/>
    <n v="614.28"/>
    <x v="1062"/>
    <s v="Electronics"/>
    <s v="Gift Card"/>
    <n v="1"/>
    <x v="1125"/>
  </r>
  <r>
    <x v="1063"/>
    <x v="0"/>
    <d v="2023-04-02T00:00:00"/>
    <n v="2023"/>
    <s v="Q2"/>
    <n v="4"/>
    <s v="Apr"/>
    <n v="6"/>
    <n v="294.38"/>
    <x v="1063"/>
    <s v="Furniture"/>
    <s v="Debit Card"/>
    <n v="1"/>
    <x v="1126"/>
  </r>
  <r>
    <x v="1064"/>
    <x v="1"/>
    <d v="2024-11-23T00:00:00"/>
    <n v="2024"/>
    <s v="Q4"/>
    <n v="11"/>
    <s v="Nov"/>
    <n v="5"/>
    <n v="505.66"/>
    <x v="1064"/>
    <s v="Furniture"/>
    <s v="Online"/>
    <n v="3"/>
    <x v="1127"/>
  </r>
  <r>
    <x v="1065"/>
    <x v="6"/>
    <d v="2024-09-15T00:00:00"/>
    <n v="2024"/>
    <s v="Q3"/>
    <n v="9"/>
    <s v="Sep"/>
    <n v="1"/>
    <n v="554.09"/>
    <x v="1065"/>
    <s v="Furniture"/>
    <s v="Cash"/>
    <n v="1"/>
    <x v="1128"/>
  </r>
  <r>
    <x v="1066"/>
    <x v="6"/>
    <d v="2025-06-29T00:00:00"/>
    <n v="2025"/>
    <s v="Q2"/>
    <n v="6"/>
    <s v="Jun"/>
    <n v="8"/>
    <n v="387.55"/>
    <x v="1066"/>
    <s v="Furniture"/>
    <s v="Gift Card"/>
    <n v="1"/>
    <x v="1129"/>
  </r>
  <r>
    <x v="1067"/>
    <x v="2"/>
    <d v="2024-01-12T00:00:00"/>
    <n v="2024"/>
    <s v="Q1"/>
    <n v="1"/>
    <s v="Jan"/>
    <n v="8"/>
    <n v="398.03"/>
    <x v="1067"/>
    <s v="Office Supplies"/>
    <s v="Gift Card"/>
    <n v="4"/>
    <x v="1130"/>
  </r>
  <r>
    <x v="1068"/>
    <x v="3"/>
    <d v="2024-04-18T00:00:00"/>
    <n v="2024"/>
    <s v="Q2"/>
    <n v="4"/>
    <s v="Apr"/>
    <n v="5"/>
    <n v="668.28"/>
    <x v="1068"/>
    <s v="Electronics"/>
    <s v="Credit Card"/>
    <n v="1"/>
    <x v="1131"/>
  </r>
  <r>
    <x v="1069"/>
    <x v="0"/>
    <d v="2023-12-20T00:00:00"/>
    <n v="2023"/>
    <s v="Q4"/>
    <n v="12"/>
    <s v="Dec"/>
    <n v="5"/>
    <n v="300.8"/>
    <x v="1069"/>
    <s v="Furniture"/>
    <s v="Gift Card"/>
    <n v="3"/>
    <x v="1132"/>
  </r>
  <r>
    <x v="1070"/>
    <x v="5"/>
    <d v="2024-04-25T00:00:00"/>
    <n v="2024"/>
    <s v="Q2"/>
    <n v="4"/>
    <s v="Apr"/>
    <n v="1"/>
    <n v="256.49"/>
    <x v="1070"/>
    <s v="Electronics"/>
    <s v="Cash"/>
    <n v="1"/>
    <x v="1133"/>
  </r>
  <r>
    <x v="1071"/>
    <x v="1"/>
    <d v="2025-06-28T00:00:00"/>
    <n v="2025"/>
    <s v="Q2"/>
    <n v="6"/>
    <s v="Jun"/>
    <n v="5"/>
    <n v="748.08"/>
    <x v="1071"/>
    <s v="Electronics"/>
    <s v="Gift Card"/>
    <n v="5"/>
    <x v="1134"/>
  </r>
  <r>
    <x v="1072"/>
    <x v="0"/>
    <d v="2023-10-07T00:00:00"/>
    <n v="2023"/>
    <s v="Q4"/>
    <n v="10"/>
    <s v="Oct"/>
    <n v="1"/>
    <n v="86.51"/>
    <x v="1072"/>
    <s v="Furniture"/>
    <s v="Gift Card"/>
    <n v="2"/>
    <x v="1135"/>
  </r>
  <r>
    <x v="1073"/>
    <x v="0"/>
    <d v="2023-05-01T00:00:00"/>
    <n v="2023"/>
    <s v="Q2"/>
    <n v="5"/>
    <s v="May"/>
    <n v="6"/>
    <n v="583.1"/>
    <x v="1073"/>
    <s v="Furniture"/>
    <s v="Gift Card"/>
    <n v="1"/>
    <x v="1136"/>
  </r>
  <r>
    <x v="1074"/>
    <x v="3"/>
    <d v="2025-06-11T00:00:00"/>
    <n v="2025"/>
    <s v="Q2"/>
    <n v="6"/>
    <s v="Jun"/>
    <n v="6"/>
    <n v="575.12"/>
    <x v="1074"/>
    <s v="Electronics"/>
    <s v="Gift Card"/>
    <n v="5"/>
    <x v="1137"/>
  </r>
  <r>
    <x v="1075"/>
    <x v="1"/>
    <d v="2023-06-21T00:00:00"/>
    <n v="2023"/>
    <s v="Q2"/>
    <n v="6"/>
    <s v="Jun"/>
    <n v="2"/>
    <n v="729.99"/>
    <x v="1075"/>
    <s v="Electronics"/>
    <s v="Credit Card"/>
    <n v="2"/>
    <x v="1138"/>
  </r>
  <r>
    <x v="1076"/>
    <x v="4"/>
    <d v="2023-02-04T00:00:00"/>
    <n v="2023"/>
    <s v="Q1"/>
    <n v="2"/>
    <s v="Feb"/>
    <n v="2"/>
    <n v="344.21"/>
    <x v="1076"/>
    <s v="Furniture"/>
    <s v="Credit Card"/>
    <n v="4"/>
    <x v="1139"/>
  </r>
  <r>
    <x v="1077"/>
    <x v="0"/>
    <d v="2025-05-16T00:00:00"/>
    <n v="2025"/>
    <s v="Q2"/>
    <n v="5"/>
    <s v="May"/>
    <n v="6"/>
    <n v="574.24"/>
    <x v="1077"/>
    <s v="Office Supplies"/>
    <s v="Online"/>
    <n v="3"/>
    <x v="1140"/>
  </r>
  <r>
    <x v="1078"/>
    <x v="1"/>
    <d v="2023-02-04T00:00:00"/>
    <n v="2023"/>
    <s v="Q1"/>
    <n v="2"/>
    <s v="Feb"/>
    <n v="4"/>
    <n v="749"/>
    <x v="1078"/>
    <s v="Furniture"/>
    <s v="Online"/>
    <n v="3"/>
    <x v="1141"/>
  </r>
  <r>
    <x v="1079"/>
    <x v="4"/>
    <d v="2025-01-23T00:00:00"/>
    <n v="2025"/>
    <s v="Q1"/>
    <n v="1"/>
    <s v="Jan"/>
    <n v="7"/>
    <n v="234.13"/>
    <x v="1079"/>
    <s v="Office Supplies"/>
    <s v="Cash"/>
    <n v="3"/>
    <x v="1142"/>
  </r>
  <r>
    <x v="1080"/>
    <x v="2"/>
    <d v="2025-03-01T00:00:00"/>
    <n v="2025"/>
    <s v="Q1"/>
    <n v="3"/>
    <s v="Mar"/>
    <n v="6"/>
    <n v="439.69"/>
    <x v="1080"/>
    <s v="Office Supplies"/>
    <s v="Gift Card"/>
    <n v="2"/>
    <x v="1143"/>
  </r>
  <r>
    <x v="636"/>
    <x v="4"/>
    <d v="2024-02-20T00:00:00"/>
    <n v="2024"/>
    <s v="Q1"/>
    <n v="2"/>
    <s v="Feb"/>
    <n v="5"/>
    <n v="691.17"/>
    <x v="636"/>
    <s v="Furniture"/>
    <s v="Debit Card"/>
    <n v="4"/>
    <x v="1144"/>
  </r>
  <r>
    <x v="1081"/>
    <x v="5"/>
    <d v="2023-05-23T00:00:00"/>
    <n v="2023"/>
    <s v="Q2"/>
    <n v="5"/>
    <s v="May"/>
    <n v="6"/>
    <n v="639.59"/>
    <x v="1081"/>
    <s v="Electronics"/>
    <s v="Credit Card"/>
    <n v="2"/>
    <x v="1145"/>
  </r>
  <r>
    <x v="1082"/>
    <x v="4"/>
    <d v="2024-05-16T00:00:00"/>
    <n v="2024"/>
    <s v="Q2"/>
    <n v="5"/>
    <s v="May"/>
    <n v="3"/>
    <n v="436.88"/>
    <x v="1082"/>
    <s v="Office Supplies"/>
    <s v="Online"/>
    <n v="4"/>
    <x v="1146"/>
  </r>
  <r>
    <x v="1083"/>
    <x v="6"/>
    <d v="2024-12-17T00:00:00"/>
    <n v="2024"/>
    <s v="Q4"/>
    <n v="12"/>
    <s v="Dec"/>
    <n v="4"/>
    <n v="360.14"/>
    <x v="1083"/>
    <s v="Electronics"/>
    <s v="Gift Card"/>
    <n v="4"/>
    <x v="1147"/>
  </r>
  <r>
    <x v="1084"/>
    <x v="4"/>
    <d v="2023-03-10T00:00:00"/>
    <n v="2023"/>
    <s v="Q1"/>
    <n v="3"/>
    <s v="Mar"/>
    <n v="8"/>
    <n v="349.84"/>
    <x v="1084"/>
    <s v="Electronics"/>
    <s v="Online"/>
    <n v="4"/>
    <x v="1148"/>
  </r>
  <r>
    <x v="1085"/>
    <x v="3"/>
    <d v="2023-02-27T00:00:00"/>
    <n v="2023"/>
    <s v="Q1"/>
    <n v="2"/>
    <s v="Feb"/>
    <n v="6"/>
    <n v="485.46"/>
    <x v="1085"/>
    <s v="Furniture"/>
    <s v="Credit Card"/>
    <n v="2"/>
    <x v="1149"/>
  </r>
  <r>
    <x v="1086"/>
    <x v="6"/>
    <d v="2024-05-12T00:00:00"/>
    <n v="2024"/>
    <s v="Q2"/>
    <n v="5"/>
    <s v="May"/>
    <n v="1"/>
    <n v="388.83"/>
    <x v="1086"/>
    <s v="Furniture"/>
    <s v="Online"/>
    <n v="1"/>
    <x v="1150"/>
  </r>
  <r>
    <x v="1087"/>
    <x v="0"/>
    <d v="2024-05-03T00:00:00"/>
    <n v="2024"/>
    <s v="Q2"/>
    <n v="5"/>
    <s v="May"/>
    <n v="7"/>
    <n v="337.95"/>
    <x v="1087"/>
    <s v="Office Supplies"/>
    <s v="Online"/>
    <n v="2"/>
    <x v="1151"/>
  </r>
  <r>
    <x v="902"/>
    <x v="6"/>
    <d v="2024-04-24T00:00:00"/>
    <n v="2024"/>
    <s v="Q2"/>
    <n v="4"/>
    <s v="Apr"/>
    <n v="3"/>
    <n v="560.63"/>
    <x v="902"/>
    <s v="Office Supplies"/>
    <s v="Debit Card"/>
    <n v="3"/>
    <x v="1152"/>
  </r>
  <r>
    <x v="1088"/>
    <x v="3"/>
    <d v="2023-01-15T00:00:00"/>
    <n v="2023"/>
    <s v="Q1"/>
    <n v="1"/>
    <s v="Jan"/>
    <n v="1"/>
    <n v="458.55"/>
    <x v="1088"/>
    <s v="Office Supplies"/>
    <s v="Debit Card"/>
    <n v="4"/>
    <x v="1153"/>
  </r>
  <r>
    <x v="660"/>
    <x v="1"/>
    <d v="2024-12-13T00:00:00"/>
    <n v="2024"/>
    <s v="Q4"/>
    <n v="12"/>
    <s v="Dec"/>
    <n v="2"/>
    <n v="155.1"/>
    <x v="660"/>
    <s v="Office Supplies"/>
    <s v="Debit Card"/>
    <n v="1"/>
    <x v="1154"/>
  </r>
  <r>
    <x v="1089"/>
    <x v="0"/>
    <d v="2023-10-15T00:00:00"/>
    <n v="2023"/>
    <s v="Q4"/>
    <n v="10"/>
    <s v="Oct"/>
    <n v="2"/>
    <n v="204.21"/>
    <x v="1089"/>
    <s v="Office Supplies"/>
    <s v="Debit Card"/>
    <n v="3"/>
    <x v="1155"/>
  </r>
  <r>
    <x v="1090"/>
    <x v="6"/>
    <d v="2023-12-22T00:00:00"/>
    <n v="2023"/>
    <s v="Q4"/>
    <n v="12"/>
    <s v="Dec"/>
    <n v="4"/>
    <n v="710.91"/>
    <x v="1090"/>
    <s v="Electronics"/>
    <s v="Online"/>
    <n v="5"/>
    <x v="1156"/>
  </r>
  <r>
    <x v="1091"/>
    <x v="3"/>
    <d v="2024-06-30T00:00:00"/>
    <n v="2024"/>
    <s v="Q2"/>
    <n v="6"/>
    <s v="Jun"/>
    <n v="5"/>
    <n v="796.69"/>
    <x v="1091"/>
    <s v="Office Supplies"/>
    <s v="Cash"/>
    <n v="5"/>
    <x v="1157"/>
  </r>
  <r>
    <x v="1092"/>
    <x v="0"/>
    <d v="2024-04-01T00:00:00"/>
    <n v="2024"/>
    <s v="Q2"/>
    <n v="4"/>
    <s v="Apr"/>
    <n v="6"/>
    <n v="399.93"/>
    <x v="1092"/>
    <s v="Electronics"/>
    <s v="Gift Card"/>
    <n v="1"/>
    <x v="1158"/>
  </r>
  <r>
    <x v="1093"/>
    <x v="5"/>
    <d v="2024-04-05T00:00:00"/>
    <n v="2024"/>
    <s v="Q2"/>
    <n v="4"/>
    <s v="Apr"/>
    <n v="7"/>
    <n v="27.49"/>
    <x v="1093"/>
    <s v="Office Supplies"/>
    <s v="Debit Card"/>
    <n v="1"/>
    <x v="1159"/>
  </r>
  <r>
    <x v="1094"/>
    <x v="6"/>
    <d v="2023-03-31T00:00:00"/>
    <n v="2023"/>
    <s v="Q1"/>
    <n v="3"/>
    <s v="Mar"/>
    <n v="3"/>
    <n v="33.21"/>
    <x v="1094"/>
    <s v="Furniture"/>
    <s v="Online"/>
    <n v="1"/>
    <x v="1160"/>
  </r>
  <r>
    <x v="1095"/>
    <x v="1"/>
    <d v="2023-05-06T00:00:00"/>
    <n v="2023"/>
    <s v="Q2"/>
    <n v="5"/>
    <s v="May"/>
    <n v="7"/>
    <n v="763.93"/>
    <x v="1095"/>
    <s v="Office Supplies"/>
    <s v="Gift Card"/>
    <n v="3"/>
    <x v="1161"/>
  </r>
  <r>
    <x v="1096"/>
    <x v="6"/>
    <d v="2024-12-09T00:00:00"/>
    <n v="2024"/>
    <s v="Q4"/>
    <n v="12"/>
    <s v="Dec"/>
    <n v="7"/>
    <n v="733.48"/>
    <x v="1096"/>
    <s v="Office Supplies"/>
    <s v="Gift Card"/>
    <n v="3"/>
    <x v="1162"/>
  </r>
  <r>
    <x v="1097"/>
    <x v="5"/>
    <d v="2024-08-25T00:00:00"/>
    <n v="2024"/>
    <s v="Q3"/>
    <n v="8"/>
    <s v="Aug"/>
    <n v="5"/>
    <n v="773.35"/>
    <x v="1097"/>
    <s v="Office Supplies"/>
    <s v="Gift Card"/>
    <n v="4"/>
    <x v="1163"/>
  </r>
  <r>
    <x v="1098"/>
    <x v="6"/>
    <d v="2024-04-01T00:00:00"/>
    <n v="2024"/>
    <s v="Q2"/>
    <n v="4"/>
    <s v="Apr"/>
    <n v="7"/>
    <n v="566.09"/>
    <x v="1098"/>
    <s v="Electronics"/>
    <s v="Cash"/>
    <n v="3"/>
    <x v="1164"/>
  </r>
  <r>
    <x v="1099"/>
    <x v="1"/>
    <d v="2025-01-24T00:00:00"/>
    <n v="2025"/>
    <s v="Q1"/>
    <n v="1"/>
    <s v="Jan"/>
    <n v="2"/>
    <n v="524"/>
    <x v="1099"/>
    <s v="Furniture"/>
    <s v="Cash"/>
    <n v="1"/>
    <x v="1165"/>
  </r>
  <r>
    <x v="1100"/>
    <x v="2"/>
    <d v="2024-10-12T00:00:00"/>
    <n v="2024"/>
    <s v="Q4"/>
    <n v="10"/>
    <s v="Oct"/>
    <n v="1"/>
    <n v="102.17"/>
    <x v="1100"/>
    <s v="Furniture"/>
    <s v="Cash"/>
    <n v="5"/>
    <x v="1166"/>
  </r>
  <r>
    <x v="1101"/>
    <x v="1"/>
    <d v="2024-11-23T00:00:00"/>
    <n v="2024"/>
    <s v="Q4"/>
    <n v="11"/>
    <s v="Nov"/>
    <n v="1"/>
    <n v="47.97"/>
    <x v="1101"/>
    <s v="Office Supplies"/>
    <s v="Cash"/>
    <n v="4"/>
    <x v="1167"/>
  </r>
  <r>
    <x v="1102"/>
    <x v="6"/>
    <d v="2023-07-01T00:00:00"/>
    <n v="2023"/>
    <s v="Q3"/>
    <n v="7"/>
    <s v="Jul"/>
    <n v="6"/>
    <n v="394.83"/>
    <x v="1102"/>
    <s v="Furniture"/>
    <s v="Credit Card"/>
    <n v="3"/>
    <x v="1168"/>
  </r>
  <r>
    <x v="1103"/>
    <x v="1"/>
    <d v="2023-11-18T00:00:00"/>
    <n v="2023"/>
    <s v="Q4"/>
    <n v="11"/>
    <s v="Nov"/>
    <n v="8"/>
    <n v="427.09"/>
    <x v="1103"/>
    <s v="Office Supplies"/>
    <s v="Credit Card"/>
    <n v="1"/>
    <x v="1169"/>
  </r>
  <r>
    <x v="1104"/>
    <x v="2"/>
    <d v="2023-02-27T00:00:00"/>
    <n v="2023"/>
    <s v="Q1"/>
    <n v="2"/>
    <s v="Feb"/>
    <n v="5"/>
    <n v="127.45"/>
    <x v="1104"/>
    <s v="Office Supplies"/>
    <s v="Credit Card"/>
    <n v="4"/>
    <x v="1170"/>
  </r>
  <r>
    <x v="1105"/>
    <x v="6"/>
    <d v="2024-12-26T00:00:00"/>
    <n v="2024"/>
    <s v="Q4"/>
    <n v="12"/>
    <s v="Dec"/>
    <n v="4"/>
    <n v="653.41"/>
    <x v="1105"/>
    <s v="Electronics"/>
    <s v="Online"/>
    <n v="1"/>
    <x v="1171"/>
  </r>
  <r>
    <x v="1106"/>
    <x v="0"/>
    <d v="2023-11-03T00:00:00"/>
    <n v="2023"/>
    <s v="Q4"/>
    <n v="11"/>
    <s v="Nov"/>
    <n v="4"/>
    <n v="562.28"/>
    <x v="1106"/>
    <s v="Electronics"/>
    <s v="Cash"/>
    <n v="3"/>
    <x v="1172"/>
  </r>
  <r>
    <x v="668"/>
    <x v="6"/>
    <d v="2025-03-26T00:00:00"/>
    <n v="2025"/>
    <s v="Q1"/>
    <n v="3"/>
    <s v="Mar"/>
    <n v="4"/>
    <n v="464.74"/>
    <x v="668"/>
    <s v="Furniture"/>
    <s v="Gift Card"/>
    <n v="4"/>
    <x v="1173"/>
  </r>
  <r>
    <x v="1107"/>
    <x v="6"/>
    <d v="2023-06-15T00:00:00"/>
    <n v="2023"/>
    <s v="Q2"/>
    <n v="6"/>
    <s v="Jun"/>
    <n v="6"/>
    <n v="477.93"/>
    <x v="1107"/>
    <s v="Furniture"/>
    <s v="Cash"/>
    <n v="3"/>
    <x v="1174"/>
  </r>
  <r>
    <x v="1108"/>
    <x v="4"/>
    <d v="2023-08-24T00:00:00"/>
    <n v="2023"/>
    <s v="Q3"/>
    <n v="8"/>
    <s v="Aug"/>
    <n v="2"/>
    <n v="771.13"/>
    <x v="1108"/>
    <s v="Office Supplies"/>
    <s v="Debit Card"/>
    <n v="2"/>
    <x v="1175"/>
  </r>
  <r>
    <x v="1109"/>
    <x v="1"/>
    <d v="2024-05-20T00:00:00"/>
    <n v="2024"/>
    <s v="Q2"/>
    <n v="5"/>
    <s v="May"/>
    <n v="4"/>
    <n v="492.34"/>
    <x v="1109"/>
    <s v="Electronics"/>
    <s v="Debit Card"/>
    <n v="5"/>
    <x v="1176"/>
  </r>
  <r>
    <x v="1110"/>
    <x v="3"/>
    <d v="2025-06-07T00:00:00"/>
    <n v="2025"/>
    <s v="Q2"/>
    <n v="6"/>
    <s v="Jun"/>
    <n v="6"/>
    <n v="494.34"/>
    <x v="1110"/>
    <s v="Electronics"/>
    <s v="Cash"/>
    <n v="2"/>
    <x v="1177"/>
  </r>
  <r>
    <x v="1111"/>
    <x v="2"/>
    <d v="2025-06-14T00:00:00"/>
    <n v="2025"/>
    <s v="Q2"/>
    <n v="6"/>
    <s v="Jun"/>
    <n v="6"/>
    <n v="522.14"/>
    <x v="1111"/>
    <s v="Furniture"/>
    <s v="Online"/>
    <n v="5"/>
    <x v="1178"/>
  </r>
  <r>
    <x v="135"/>
    <x v="5"/>
    <d v="2023-08-09T00:00:00"/>
    <n v="2023"/>
    <s v="Q3"/>
    <n v="8"/>
    <s v="Aug"/>
    <n v="1"/>
    <n v="552.91999999999996"/>
    <x v="135"/>
    <s v="Office Supplies"/>
    <s v="Credit Card"/>
    <n v="4"/>
    <x v="1179"/>
  </r>
  <r>
    <x v="1112"/>
    <x v="2"/>
    <d v="2023-03-19T00:00:00"/>
    <n v="2023"/>
    <s v="Q1"/>
    <n v="3"/>
    <s v="Mar"/>
    <n v="6"/>
    <n v="427.99"/>
    <x v="1112"/>
    <s v="Electronics"/>
    <s v="Debit Card"/>
    <n v="1"/>
    <x v="1180"/>
  </r>
  <r>
    <x v="1113"/>
    <x v="0"/>
    <d v="2025-04-13T00:00:00"/>
    <n v="2025"/>
    <s v="Q2"/>
    <n v="4"/>
    <s v="Apr"/>
    <n v="8"/>
    <n v="191.88"/>
    <x v="1113"/>
    <s v="Electronics"/>
    <s v="Debit Card"/>
    <n v="5"/>
    <x v="1181"/>
  </r>
  <r>
    <x v="1114"/>
    <x v="0"/>
    <d v="2024-05-01T00:00:00"/>
    <n v="2024"/>
    <s v="Q2"/>
    <n v="5"/>
    <s v="May"/>
    <n v="2"/>
    <n v="152.69999999999999"/>
    <x v="1114"/>
    <s v="Office Supplies"/>
    <s v="Cash"/>
    <n v="4"/>
    <x v="1182"/>
  </r>
  <r>
    <x v="1115"/>
    <x v="3"/>
    <d v="2024-05-31T00:00:00"/>
    <n v="2024"/>
    <s v="Q2"/>
    <n v="5"/>
    <s v="May"/>
    <n v="5"/>
    <n v="521.72"/>
    <x v="1115"/>
    <s v="Electronics"/>
    <s v="Debit Card"/>
    <n v="2"/>
    <x v="1183"/>
  </r>
  <r>
    <x v="1116"/>
    <x v="5"/>
    <d v="2025-04-03T00:00:00"/>
    <n v="2025"/>
    <s v="Q2"/>
    <n v="4"/>
    <s v="Apr"/>
    <n v="2"/>
    <n v="618.34"/>
    <x v="1116"/>
    <s v="Electronics"/>
    <s v="Credit Card"/>
    <n v="3"/>
    <x v="1184"/>
  </r>
  <r>
    <x v="1117"/>
    <x v="5"/>
    <d v="2023-04-29T00:00:00"/>
    <n v="2023"/>
    <s v="Q2"/>
    <n v="4"/>
    <s v="Apr"/>
    <n v="8"/>
    <n v="55.62"/>
    <x v="1117"/>
    <s v="Office Supplies"/>
    <s v="Cash"/>
    <n v="5"/>
    <x v="1185"/>
  </r>
  <r>
    <x v="1118"/>
    <x v="5"/>
    <d v="2024-03-04T00:00:00"/>
    <n v="2024"/>
    <s v="Q1"/>
    <n v="3"/>
    <s v="Mar"/>
    <n v="3"/>
    <n v="460.15"/>
    <x v="1118"/>
    <s v="Furniture"/>
    <s v="Cash"/>
    <n v="2"/>
    <x v="1186"/>
  </r>
  <r>
    <x v="1119"/>
    <x v="1"/>
    <d v="2024-06-14T00:00:00"/>
    <n v="2024"/>
    <s v="Q2"/>
    <n v="6"/>
    <s v="Jun"/>
    <n v="1"/>
    <n v="391.49"/>
    <x v="1119"/>
    <s v="Office Supplies"/>
    <s v="Gift Card"/>
    <n v="4"/>
    <x v="1187"/>
  </r>
  <r>
    <x v="1120"/>
    <x v="2"/>
    <d v="2023-06-16T00:00:00"/>
    <n v="2023"/>
    <s v="Q2"/>
    <n v="6"/>
    <s v="Jun"/>
    <n v="4"/>
    <n v="412.28"/>
    <x v="1120"/>
    <s v="Electronics"/>
    <s v="Debit Card"/>
    <n v="4"/>
    <x v="1188"/>
  </r>
  <r>
    <x v="1121"/>
    <x v="5"/>
    <d v="2024-05-29T00:00:00"/>
    <n v="2024"/>
    <s v="Q2"/>
    <n v="5"/>
    <s v="May"/>
    <n v="2"/>
    <n v="380.34"/>
    <x v="1121"/>
    <s v="Office Supplies"/>
    <s v="Online"/>
    <n v="5"/>
    <x v="1189"/>
  </r>
  <r>
    <x v="33"/>
    <x v="6"/>
    <d v="2024-08-18T00:00:00"/>
    <n v="2024"/>
    <s v="Q3"/>
    <n v="8"/>
    <s v="Aug"/>
    <n v="3"/>
    <n v="728.86"/>
    <x v="33"/>
    <s v="Electronics"/>
    <s v="Gift Card"/>
    <n v="5"/>
    <x v="1190"/>
  </r>
  <r>
    <x v="1122"/>
    <x v="5"/>
    <d v="2024-08-23T00:00:00"/>
    <n v="2024"/>
    <s v="Q3"/>
    <n v="8"/>
    <s v="Aug"/>
    <n v="5"/>
    <n v="324.42"/>
    <x v="1122"/>
    <s v="Electronics"/>
    <s v="Debit Card"/>
    <n v="1"/>
    <x v="1191"/>
  </r>
  <r>
    <x v="1123"/>
    <x v="3"/>
    <d v="2023-10-12T00:00:00"/>
    <n v="2023"/>
    <s v="Q4"/>
    <n v="10"/>
    <s v="Oct"/>
    <n v="4"/>
    <n v="107.13"/>
    <x v="1123"/>
    <s v="Electronics"/>
    <s v="Debit Card"/>
    <n v="4"/>
    <x v="1192"/>
  </r>
  <r>
    <x v="83"/>
    <x v="6"/>
    <d v="2023-06-25T00:00:00"/>
    <n v="2023"/>
    <s v="Q2"/>
    <n v="6"/>
    <s v="Jun"/>
    <n v="7"/>
    <n v="440.79"/>
    <x v="83"/>
    <s v="Electronics"/>
    <s v="Credit Card"/>
    <n v="5"/>
    <x v="1193"/>
  </r>
  <r>
    <x v="1124"/>
    <x v="5"/>
    <d v="2024-04-15T00:00:00"/>
    <n v="2024"/>
    <s v="Q2"/>
    <n v="4"/>
    <s v="Apr"/>
    <n v="4"/>
    <n v="16.100000000000001"/>
    <x v="1124"/>
    <s v="Furniture"/>
    <s v="Cash"/>
    <n v="3"/>
    <x v="1194"/>
  </r>
  <r>
    <x v="1125"/>
    <x v="5"/>
    <d v="2025-02-26T00:00:00"/>
    <n v="2025"/>
    <s v="Q1"/>
    <n v="2"/>
    <s v="Feb"/>
    <n v="4"/>
    <n v="420.9"/>
    <x v="1125"/>
    <s v="Office Supplies"/>
    <s v="Debit Card"/>
    <n v="3"/>
    <x v="1195"/>
  </r>
  <r>
    <x v="1126"/>
    <x v="5"/>
    <d v="2024-11-23T00:00:00"/>
    <n v="2024"/>
    <s v="Q4"/>
    <n v="11"/>
    <s v="Nov"/>
    <n v="7"/>
    <n v="8.07"/>
    <x v="1126"/>
    <s v="Electronics"/>
    <s v="Cash"/>
    <n v="1"/>
    <x v="1196"/>
  </r>
  <r>
    <x v="1127"/>
    <x v="3"/>
    <d v="2023-04-08T00:00:00"/>
    <n v="2023"/>
    <s v="Q2"/>
    <n v="4"/>
    <s v="Apr"/>
    <n v="6"/>
    <n v="151.15"/>
    <x v="1127"/>
    <s v="Furniture"/>
    <s v="Cash"/>
    <n v="2"/>
    <x v="1197"/>
  </r>
  <r>
    <x v="1128"/>
    <x v="6"/>
    <d v="2023-06-14T00:00:00"/>
    <n v="2023"/>
    <s v="Q2"/>
    <n v="6"/>
    <s v="Jun"/>
    <n v="2"/>
    <n v="755.25"/>
    <x v="1128"/>
    <s v="Furniture"/>
    <s v="Credit Card"/>
    <n v="1"/>
    <x v="1198"/>
  </r>
  <r>
    <x v="1129"/>
    <x v="1"/>
    <d v="2024-08-12T00:00:00"/>
    <n v="2024"/>
    <s v="Q3"/>
    <n v="8"/>
    <s v="Aug"/>
    <n v="2"/>
    <n v="150.26"/>
    <x v="1129"/>
    <s v="Furniture"/>
    <s v="Online"/>
    <n v="4"/>
    <x v="1199"/>
  </r>
  <r>
    <x v="1130"/>
    <x v="5"/>
    <d v="2024-02-04T00:00:00"/>
    <n v="2024"/>
    <s v="Q1"/>
    <n v="2"/>
    <s v="Feb"/>
    <n v="2"/>
    <n v="291.63"/>
    <x v="1130"/>
    <s v="Furniture"/>
    <s v="Gift Card"/>
    <n v="5"/>
    <x v="1200"/>
  </r>
  <r>
    <x v="1131"/>
    <x v="1"/>
    <d v="2024-02-11T00:00:00"/>
    <n v="2024"/>
    <s v="Q1"/>
    <n v="2"/>
    <s v="Feb"/>
    <n v="6"/>
    <n v="486.65"/>
    <x v="1131"/>
    <s v="Furniture"/>
    <s v="Debit Card"/>
    <n v="2"/>
    <x v="1201"/>
  </r>
  <r>
    <x v="319"/>
    <x v="6"/>
    <d v="2023-03-21T00:00:00"/>
    <n v="2023"/>
    <s v="Q1"/>
    <n v="3"/>
    <s v="Mar"/>
    <n v="2"/>
    <n v="321.64"/>
    <x v="319"/>
    <s v="Electronics"/>
    <s v="Credit Card"/>
    <n v="2"/>
    <x v="1202"/>
  </r>
  <r>
    <x v="1132"/>
    <x v="0"/>
    <d v="2023-05-16T00:00:00"/>
    <n v="2023"/>
    <s v="Q2"/>
    <n v="5"/>
    <s v="May"/>
    <n v="2"/>
    <n v="146.97999999999999"/>
    <x v="1132"/>
    <s v="Office Supplies"/>
    <s v="Gift Card"/>
    <n v="4"/>
    <x v="1203"/>
  </r>
  <r>
    <x v="1133"/>
    <x v="5"/>
    <d v="2025-05-21T00:00:00"/>
    <n v="2025"/>
    <s v="Q2"/>
    <n v="5"/>
    <s v="May"/>
    <n v="2"/>
    <n v="594.86"/>
    <x v="1133"/>
    <s v="Furniture"/>
    <s v="Debit Card"/>
    <n v="4"/>
    <x v="1204"/>
  </r>
  <r>
    <x v="1134"/>
    <x v="3"/>
    <d v="2023-05-09T00:00:00"/>
    <n v="2023"/>
    <s v="Q2"/>
    <n v="5"/>
    <s v="May"/>
    <n v="2"/>
    <n v="13.46"/>
    <x v="1134"/>
    <s v="Electronics"/>
    <s v="Cash"/>
    <n v="5"/>
    <x v="1205"/>
  </r>
  <r>
    <x v="1135"/>
    <x v="0"/>
    <d v="2024-10-17T00:00:00"/>
    <n v="2024"/>
    <s v="Q4"/>
    <n v="10"/>
    <s v="Oct"/>
    <n v="2"/>
    <n v="479.11"/>
    <x v="1135"/>
    <s v="Electronics"/>
    <s v="Online"/>
    <n v="4"/>
    <x v="1206"/>
  </r>
  <r>
    <x v="1136"/>
    <x v="4"/>
    <d v="2024-01-02T00:00:00"/>
    <n v="2024"/>
    <s v="Q1"/>
    <n v="1"/>
    <s v="Jan"/>
    <n v="7"/>
    <n v="747.6"/>
    <x v="1136"/>
    <s v="Furniture"/>
    <s v="Cash"/>
    <n v="2"/>
    <x v="1207"/>
  </r>
  <r>
    <x v="1137"/>
    <x v="4"/>
    <d v="2024-04-06T00:00:00"/>
    <n v="2024"/>
    <s v="Q2"/>
    <n v="4"/>
    <s v="Apr"/>
    <n v="1"/>
    <n v="292.60000000000002"/>
    <x v="1137"/>
    <s v="Office Supplies"/>
    <s v="Gift Card"/>
    <n v="1"/>
    <x v="1208"/>
  </r>
  <r>
    <x v="1138"/>
    <x v="5"/>
    <d v="2024-01-30T00:00:00"/>
    <n v="2024"/>
    <s v="Q1"/>
    <n v="1"/>
    <s v="Jan"/>
    <n v="7"/>
    <n v="393.52"/>
    <x v="1138"/>
    <s v="Office Supplies"/>
    <s v="Gift Card"/>
    <n v="2"/>
    <x v="1209"/>
  </r>
  <r>
    <x v="1139"/>
    <x v="6"/>
    <d v="2023-07-24T00:00:00"/>
    <n v="2023"/>
    <s v="Q3"/>
    <n v="7"/>
    <s v="Jul"/>
    <n v="5"/>
    <n v="462.31"/>
    <x v="1139"/>
    <s v="Office Supplies"/>
    <s v="Debit Card"/>
    <n v="4"/>
    <x v="1210"/>
  </r>
  <r>
    <x v="1140"/>
    <x v="2"/>
    <d v="2025-04-01T00:00:00"/>
    <n v="2025"/>
    <s v="Q2"/>
    <n v="4"/>
    <s v="Apr"/>
    <n v="4"/>
    <n v="231.92"/>
    <x v="1140"/>
    <s v="Office Supplies"/>
    <s v="Cash"/>
    <n v="3"/>
    <x v="1211"/>
  </r>
  <r>
    <x v="1048"/>
    <x v="3"/>
    <d v="2025-05-02T00:00:00"/>
    <n v="2025"/>
    <s v="Q2"/>
    <n v="5"/>
    <s v="May"/>
    <n v="5"/>
    <n v="406.75"/>
    <x v="1048"/>
    <s v="Electronics"/>
    <s v="Gift Card"/>
    <n v="5"/>
    <x v="1212"/>
  </r>
  <r>
    <x v="1141"/>
    <x v="6"/>
    <d v="2025-06-27T00:00:00"/>
    <n v="2025"/>
    <s v="Q2"/>
    <n v="6"/>
    <s v="Jun"/>
    <n v="5"/>
    <n v="299.64"/>
    <x v="1141"/>
    <s v="Electronics"/>
    <s v="Cash"/>
    <n v="5"/>
    <x v="1213"/>
  </r>
  <r>
    <x v="51"/>
    <x v="4"/>
    <d v="2024-10-12T00:00:00"/>
    <n v="2024"/>
    <s v="Q4"/>
    <n v="10"/>
    <s v="Oct"/>
    <n v="2"/>
    <n v="443.01"/>
    <x v="51"/>
    <s v="Office Supplies"/>
    <s v="Gift Card"/>
    <n v="3"/>
    <x v="1214"/>
  </r>
  <r>
    <x v="1142"/>
    <x v="4"/>
    <d v="2024-06-30T00:00:00"/>
    <n v="2024"/>
    <s v="Q2"/>
    <n v="6"/>
    <s v="Jun"/>
    <n v="5"/>
    <n v="220.51"/>
    <x v="1142"/>
    <s v="Electronics"/>
    <s v="Online"/>
    <n v="2"/>
    <x v="1215"/>
  </r>
  <r>
    <x v="1143"/>
    <x v="5"/>
    <d v="2024-08-12T00:00:00"/>
    <n v="2024"/>
    <s v="Q3"/>
    <n v="8"/>
    <s v="Aug"/>
    <n v="3"/>
    <n v="729.13"/>
    <x v="1143"/>
    <s v="Office Supplies"/>
    <s v="Gift Card"/>
    <n v="2"/>
    <x v="1216"/>
  </r>
  <r>
    <x v="1144"/>
    <x v="6"/>
    <d v="2023-05-06T00:00:00"/>
    <n v="2023"/>
    <s v="Q2"/>
    <n v="5"/>
    <s v="May"/>
    <n v="8"/>
    <n v="301.75"/>
    <x v="1144"/>
    <s v="Electronics"/>
    <s v="Credit Card"/>
    <n v="3"/>
    <x v="1217"/>
  </r>
  <r>
    <x v="1145"/>
    <x v="0"/>
    <d v="2024-09-22T00:00:00"/>
    <n v="2024"/>
    <s v="Q3"/>
    <n v="9"/>
    <s v="Sep"/>
    <n v="5"/>
    <n v="786.24"/>
    <x v="1145"/>
    <s v="Furniture"/>
    <s v="Credit Card"/>
    <n v="4"/>
    <x v="1218"/>
  </r>
  <r>
    <x v="1146"/>
    <x v="2"/>
    <d v="2024-02-21T00:00:00"/>
    <n v="2024"/>
    <s v="Q1"/>
    <n v="2"/>
    <s v="Feb"/>
    <n v="6"/>
    <n v="484.73"/>
    <x v="1146"/>
    <s v="Electronics"/>
    <s v="Debit Card"/>
    <n v="3"/>
    <x v="1219"/>
  </r>
  <r>
    <x v="1147"/>
    <x v="2"/>
    <d v="2025-02-24T00:00:00"/>
    <n v="2025"/>
    <s v="Q1"/>
    <n v="2"/>
    <s v="Feb"/>
    <n v="3"/>
    <n v="600.34"/>
    <x v="1147"/>
    <s v="Furniture"/>
    <s v="Credit Card"/>
    <n v="4"/>
    <x v="1220"/>
  </r>
  <r>
    <x v="1148"/>
    <x v="6"/>
    <d v="2023-03-28T00:00:00"/>
    <n v="2023"/>
    <s v="Q1"/>
    <n v="3"/>
    <s v="Mar"/>
    <n v="2"/>
    <n v="332.97"/>
    <x v="1148"/>
    <s v="Electronics"/>
    <s v="Online"/>
    <n v="2"/>
    <x v="1221"/>
  </r>
  <r>
    <x v="1149"/>
    <x v="4"/>
    <d v="2023-10-22T00:00:00"/>
    <n v="2023"/>
    <s v="Q4"/>
    <n v="10"/>
    <s v="Oct"/>
    <n v="8"/>
    <n v="555.17999999999995"/>
    <x v="1149"/>
    <s v="Electronics"/>
    <s v="Cash"/>
    <n v="2"/>
    <x v="1222"/>
  </r>
  <r>
    <x v="1150"/>
    <x v="0"/>
    <d v="2025-02-03T00:00:00"/>
    <n v="2025"/>
    <s v="Q1"/>
    <n v="2"/>
    <s v="Feb"/>
    <n v="5"/>
    <n v="93.9"/>
    <x v="1150"/>
    <s v="Electronics"/>
    <s v="Gift Card"/>
    <n v="3"/>
    <x v="1223"/>
  </r>
  <r>
    <x v="1151"/>
    <x v="2"/>
    <d v="2024-04-12T00:00:00"/>
    <n v="2024"/>
    <s v="Q2"/>
    <n v="4"/>
    <s v="Apr"/>
    <n v="8"/>
    <n v="152.71"/>
    <x v="1151"/>
    <s v="Office Supplies"/>
    <s v="Cash"/>
    <n v="4"/>
    <x v="1224"/>
  </r>
  <r>
    <x v="1152"/>
    <x v="4"/>
    <d v="2024-10-31T00:00:00"/>
    <n v="2024"/>
    <s v="Q4"/>
    <n v="10"/>
    <s v="Oct"/>
    <n v="7"/>
    <n v="653.64"/>
    <x v="1152"/>
    <s v="Electronics"/>
    <s v="Cash"/>
    <n v="5"/>
    <x v="1225"/>
  </r>
  <r>
    <x v="1153"/>
    <x v="0"/>
    <d v="2025-05-29T00:00:00"/>
    <n v="2025"/>
    <s v="Q2"/>
    <n v="5"/>
    <s v="May"/>
    <n v="1"/>
    <n v="83.94"/>
    <x v="1153"/>
    <s v="Office Supplies"/>
    <s v="Gift Card"/>
    <n v="5"/>
    <x v="1226"/>
  </r>
  <r>
    <x v="1154"/>
    <x v="5"/>
    <d v="2024-06-05T00:00:00"/>
    <n v="2024"/>
    <s v="Q2"/>
    <n v="6"/>
    <s v="Jun"/>
    <n v="4"/>
    <n v="170.91"/>
    <x v="1154"/>
    <s v="Electronics"/>
    <s v="Debit Card"/>
    <n v="2"/>
    <x v="1227"/>
  </r>
  <r>
    <x v="1155"/>
    <x v="6"/>
    <d v="2025-03-09T00:00:00"/>
    <n v="2025"/>
    <s v="Q1"/>
    <n v="3"/>
    <s v="Mar"/>
    <n v="8"/>
    <n v="335.81"/>
    <x v="1155"/>
    <s v="Furniture"/>
    <s v="Debit Card"/>
    <n v="1"/>
    <x v="1228"/>
  </r>
  <r>
    <x v="1156"/>
    <x v="5"/>
    <d v="2024-12-09T00:00:00"/>
    <n v="2024"/>
    <s v="Q4"/>
    <n v="12"/>
    <s v="Dec"/>
    <n v="4"/>
    <n v="229.4"/>
    <x v="1156"/>
    <s v="Furniture"/>
    <s v="Debit Card"/>
    <n v="1"/>
    <x v="1229"/>
  </r>
  <r>
    <x v="1157"/>
    <x v="2"/>
    <d v="2025-03-06T00:00:00"/>
    <n v="2025"/>
    <s v="Q1"/>
    <n v="3"/>
    <s v="Mar"/>
    <n v="4"/>
    <n v="536.23"/>
    <x v="1157"/>
    <s v="Electronics"/>
    <s v="Credit Card"/>
    <n v="4"/>
    <x v="1230"/>
  </r>
  <r>
    <x v="1158"/>
    <x v="0"/>
    <d v="2023-12-17T00:00:00"/>
    <n v="2023"/>
    <s v="Q4"/>
    <n v="12"/>
    <s v="Dec"/>
    <n v="1"/>
    <n v="654.47"/>
    <x v="1158"/>
    <s v="Furniture"/>
    <s v="Credit Card"/>
    <n v="4"/>
    <x v="1231"/>
  </r>
  <r>
    <x v="1159"/>
    <x v="2"/>
    <d v="2023-01-01T00:00:00"/>
    <n v="2023"/>
    <s v="Q1"/>
    <n v="1"/>
    <s v="Jan"/>
    <n v="3"/>
    <n v="366.1"/>
    <x v="1159"/>
    <s v="Office Supplies"/>
    <s v="Debit Card"/>
    <n v="2"/>
    <x v="1232"/>
  </r>
  <r>
    <x v="1160"/>
    <x v="2"/>
    <d v="2023-03-17T00:00:00"/>
    <n v="2023"/>
    <s v="Q1"/>
    <n v="3"/>
    <s v="Mar"/>
    <n v="8"/>
    <n v="433.99"/>
    <x v="1160"/>
    <s v="Furniture"/>
    <s v="Credit Card"/>
    <n v="3"/>
    <x v="1233"/>
  </r>
  <r>
    <x v="1161"/>
    <x v="1"/>
    <d v="2025-01-10T00:00:00"/>
    <n v="2025"/>
    <s v="Q1"/>
    <n v="1"/>
    <s v="Jan"/>
    <n v="1"/>
    <n v="482.69"/>
    <x v="1161"/>
    <s v="Electronics"/>
    <s v="Debit Card"/>
    <n v="5"/>
    <x v="1234"/>
  </r>
  <r>
    <x v="1162"/>
    <x v="6"/>
    <d v="2023-02-17T00:00:00"/>
    <n v="2023"/>
    <s v="Q1"/>
    <n v="2"/>
    <s v="Feb"/>
    <n v="3"/>
    <n v="695.18"/>
    <x v="1162"/>
    <s v="Electronics"/>
    <s v="Online"/>
    <n v="1"/>
    <x v="1235"/>
  </r>
  <r>
    <x v="1163"/>
    <x v="1"/>
    <d v="2023-11-28T00:00:00"/>
    <n v="2023"/>
    <s v="Q4"/>
    <n v="11"/>
    <s v="Nov"/>
    <n v="7"/>
    <n v="194.8"/>
    <x v="1163"/>
    <s v="Furniture"/>
    <s v="Debit Card"/>
    <n v="4"/>
    <x v="1236"/>
  </r>
  <r>
    <x v="1164"/>
    <x v="5"/>
    <d v="2024-10-28T00:00:00"/>
    <n v="2024"/>
    <s v="Q4"/>
    <n v="10"/>
    <s v="Oct"/>
    <n v="2"/>
    <n v="173.39"/>
    <x v="1164"/>
    <s v="Electronics"/>
    <s v="Credit Card"/>
    <n v="1"/>
    <x v="1237"/>
  </r>
  <r>
    <x v="1165"/>
    <x v="6"/>
    <d v="2024-01-24T00:00:00"/>
    <n v="2024"/>
    <s v="Q1"/>
    <n v="1"/>
    <s v="Jan"/>
    <n v="7"/>
    <n v="511.56"/>
    <x v="1165"/>
    <s v="Office Supplies"/>
    <s v="Cash"/>
    <n v="3"/>
    <x v="1238"/>
  </r>
  <r>
    <x v="921"/>
    <x v="1"/>
    <d v="2023-05-10T00:00:00"/>
    <n v="2023"/>
    <s v="Q2"/>
    <n v="5"/>
    <s v="May"/>
    <n v="6"/>
    <n v="653"/>
    <x v="921"/>
    <s v="Office Supplies"/>
    <s v="Debit Card"/>
    <n v="4"/>
    <x v="1239"/>
  </r>
  <r>
    <x v="1166"/>
    <x v="3"/>
    <d v="2025-02-03T00:00:00"/>
    <n v="2025"/>
    <s v="Q1"/>
    <n v="2"/>
    <s v="Feb"/>
    <n v="7"/>
    <n v="354.53"/>
    <x v="1166"/>
    <s v="Office Supplies"/>
    <s v="Debit Card"/>
    <n v="3"/>
    <x v="1240"/>
  </r>
  <r>
    <x v="1167"/>
    <x v="6"/>
    <d v="2023-10-12T00:00:00"/>
    <n v="2023"/>
    <s v="Q4"/>
    <n v="10"/>
    <s v="Oct"/>
    <n v="6"/>
    <n v="685.4"/>
    <x v="1167"/>
    <s v="Furniture"/>
    <s v="Debit Card"/>
    <n v="3"/>
    <x v="1241"/>
  </r>
  <r>
    <x v="1168"/>
    <x v="5"/>
    <d v="2025-06-14T00:00:00"/>
    <n v="2025"/>
    <s v="Q2"/>
    <n v="6"/>
    <s v="Jun"/>
    <n v="3"/>
    <n v="194.47"/>
    <x v="1168"/>
    <s v="Furniture"/>
    <s v="Credit Card"/>
    <n v="2"/>
    <x v="1242"/>
  </r>
  <r>
    <x v="1169"/>
    <x v="2"/>
    <d v="2024-07-04T00:00:00"/>
    <n v="2024"/>
    <s v="Q3"/>
    <n v="7"/>
    <s v="Jul"/>
    <n v="7"/>
    <n v="277.24"/>
    <x v="1169"/>
    <s v="Electronics"/>
    <s v="Credit Card"/>
    <n v="4"/>
    <x v="1243"/>
  </r>
  <r>
    <x v="1170"/>
    <x v="0"/>
    <d v="2024-06-16T00:00:00"/>
    <n v="2024"/>
    <s v="Q2"/>
    <n v="6"/>
    <s v="Jun"/>
    <n v="3"/>
    <n v="759.6"/>
    <x v="1170"/>
    <s v="Electronics"/>
    <s v="Credit Card"/>
    <n v="5"/>
    <x v="1244"/>
  </r>
  <r>
    <x v="1171"/>
    <x v="6"/>
    <d v="2024-05-13T00:00:00"/>
    <n v="2024"/>
    <s v="Q2"/>
    <n v="5"/>
    <s v="May"/>
    <n v="7"/>
    <n v="656.21"/>
    <x v="1171"/>
    <s v="Electronics"/>
    <s v="Cash"/>
    <n v="5"/>
    <x v="1245"/>
  </r>
  <r>
    <x v="1172"/>
    <x v="5"/>
    <d v="2023-07-11T00:00:00"/>
    <n v="2023"/>
    <s v="Q3"/>
    <n v="7"/>
    <s v="Jul"/>
    <n v="5"/>
    <n v="476.01"/>
    <x v="1172"/>
    <s v="Furniture"/>
    <s v="Gift Card"/>
    <n v="4"/>
    <x v="1246"/>
  </r>
  <r>
    <x v="1173"/>
    <x v="4"/>
    <d v="2024-08-06T00:00:00"/>
    <n v="2024"/>
    <s v="Q3"/>
    <n v="8"/>
    <s v="Aug"/>
    <n v="1"/>
    <n v="199.99"/>
    <x v="1173"/>
    <s v="Electronics"/>
    <s v="Credit Card"/>
    <n v="1"/>
    <x v="1247"/>
  </r>
  <r>
    <x v="1174"/>
    <x v="1"/>
    <d v="2023-07-23T00:00:00"/>
    <n v="2023"/>
    <s v="Q3"/>
    <n v="7"/>
    <s v="Jul"/>
    <n v="1"/>
    <n v="503.37"/>
    <x v="1174"/>
    <s v="Furniture"/>
    <s v="Cash"/>
    <n v="3"/>
    <x v="1248"/>
  </r>
  <r>
    <x v="1175"/>
    <x v="4"/>
    <d v="2024-04-12T00:00:00"/>
    <n v="2024"/>
    <s v="Q2"/>
    <n v="4"/>
    <s v="Apr"/>
    <n v="3"/>
    <n v="444.27"/>
    <x v="1175"/>
    <s v="Furniture"/>
    <s v="Debit Card"/>
    <n v="2"/>
    <x v="1249"/>
  </r>
  <r>
    <x v="1176"/>
    <x v="2"/>
    <d v="2024-02-05T00:00:00"/>
    <n v="2024"/>
    <s v="Q1"/>
    <n v="2"/>
    <s v="Feb"/>
    <n v="2"/>
    <n v="236.14"/>
    <x v="1176"/>
    <s v="Electronics"/>
    <s v="Credit Card"/>
    <n v="2"/>
    <x v="1250"/>
  </r>
  <r>
    <x v="1177"/>
    <x v="5"/>
    <d v="2024-12-22T00:00:00"/>
    <n v="2024"/>
    <s v="Q4"/>
    <n v="12"/>
    <s v="Dec"/>
    <n v="8"/>
    <n v="171.58"/>
    <x v="1177"/>
    <s v="Office Supplies"/>
    <s v="Gift Card"/>
    <n v="4"/>
    <x v="1251"/>
  </r>
  <r>
    <x v="1178"/>
    <x v="0"/>
    <d v="2025-01-05T00:00:00"/>
    <n v="2025"/>
    <s v="Q1"/>
    <n v="1"/>
    <s v="Jan"/>
    <n v="6"/>
    <n v="139.58000000000001"/>
    <x v="1178"/>
    <s v="Furniture"/>
    <s v="Debit Card"/>
    <n v="4"/>
    <x v="1252"/>
  </r>
  <r>
    <x v="558"/>
    <x v="5"/>
    <d v="2025-04-30T00:00:00"/>
    <n v="2025"/>
    <s v="Q2"/>
    <n v="4"/>
    <s v="Apr"/>
    <n v="5"/>
    <n v="667.3"/>
    <x v="558"/>
    <s v="Electronics"/>
    <s v="Cash"/>
    <n v="1"/>
    <x v="1253"/>
  </r>
  <r>
    <x v="1179"/>
    <x v="3"/>
    <d v="2023-06-29T00:00:00"/>
    <n v="2023"/>
    <s v="Q2"/>
    <n v="6"/>
    <s v="Jun"/>
    <n v="8"/>
    <n v="265.70999999999998"/>
    <x v="1179"/>
    <s v="Office Supplies"/>
    <s v="Debit Card"/>
    <n v="4"/>
    <x v="1254"/>
  </r>
  <r>
    <x v="1180"/>
    <x v="3"/>
    <d v="2024-08-12T00:00:00"/>
    <n v="2024"/>
    <s v="Q3"/>
    <n v="8"/>
    <s v="Aug"/>
    <n v="8"/>
    <n v="407.6"/>
    <x v="1180"/>
    <s v="Furniture"/>
    <s v="Gift Card"/>
    <n v="4"/>
    <x v="1255"/>
  </r>
  <r>
    <x v="1181"/>
    <x v="6"/>
    <d v="2024-11-02T00:00:00"/>
    <n v="2024"/>
    <s v="Q4"/>
    <n v="11"/>
    <s v="Nov"/>
    <n v="3"/>
    <n v="300.82"/>
    <x v="1181"/>
    <s v="Electronics"/>
    <s v="Online"/>
    <n v="2"/>
    <x v="1256"/>
  </r>
  <r>
    <x v="1182"/>
    <x v="5"/>
    <d v="2023-12-02T00:00:00"/>
    <n v="2023"/>
    <s v="Q4"/>
    <n v="12"/>
    <s v="Dec"/>
    <n v="2"/>
    <n v="113.13"/>
    <x v="1182"/>
    <s v="Electronics"/>
    <s v="Cash"/>
    <n v="3"/>
    <x v="1257"/>
  </r>
  <r>
    <x v="1183"/>
    <x v="6"/>
    <d v="2024-04-25T00:00:00"/>
    <n v="2024"/>
    <s v="Q2"/>
    <n v="4"/>
    <s v="Apr"/>
    <n v="3"/>
    <n v="292.42"/>
    <x v="1183"/>
    <s v="Office Supplies"/>
    <s v="Cash"/>
    <n v="4"/>
    <x v="1258"/>
  </r>
  <r>
    <x v="1184"/>
    <x v="5"/>
    <d v="2023-09-10T00:00:00"/>
    <n v="2023"/>
    <s v="Q3"/>
    <n v="9"/>
    <s v="Sep"/>
    <n v="4"/>
    <n v="134.59"/>
    <x v="1184"/>
    <s v="Furniture"/>
    <s v="Online"/>
    <n v="3"/>
    <x v="1259"/>
  </r>
  <r>
    <x v="1185"/>
    <x v="4"/>
    <d v="2023-08-03T00:00:00"/>
    <n v="2023"/>
    <s v="Q3"/>
    <n v="8"/>
    <s v="Aug"/>
    <n v="1"/>
    <n v="563.53"/>
    <x v="1185"/>
    <s v="Furniture"/>
    <s v="Online"/>
    <n v="2"/>
    <x v="1260"/>
  </r>
  <r>
    <x v="335"/>
    <x v="1"/>
    <d v="2024-01-16T00:00:00"/>
    <n v="2024"/>
    <s v="Q1"/>
    <n v="1"/>
    <s v="Jan"/>
    <n v="5"/>
    <n v="791.03"/>
    <x v="335"/>
    <s v="Electronics"/>
    <s v="Gift Card"/>
    <n v="1"/>
    <x v="1261"/>
  </r>
  <r>
    <x v="1186"/>
    <x v="6"/>
    <d v="2023-02-11T00:00:00"/>
    <n v="2023"/>
    <s v="Q1"/>
    <n v="2"/>
    <s v="Feb"/>
    <n v="6"/>
    <n v="89.02"/>
    <x v="1186"/>
    <s v="Electronics"/>
    <s v="Cash"/>
    <n v="5"/>
    <x v="1262"/>
  </r>
  <r>
    <x v="1187"/>
    <x v="1"/>
    <d v="2024-07-15T00:00:00"/>
    <n v="2024"/>
    <s v="Q3"/>
    <n v="7"/>
    <s v="Jul"/>
    <n v="3"/>
    <n v="773.39"/>
    <x v="1187"/>
    <s v="Furniture"/>
    <s v="Gift Card"/>
    <n v="5"/>
    <x v="1263"/>
  </r>
  <r>
    <x v="1188"/>
    <x v="6"/>
    <d v="2024-01-13T00:00:00"/>
    <n v="2024"/>
    <s v="Q1"/>
    <n v="1"/>
    <s v="Jan"/>
    <n v="2"/>
    <n v="187.21"/>
    <x v="1188"/>
    <s v="Office Supplies"/>
    <s v="Credit Card"/>
    <n v="1"/>
    <x v="1264"/>
  </r>
  <r>
    <x v="1189"/>
    <x v="1"/>
    <d v="2025-04-13T00:00:00"/>
    <n v="2025"/>
    <s v="Q2"/>
    <n v="4"/>
    <s v="Apr"/>
    <n v="6"/>
    <n v="19.09"/>
    <x v="1189"/>
    <s v="Furniture"/>
    <s v="Online"/>
    <n v="3"/>
    <x v="1265"/>
  </r>
  <r>
    <x v="1190"/>
    <x v="2"/>
    <d v="2025-03-23T00:00:00"/>
    <n v="2025"/>
    <s v="Q1"/>
    <n v="3"/>
    <s v="Mar"/>
    <n v="5"/>
    <n v="446.59"/>
    <x v="1190"/>
    <s v="Office Supplies"/>
    <s v="Online"/>
    <n v="2"/>
    <x v="1266"/>
  </r>
  <r>
    <x v="1191"/>
    <x v="2"/>
    <d v="2024-05-18T00:00:00"/>
    <n v="2024"/>
    <s v="Q2"/>
    <n v="5"/>
    <s v="May"/>
    <n v="4"/>
    <n v="223.63"/>
    <x v="1191"/>
    <s v="Office Supplies"/>
    <s v="Online"/>
    <n v="1"/>
    <x v="1267"/>
  </r>
  <r>
    <x v="1192"/>
    <x v="3"/>
    <d v="2025-05-06T00:00:00"/>
    <n v="2025"/>
    <s v="Q2"/>
    <n v="5"/>
    <s v="May"/>
    <n v="7"/>
    <n v="616.71"/>
    <x v="1192"/>
    <s v="Furniture"/>
    <s v="Online"/>
    <n v="2"/>
    <x v="1268"/>
  </r>
  <r>
    <x v="1193"/>
    <x v="3"/>
    <d v="2024-03-28T00:00:00"/>
    <n v="2024"/>
    <s v="Q1"/>
    <n v="3"/>
    <s v="Mar"/>
    <n v="8"/>
    <n v="19.29"/>
    <x v="1193"/>
    <s v="Electronics"/>
    <s v="Online"/>
    <n v="4"/>
    <x v="1269"/>
  </r>
  <r>
    <x v="1194"/>
    <x v="1"/>
    <d v="2023-10-06T00:00:00"/>
    <n v="2023"/>
    <s v="Q4"/>
    <n v="10"/>
    <s v="Oct"/>
    <n v="7"/>
    <n v="38.24"/>
    <x v="1194"/>
    <s v="Furniture"/>
    <s v="Credit Card"/>
    <n v="1"/>
    <x v="1270"/>
  </r>
  <r>
    <x v="1195"/>
    <x v="3"/>
    <d v="2023-07-24T00:00:00"/>
    <n v="2023"/>
    <s v="Q3"/>
    <n v="7"/>
    <s v="Jul"/>
    <n v="1"/>
    <n v="717.94"/>
    <x v="1195"/>
    <s v="Furniture"/>
    <s v="Debit Card"/>
    <n v="1"/>
    <x v="1271"/>
  </r>
  <r>
    <x v="1196"/>
    <x v="3"/>
    <d v="2023-03-19T00:00:00"/>
    <n v="2023"/>
    <s v="Q1"/>
    <n v="3"/>
    <s v="Mar"/>
    <n v="6"/>
    <n v="762.24"/>
    <x v="1196"/>
    <s v="Furniture"/>
    <s v="Credit Card"/>
    <n v="2"/>
    <x v="1272"/>
  </r>
  <r>
    <x v="1197"/>
    <x v="1"/>
    <d v="2023-02-04T00:00:00"/>
    <n v="2023"/>
    <s v="Q1"/>
    <n v="2"/>
    <s v="Feb"/>
    <n v="5"/>
    <n v="228.61"/>
    <x v="1197"/>
    <s v="Electronics"/>
    <s v="Gift Card"/>
    <n v="2"/>
    <x v="1273"/>
  </r>
  <r>
    <x v="1198"/>
    <x v="6"/>
    <d v="2023-06-07T00:00:00"/>
    <n v="2023"/>
    <s v="Q2"/>
    <n v="6"/>
    <s v="Jun"/>
    <n v="8"/>
    <n v="369.33"/>
    <x v="1198"/>
    <s v="Office Supplies"/>
    <s v="Debit Card"/>
    <n v="5"/>
    <x v="1274"/>
  </r>
  <r>
    <x v="1199"/>
    <x v="1"/>
    <d v="2024-10-21T00:00:00"/>
    <n v="2024"/>
    <s v="Q4"/>
    <n v="10"/>
    <s v="Oct"/>
    <n v="1"/>
    <n v="531.54"/>
    <x v="1199"/>
    <s v="Furniture"/>
    <s v="Cash"/>
    <n v="1"/>
    <x v="1275"/>
  </r>
  <r>
    <x v="1200"/>
    <x v="5"/>
    <d v="2024-11-02T00:00:00"/>
    <n v="2024"/>
    <s v="Q4"/>
    <n v="11"/>
    <s v="Nov"/>
    <n v="6"/>
    <n v="525.89"/>
    <x v="1200"/>
    <s v="Office Supplies"/>
    <s v="Online"/>
    <n v="1"/>
    <x v="1276"/>
  </r>
  <r>
    <x v="1201"/>
    <x v="1"/>
    <d v="2025-01-23T00:00:00"/>
    <n v="2025"/>
    <s v="Q1"/>
    <n v="1"/>
    <s v="Jan"/>
    <n v="1"/>
    <n v="95.7"/>
    <x v="1201"/>
    <s v="Furniture"/>
    <s v="Debit Card"/>
    <n v="4"/>
    <x v="1277"/>
  </r>
  <r>
    <x v="1202"/>
    <x v="1"/>
    <d v="2023-05-26T00:00:00"/>
    <n v="2023"/>
    <s v="Q2"/>
    <n v="5"/>
    <s v="May"/>
    <n v="6"/>
    <n v="171.16"/>
    <x v="1202"/>
    <s v="Furniture"/>
    <s v="Debit Card"/>
    <n v="5"/>
    <x v="1278"/>
  </r>
  <r>
    <x v="1203"/>
    <x v="6"/>
    <d v="2023-07-19T00:00:00"/>
    <n v="2023"/>
    <s v="Q3"/>
    <n v="7"/>
    <s v="Jul"/>
    <n v="8"/>
    <n v="518.52"/>
    <x v="1203"/>
    <s v="Electronics"/>
    <s v="Gift Card"/>
    <n v="5"/>
    <x v="1279"/>
  </r>
  <r>
    <x v="1204"/>
    <x v="6"/>
    <d v="2024-06-13T00:00:00"/>
    <n v="2024"/>
    <s v="Q2"/>
    <n v="6"/>
    <s v="Jun"/>
    <n v="7"/>
    <n v="741.81"/>
    <x v="1204"/>
    <s v="Electronics"/>
    <s v="Debit Card"/>
    <n v="4"/>
    <x v="1280"/>
  </r>
  <r>
    <x v="1205"/>
    <x v="4"/>
    <d v="2025-01-12T00:00:00"/>
    <n v="2025"/>
    <s v="Q1"/>
    <n v="1"/>
    <s v="Jan"/>
    <n v="2"/>
    <n v="259.37"/>
    <x v="1205"/>
    <s v="Furniture"/>
    <s v="Cash"/>
    <n v="5"/>
    <x v="1281"/>
  </r>
  <r>
    <x v="1206"/>
    <x v="1"/>
    <d v="2024-04-21T00:00:00"/>
    <n v="2024"/>
    <s v="Q2"/>
    <n v="4"/>
    <s v="Apr"/>
    <n v="6"/>
    <n v="625.48"/>
    <x v="1206"/>
    <s v="Electronics"/>
    <s v="Debit Card"/>
    <n v="1"/>
    <x v="1282"/>
  </r>
  <r>
    <x v="1207"/>
    <x v="4"/>
    <d v="2024-05-04T00:00:00"/>
    <n v="2024"/>
    <s v="Q2"/>
    <n v="5"/>
    <s v="May"/>
    <n v="7"/>
    <n v="631.26"/>
    <x v="1207"/>
    <s v="Electronics"/>
    <s v="Credit Card"/>
    <n v="5"/>
    <x v="1283"/>
  </r>
  <r>
    <x v="1208"/>
    <x v="5"/>
    <d v="2025-05-07T00:00:00"/>
    <n v="2025"/>
    <s v="Q2"/>
    <n v="5"/>
    <s v="May"/>
    <n v="1"/>
    <n v="580.17999999999995"/>
    <x v="1208"/>
    <s v="Electronics"/>
    <s v="Cash"/>
    <n v="3"/>
    <x v="1284"/>
  </r>
  <r>
    <x v="1209"/>
    <x v="6"/>
    <d v="2024-05-11T00:00:00"/>
    <n v="2024"/>
    <s v="Q2"/>
    <n v="5"/>
    <s v="May"/>
    <n v="5"/>
    <n v="432.75"/>
    <x v="1209"/>
    <s v="Furniture"/>
    <s v="Online"/>
    <n v="5"/>
    <x v="1285"/>
  </r>
  <r>
    <x v="885"/>
    <x v="1"/>
    <d v="2024-10-11T00:00:00"/>
    <n v="2024"/>
    <s v="Q4"/>
    <n v="10"/>
    <s v="Oct"/>
    <n v="2"/>
    <n v="697.26"/>
    <x v="885"/>
    <s v="Electronics"/>
    <s v="Credit Card"/>
    <n v="1"/>
    <x v="1286"/>
  </r>
  <r>
    <x v="1098"/>
    <x v="0"/>
    <d v="2025-05-25T00:00:00"/>
    <n v="2025"/>
    <s v="Q2"/>
    <n v="5"/>
    <s v="May"/>
    <n v="4"/>
    <n v="150.13"/>
    <x v="1098"/>
    <s v="Electronics"/>
    <s v="Gift Card"/>
    <n v="2"/>
    <x v="1287"/>
  </r>
  <r>
    <x v="1210"/>
    <x v="4"/>
    <d v="2023-09-19T00:00:00"/>
    <n v="2023"/>
    <s v="Q3"/>
    <n v="9"/>
    <s v="Sep"/>
    <n v="6"/>
    <n v="334.15"/>
    <x v="1210"/>
    <s v="Furniture"/>
    <s v="Debit Card"/>
    <n v="4"/>
    <x v="1288"/>
  </r>
  <r>
    <x v="1211"/>
    <x v="4"/>
    <d v="2024-07-10T00:00:00"/>
    <n v="2024"/>
    <s v="Q3"/>
    <n v="7"/>
    <s v="Jul"/>
    <n v="3"/>
    <n v="145.13"/>
    <x v="1211"/>
    <s v="Electronics"/>
    <s v="Cash"/>
    <n v="3"/>
    <x v="1289"/>
  </r>
  <r>
    <x v="1212"/>
    <x v="1"/>
    <d v="2025-05-27T00:00:00"/>
    <n v="2025"/>
    <s v="Q2"/>
    <n v="5"/>
    <s v="May"/>
    <n v="4"/>
    <n v="676.14"/>
    <x v="1212"/>
    <s v="Office Supplies"/>
    <s v="Gift Card"/>
    <n v="1"/>
    <x v="1290"/>
  </r>
  <r>
    <x v="1213"/>
    <x v="3"/>
    <d v="2025-02-14T00:00:00"/>
    <n v="2025"/>
    <s v="Q1"/>
    <n v="2"/>
    <s v="Feb"/>
    <n v="7"/>
    <n v="402"/>
    <x v="1213"/>
    <s v="Furniture"/>
    <s v="Cash"/>
    <n v="1"/>
    <x v="1291"/>
  </r>
  <r>
    <x v="1214"/>
    <x v="0"/>
    <d v="2024-06-17T00:00:00"/>
    <n v="2024"/>
    <s v="Q2"/>
    <n v="6"/>
    <s v="Jun"/>
    <n v="8"/>
    <n v="247.59"/>
    <x v="1214"/>
    <s v="Office Supplies"/>
    <s v="Cash"/>
    <n v="1"/>
    <x v="1292"/>
  </r>
  <r>
    <x v="1215"/>
    <x v="4"/>
    <d v="2023-10-10T00:00:00"/>
    <n v="2023"/>
    <s v="Q4"/>
    <n v="10"/>
    <s v="Oct"/>
    <n v="4"/>
    <n v="135.77000000000001"/>
    <x v="1215"/>
    <s v="Furniture"/>
    <s v="Debit Card"/>
    <n v="3"/>
    <x v="1293"/>
  </r>
  <r>
    <x v="1216"/>
    <x v="0"/>
    <d v="2023-06-28T00:00:00"/>
    <n v="2023"/>
    <s v="Q2"/>
    <n v="6"/>
    <s v="Jun"/>
    <n v="1"/>
    <n v="391.35"/>
    <x v="1216"/>
    <s v="Office Supplies"/>
    <s v="Gift Card"/>
    <n v="5"/>
    <x v="1294"/>
  </r>
  <r>
    <x v="1217"/>
    <x v="6"/>
    <d v="2025-04-12T00:00:00"/>
    <n v="2025"/>
    <s v="Q2"/>
    <n v="4"/>
    <s v="Apr"/>
    <n v="6"/>
    <n v="378.33"/>
    <x v="1217"/>
    <s v="Furniture"/>
    <s v="Credit Card"/>
    <n v="5"/>
    <x v="1295"/>
  </r>
  <r>
    <x v="1218"/>
    <x v="2"/>
    <d v="2023-11-17T00:00:00"/>
    <n v="2023"/>
    <s v="Q4"/>
    <n v="11"/>
    <s v="Nov"/>
    <n v="1"/>
    <n v="757.24"/>
    <x v="1218"/>
    <s v="Office Supplies"/>
    <s v="Credit Card"/>
    <n v="2"/>
    <x v="1296"/>
  </r>
  <r>
    <x v="1219"/>
    <x v="0"/>
    <d v="2024-02-25T00:00:00"/>
    <n v="2024"/>
    <s v="Q1"/>
    <n v="2"/>
    <s v="Feb"/>
    <n v="1"/>
    <n v="543.76"/>
    <x v="1219"/>
    <s v="Furniture"/>
    <s v="Debit Card"/>
    <n v="5"/>
    <x v="1297"/>
  </r>
  <r>
    <x v="1220"/>
    <x v="2"/>
    <d v="2024-08-09T00:00:00"/>
    <n v="2024"/>
    <s v="Q3"/>
    <n v="8"/>
    <s v="Aug"/>
    <n v="5"/>
    <n v="460.25"/>
    <x v="1220"/>
    <s v="Furniture"/>
    <s v="Online"/>
    <n v="2"/>
    <x v="1298"/>
  </r>
  <r>
    <x v="143"/>
    <x v="2"/>
    <d v="2023-02-21T00:00:00"/>
    <n v="2023"/>
    <s v="Q1"/>
    <n v="2"/>
    <s v="Feb"/>
    <n v="7"/>
    <n v="148.32"/>
    <x v="143"/>
    <s v="Electronics"/>
    <s v="Gift Card"/>
    <n v="3"/>
    <x v="1299"/>
  </r>
  <r>
    <x v="1221"/>
    <x v="1"/>
    <d v="2024-09-25T00:00:00"/>
    <n v="2024"/>
    <s v="Q3"/>
    <n v="9"/>
    <s v="Sep"/>
    <n v="3"/>
    <n v="506.55"/>
    <x v="1221"/>
    <s v="Electronics"/>
    <s v="Debit Card"/>
    <n v="5"/>
    <x v="1300"/>
  </r>
  <r>
    <x v="1222"/>
    <x v="4"/>
    <d v="2024-09-02T00:00:00"/>
    <n v="2024"/>
    <s v="Q3"/>
    <n v="9"/>
    <s v="Sep"/>
    <n v="7"/>
    <n v="716.84"/>
    <x v="1222"/>
    <s v="Office Supplies"/>
    <s v="Cash"/>
    <n v="2"/>
    <x v="1301"/>
  </r>
  <r>
    <x v="1223"/>
    <x v="3"/>
    <d v="2024-11-10T00:00:00"/>
    <n v="2024"/>
    <s v="Q4"/>
    <n v="11"/>
    <s v="Nov"/>
    <n v="8"/>
    <n v="571.69000000000005"/>
    <x v="1223"/>
    <s v="Office Supplies"/>
    <s v="Online"/>
    <n v="1"/>
    <x v="1302"/>
  </r>
  <r>
    <x v="1224"/>
    <x v="3"/>
    <d v="2024-06-07T00:00:00"/>
    <n v="2024"/>
    <s v="Q2"/>
    <n v="6"/>
    <s v="Jun"/>
    <n v="1"/>
    <n v="77.78"/>
    <x v="1224"/>
    <s v="Furniture"/>
    <s v="Cash"/>
    <n v="4"/>
    <x v="1303"/>
  </r>
  <r>
    <x v="1225"/>
    <x v="6"/>
    <d v="2025-04-27T00:00:00"/>
    <n v="2025"/>
    <s v="Q2"/>
    <n v="4"/>
    <s v="Apr"/>
    <n v="7"/>
    <n v="71.72"/>
    <x v="1225"/>
    <s v="Electronics"/>
    <s v="Online"/>
    <n v="4"/>
    <x v="1304"/>
  </r>
  <r>
    <x v="1226"/>
    <x v="1"/>
    <d v="2025-02-25T00:00:00"/>
    <n v="2025"/>
    <s v="Q1"/>
    <n v="2"/>
    <s v="Feb"/>
    <n v="6"/>
    <n v="416.07"/>
    <x v="1226"/>
    <s v="Furniture"/>
    <s v="Debit Card"/>
    <n v="1"/>
    <x v="1305"/>
  </r>
  <r>
    <x v="923"/>
    <x v="5"/>
    <d v="2024-10-15T00:00:00"/>
    <n v="2024"/>
    <s v="Q4"/>
    <n v="10"/>
    <s v="Oct"/>
    <n v="2"/>
    <n v="118.09"/>
    <x v="923"/>
    <s v="Furniture"/>
    <s v="Online"/>
    <n v="4"/>
    <x v="1306"/>
  </r>
  <r>
    <x v="718"/>
    <x v="5"/>
    <d v="2023-10-21T00:00:00"/>
    <n v="2023"/>
    <s v="Q4"/>
    <n v="10"/>
    <s v="Oct"/>
    <n v="5"/>
    <n v="389.64"/>
    <x v="718"/>
    <s v="Furniture"/>
    <s v="Cash"/>
    <n v="5"/>
    <x v="1307"/>
  </r>
  <r>
    <x v="1227"/>
    <x v="1"/>
    <d v="2024-07-25T00:00:00"/>
    <n v="2024"/>
    <s v="Q3"/>
    <n v="7"/>
    <s v="Jul"/>
    <n v="1"/>
    <n v="193.13"/>
    <x v="1227"/>
    <s v="Office Supplies"/>
    <s v="Gift Card"/>
    <n v="4"/>
    <x v="1308"/>
  </r>
  <r>
    <x v="1228"/>
    <x v="3"/>
    <d v="2023-05-11T00:00:00"/>
    <n v="2023"/>
    <s v="Q2"/>
    <n v="5"/>
    <s v="May"/>
    <n v="2"/>
    <n v="739.2"/>
    <x v="1228"/>
    <s v="Electronics"/>
    <s v="Credit Card"/>
    <n v="4"/>
    <x v="1309"/>
  </r>
  <r>
    <x v="1229"/>
    <x v="4"/>
    <d v="2024-09-12T00:00:00"/>
    <n v="2024"/>
    <s v="Q3"/>
    <n v="9"/>
    <s v="Sep"/>
    <n v="1"/>
    <n v="634.04999999999995"/>
    <x v="1229"/>
    <s v="Furniture"/>
    <s v="Cash"/>
    <n v="2"/>
    <x v="1310"/>
  </r>
  <r>
    <x v="1230"/>
    <x v="6"/>
    <d v="2024-07-14T00:00:00"/>
    <n v="2024"/>
    <s v="Q3"/>
    <n v="7"/>
    <s v="Jul"/>
    <n v="6"/>
    <n v="284.14999999999998"/>
    <x v="1230"/>
    <s v="Furniture"/>
    <s v="Online"/>
    <n v="1"/>
    <x v="1311"/>
  </r>
  <r>
    <x v="1231"/>
    <x v="4"/>
    <d v="2023-12-18T00:00:00"/>
    <n v="2023"/>
    <s v="Q4"/>
    <n v="12"/>
    <s v="Dec"/>
    <n v="6"/>
    <n v="296.52999999999997"/>
    <x v="1231"/>
    <s v="Furniture"/>
    <s v="Online"/>
    <n v="3"/>
    <x v="1312"/>
  </r>
  <r>
    <x v="674"/>
    <x v="2"/>
    <d v="2023-03-25T00:00:00"/>
    <n v="2023"/>
    <s v="Q1"/>
    <n v="3"/>
    <s v="Mar"/>
    <n v="4"/>
    <n v="84.57"/>
    <x v="674"/>
    <s v="Electronics"/>
    <s v="Gift Card"/>
    <n v="5"/>
    <x v="1313"/>
  </r>
  <r>
    <x v="244"/>
    <x v="4"/>
    <d v="2025-06-15T00:00:00"/>
    <n v="2025"/>
    <s v="Q2"/>
    <n v="6"/>
    <s v="Jun"/>
    <n v="2"/>
    <n v="219.67"/>
    <x v="244"/>
    <s v="Furniture"/>
    <s v="Online"/>
    <n v="2"/>
    <x v="1314"/>
  </r>
  <r>
    <x v="1232"/>
    <x v="3"/>
    <d v="2024-05-03T00:00:00"/>
    <n v="2024"/>
    <s v="Q2"/>
    <n v="5"/>
    <s v="May"/>
    <n v="7"/>
    <n v="41.71"/>
    <x v="1232"/>
    <s v="Electronics"/>
    <s v="Cash"/>
    <n v="5"/>
    <x v="1315"/>
  </r>
  <r>
    <x v="1233"/>
    <x v="2"/>
    <d v="2025-02-01T00:00:00"/>
    <n v="2025"/>
    <s v="Q1"/>
    <n v="2"/>
    <s v="Feb"/>
    <n v="2"/>
    <n v="740.52"/>
    <x v="1233"/>
    <s v="Office Supplies"/>
    <s v="Online"/>
    <n v="5"/>
    <x v="1316"/>
  </r>
  <r>
    <x v="1234"/>
    <x v="3"/>
    <d v="2023-02-12T00:00:00"/>
    <n v="2023"/>
    <s v="Q1"/>
    <n v="2"/>
    <s v="Feb"/>
    <n v="4"/>
    <n v="213.16"/>
    <x v="1234"/>
    <s v="Furniture"/>
    <s v="Gift Card"/>
    <n v="2"/>
    <x v="1317"/>
  </r>
  <r>
    <x v="1235"/>
    <x v="2"/>
    <d v="2025-04-06T00:00:00"/>
    <n v="2025"/>
    <s v="Q2"/>
    <n v="4"/>
    <s v="Apr"/>
    <n v="8"/>
    <n v="651.37"/>
    <x v="1235"/>
    <s v="Electronics"/>
    <s v="Credit Card"/>
    <n v="3"/>
    <x v="1318"/>
  </r>
  <r>
    <x v="1236"/>
    <x v="4"/>
    <d v="2023-12-02T00:00:00"/>
    <n v="2023"/>
    <s v="Q4"/>
    <n v="12"/>
    <s v="Dec"/>
    <n v="3"/>
    <n v="409.39"/>
    <x v="1236"/>
    <s v="Office Supplies"/>
    <s v="Cash"/>
    <n v="3"/>
    <x v="1319"/>
  </r>
  <r>
    <x v="1237"/>
    <x v="0"/>
    <d v="2024-10-21T00:00:00"/>
    <n v="2024"/>
    <s v="Q4"/>
    <n v="10"/>
    <s v="Oct"/>
    <n v="7"/>
    <n v="501.04"/>
    <x v="1237"/>
    <s v="Furniture"/>
    <s v="Credit Card"/>
    <n v="1"/>
    <x v="1320"/>
  </r>
  <r>
    <x v="1238"/>
    <x v="4"/>
    <d v="2023-12-18T00:00:00"/>
    <n v="2023"/>
    <s v="Q4"/>
    <n v="12"/>
    <s v="Dec"/>
    <n v="8"/>
    <n v="419.04"/>
    <x v="1238"/>
    <s v="Furniture"/>
    <s v="Debit Card"/>
    <n v="3"/>
    <x v="1321"/>
  </r>
  <r>
    <x v="1239"/>
    <x v="0"/>
    <d v="2023-07-29T00:00:00"/>
    <n v="2023"/>
    <s v="Q3"/>
    <n v="7"/>
    <s v="Jul"/>
    <n v="6"/>
    <n v="412.16"/>
    <x v="1239"/>
    <s v="Furniture"/>
    <s v="Gift Card"/>
    <n v="3"/>
    <x v="1322"/>
  </r>
  <r>
    <x v="87"/>
    <x v="5"/>
    <d v="2024-11-08T00:00:00"/>
    <n v="2024"/>
    <s v="Q4"/>
    <n v="11"/>
    <s v="Nov"/>
    <n v="3"/>
    <n v="244.2"/>
    <x v="87"/>
    <s v="Electronics"/>
    <s v="Online"/>
    <n v="1"/>
    <x v="1323"/>
  </r>
  <r>
    <x v="1240"/>
    <x v="0"/>
    <d v="2023-01-13T00:00:00"/>
    <n v="2023"/>
    <s v="Q1"/>
    <n v="1"/>
    <s v="Jan"/>
    <n v="7"/>
    <n v="113.4"/>
    <x v="1240"/>
    <s v="Electronics"/>
    <s v="Cash"/>
    <n v="3"/>
    <x v="1324"/>
  </r>
  <r>
    <x v="1241"/>
    <x v="6"/>
    <d v="2023-09-02T00:00:00"/>
    <n v="2023"/>
    <s v="Q3"/>
    <n v="9"/>
    <s v="Sep"/>
    <n v="8"/>
    <n v="242.59"/>
    <x v="1241"/>
    <s v="Office Supplies"/>
    <s v="Debit Card"/>
    <n v="3"/>
    <x v="1325"/>
  </r>
  <r>
    <x v="1242"/>
    <x v="6"/>
    <d v="2024-05-16T00:00:00"/>
    <n v="2024"/>
    <s v="Q2"/>
    <n v="5"/>
    <s v="May"/>
    <n v="7"/>
    <n v="626.07000000000005"/>
    <x v="1242"/>
    <s v="Office Supplies"/>
    <s v="Credit Card"/>
    <n v="4"/>
    <x v="1326"/>
  </r>
  <r>
    <x v="1243"/>
    <x v="0"/>
    <d v="2023-08-06T00:00:00"/>
    <n v="2023"/>
    <s v="Q3"/>
    <n v="8"/>
    <s v="Aug"/>
    <n v="6"/>
    <n v="705.92"/>
    <x v="1243"/>
    <s v="Office Supplies"/>
    <s v="Credit Card"/>
    <n v="5"/>
    <x v="1327"/>
  </r>
  <r>
    <x v="1244"/>
    <x v="0"/>
    <d v="2025-05-06T00:00:00"/>
    <n v="2025"/>
    <s v="Q2"/>
    <n v="5"/>
    <s v="May"/>
    <n v="4"/>
    <n v="683.24"/>
    <x v="1244"/>
    <s v="Office Supplies"/>
    <s v="Cash"/>
    <n v="5"/>
    <x v="1328"/>
  </r>
  <r>
    <x v="1245"/>
    <x v="5"/>
    <d v="2024-04-21T00:00:00"/>
    <n v="2024"/>
    <s v="Q2"/>
    <n v="4"/>
    <s v="Apr"/>
    <n v="1"/>
    <n v="99.7"/>
    <x v="1245"/>
    <s v="Electronics"/>
    <s v="Gift Card"/>
    <n v="4"/>
    <x v="1329"/>
  </r>
  <r>
    <x v="1112"/>
    <x v="4"/>
    <d v="2025-03-05T00:00:00"/>
    <n v="2025"/>
    <s v="Q1"/>
    <n v="3"/>
    <s v="Mar"/>
    <n v="7"/>
    <n v="699.91"/>
    <x v="1112"/>
    <s v="Office Supplies"/>
    <s v="Cash"/>
    <n v="5"/>
    <x v="1330"/>
  </r>
  <r>
    <x v="1184"/>
    <x v="5"/>
    <d v="2024-11-10T00:00:00"/>
    <n v="2024"/>
    <s v="Q4"/>
    <n v="11"/>
    <s v="Nov"/>
    <n v="2"/>
    <n v="162.74"/>
    <x v="1184"/>
    <s v="Office Supplies"/>
    <s v="Cash"/>
    <n v="4"/>
    <x v="1331"/>
  </r>
  <r>
    <x v="1246"/>
    <x v="6"/>
    <d v="2023-11-23T00:00:00"/>
    <n v="2023"/>
    <s v="Q4"/>
    <n v="11"/>
    <s v="Nov"/>
    <n v="6"/>
    <n v="101.6"/>
    <x v="1246"/>
    <s v="Office Supplies"/>
    <s v="Cash"/>
    <n v="5"/>
    <x v="1332"/>
  </r>
  <r>
    <x v="719"/>
    <x v="6"/>
    <d v="2024-01-24T00:00:00"/>
    <n v="2024"/>
    <s v="Q1"/>
    <n v="1"/>
    <s v="Jan"/>
    <n v="1"/>
    <n v="729.15"/>
    <x v="719"/>
    <s v="Office Supplies"/>
    <s v="Credit Card"/>
    <n v="3"/>
    <x v="1333"/>
  </r>
  <r>
    <x v="1247"/>
    <x v="1"/>
    <d v="2025-03-23T00:00:00"/>
    <n v="2025"/>
    <s v="Q1"/>
    <n v="3"/>
    <s v="Mar"/>
    <n v="6"/>
    <n v="316.60000000000002"/>
    <x v="1247"/>
    <s v="Furniture"/>
    <s v="Online"/>
    <n v="2"/>
    <x v="1334"/>
  </r>
  <r>
    <x v="1248"/>
    <x v="2"/>
    <d v="2025-03-06T00:00:00"/>
    <n v="2025"/>
    <s v="Q1"/>
    <n v="3"/>
    <s v="Mar"/>
    <n v="7"/>
    <n v="115.44"/>
    <x v="1248"/>
    <s v="Office Supplies"/>
    <s v="Credit Card"/>
    <n v="1"/>
    <x v="1335"/>
  </r>
  <r>
    <x v="1249"/>
    <x v="5"/>
    <d v="2024-03-02T00:00:00"/>
    <n v="2024"/>
    <s v="Q1"/>
    <n v="3"/>
    <s v="Mar"/>
    <n v="5"/>
    <n v="698.24"/>
    <x v="1249"/>
    <s v="Office Supplies"/>
    <s v="Debit Card"/>
    <n v="4"/>
    <x v="1336"/>
  </r>
  <r>
    <x v="1250"/>
    <x v="2"/>
    <d v="2024-11-07T00:00:00"/>
    <n v="2024"/>
    <s v="Q4"/>
    <n v="11"/>
    <s v="Nov"/>
    <n v="5"/>
    <n v="536.15"/>
    <x v="1250"/>
    <s v="Electronics"/>
    <s v="Gift Card"/>
    <n v="2"/>
    <x v="1337"/>
  </r>
  <r>
    <x v="1251"/>
    <x v="0"/>
    <d v="2024-03-27T00:00:00"/>
    <n v="2024"/>
    <s v="Q1"/>
    <n v="3"/>
    <s v="Mar"/>
    <n v="4"/>
    <n v="155.35"/>
    <x v="1251"/>
    <s v="Furniture"/>
    <s v="Online"/>
    <n v="4"/>
    <x v="1338"/>
  </r>
  <r>
    <x v="1252"/>
    <x v="5"/>
    <d v="2024-12-05T00:00:00"/>
    <n v="2024"/>
    <s v="Q4"/>
    <n v="12"/>
    <s v="Dec"/>
    <n v="7"/>
    <n v="408.12"/>
    <x v="1252"/>
    <s v="Electronics"/>
    <s v="Cash"/>
    <n v="5"/>
    <x v="1339"/>
  </r>
  <r>
    <x v="1253"/>
    <x v="3"/>
    <d v="2023-08-14T00:00:00"/>
    <n v="2023"/>
    <s v="Q3"/>
    <n v="8"/>
    <s v="Aug"/>
    <n v="8"/>
    <n v="223.96"/>
    <x v="1253"/>
    <s v="Furniture"/>
    <s v="Gift Card"/>
    <n v="4"/>
    <x v="1340"/>
  </r>
  <r>
    <x v="1254"/>
    <x v="0"/>
    <d v="2024-05-12T00:00:00"/>
    <n v="2024"/>
    <s v="Q2"/>
    <n v="5"/>
    <s v="May"/>
    <n v="8"/>
    <n v="126.49"/>
    <x v="1254"/>
    <s v="Electronics"/>
    <s v="Cash"/>
    <n v="5"/>
    <x v="1341"/>
  </r>
  <r>
    <x v="1255"/>
    <x v="4"/>
    <d v="2024-06-24T00:00:00"/>
    <n v="2024"/>
    <s v="Q2"/>
    <n v="6"/>
    <s v="Jun"/>
    <n v="3"/>
    <n v="194.63"/>
    <x v="1255"/>
    <s v="Electronics"/>
    <s v="Cash"/>
    <n v="1"/>
    <x v="1342"/>
  </r>
  <r>
    <x v="1256"/>
    <x v="1"/>
    <d v="2023-05-03T00:00:00"/>
    <n v="2023"/>
    <s v="Q2"/>
    <n v="5"/>
    <s v="May"/>
    <n v="6"/>
    <n v="779.23"/>
    <x v="1256"/>
    <s v="Furniture"/>
    <s v="Debit Card"/>
    <n v="5"/>
    <x v="1343"/>
  </r>
  <r>
    <x v="1257"/>
    <x v="5"/>
    <d v="2024-01-16T00:00:00"/>
    <n v="2024"/>
    <s v="Q1"/>
    <n v="1"/>
    <s v="Jan"/>
    <n v="5"/>
    <n v="711.73"/>
    <x v="1257"/>
    <s v="Electronics"/>
    <s v="Debit Card"/>
    <n v="1"/>
    <x v="1344"/>
  </r>
  <r>
    <x v="1258"/>
    <x v="5"/>
    <d v="2024-07-25T00:00:00"/>
    <n v="2024"/>
    <s v="Q3"/>
    <n v="7"/>
    <s v="Jul"/>
    <n v="3"/>
    <n v="24.41"/>
    <x v="1258"/>
    <s v="Furniture"/>
    <s v="Debit Card"/>
    <n v="2"/>
    <x v="1345"/>
  </r>
  <r>
    <x v="1259"/>
    <x v="1"/>
    <d v="2024-05-24T00:00:00"/>
    <n v="2024"/>
    <s v="Q2"/>
    <n v="5"/>
    <s v="May"/>
    <n v="1"/>
    <n v="621.01"/>
    <x v="1259"/>
    <s v="Furniture"/>
    <s v="Online"/>
    <n v="1"/>
    <x v="1346"/>
  </r>
  <r>
    <x v="1260"/>
    <x v="1"/>
    <d v="2023-02-06T00:00:00"/>
    <n v="2023"/>
    <s v="Q1"/>
    <n v="2"/>
    <s v="Feb"/>
    <n v="7"/>
    <n v="770.7"/>
    <x v="1260"/>
    <s v="Furniture"/>
    <s v="Gift Card"/>
    <n v="1"/>
    <x v="1347"/>
  </r>
  <r>
    <x v="1261"/>
    <x v="4"/>
    <d v="2023-01-29T00:00:00"/>
    <n v="2023"/>
    <s v="Q1"/>
    <n v="1"/>
    <s v="Jan"/>
    <n v="2"/>
    <n v="748.38"/>
    <x v="1261"/>
    <s v="Office Supplies"/>
    <s v="Gift Card"/>
    <n v="5"/>
    <x v="1348"/>
  </r>
  <r>
    <x v="1262"/>
    <x v="0"/>
    <d v="2025-03-16T00:00:00"/>
    <n v="2025"/>
    <s v="Q1"/>
    <n v="3"/>
    <s v="Mar"/>
    <n v="4"/>
    <n v="589.85"/>
    <x v="1262"/>
    <s v="Electronics"/>
    <s v="Debit Card"/>
    <n v="3"/>
    <x v="1349"/>
  </r>
  <r>
    <x v="1263"/>
    <x v="5"/>
    <d v="2023-02-19T00:00:00"/>
    <n v="2023"/>
    <s v="Q1"/>
    <n v="2"/>
    <s v="Feb"/>
    <n v="3"/>
    <n v="38.57"/>
    <x v="1263"/>
    <s v="Electronics"/>
    <s v="Cash"/>
    <n v="2"/>
    <x v="1350"/>
  </r>
  <r>
    <x v="1264"/>
    <x v="4"/>
    <d v="2023-07-29T00:00:00"/>
    <n v="2023"/>
    <s v="Q3"/>
    <n v="7"/>
    <s v="Jul"/>
    <n v="6"/>
    <n v="536.55999999999995"/>
    <x v="1264"/>
    <s v="Furniture"/>
    <s v="Credit Card"/>
    <n v="4"/>
    <x v="1351"/>
  </r>
  <r>
    <x v="1265"/>
    <x v="3"/>
    <d v="2023-01-12T00:00:00"/>
    <n v="2023"/>
    <s v="Q1"/>
    <n v="1"/>
    <s v="Jan"/>
    <n v="6"/>
    <n v="799.91"/>
    <x v="1265"/>
    <s v="Office Supplies"/>
    <s v="Credit Card"/>
    <n v="4"/>
    <x v="1352"/>
  </r>
  <r>
    <x v="1266"/>
    <x v="4"/>
    <d v="2023-08-09T00:00:00"/>
    <n v="2023"/>
    <s v="Q3"/>
    <n v="8"/>
    <s v="Aug"/>
    <n v="3"/>
    <n v="646.65"/>
    <x v="1266"/>
    <s v="Office Supplies"/>
    <s v="Cash"/>
    <n v="4"/>
    <x v="1353"/>
  </r>
  <r>
    <x v="1267"/>
    <x v="0"/>
    <d v="2024-10-07T00:00:00"/>
    <n v="2024"/>
    <s v="Q4"/>
    <n v="10"/>
    <s v="Oct"/>
    <n v="1"/>
    <n v="87.28"/>
    <x v="1267"/>
    <s v="Electronics"/>
    <s v="Cash"/>
    <n v="3"/>
    <x v="1354"/>
  </r>
  <r>
    <x v="1268"/>
    <x v="1"/>
    <d v="2023-09-14T00:00:00"/>
    <n v="2023"/>
    <s v="Q3"/>
    <n v="9"/>
    <s v="Sep"/>
    <n v="7"/>
    <n v="693.18"/>
    <x v="1268"/>
    <s v="Office Supplies"/>
    <s v="Cash"/>
    <n v="2"/>
    <x v="1355"/>
  </r>
  <r>
    <x v="1269"/>
    <x v="6"/>
    <d v="2024-03-20T00:00:00"/>
    <n v="2024"/>
    <s v="Q1"/>
    <n v="3"/>
    <s v="Mar"/>
    <n v="7"/>
    <n v="584.78"/>
    <x v="1269"/>
    <s v="Electronics"/>
    <s v="Online"/>
    <n v="1"/>
    <x v="1356"/>
  </r>
  <r>
    <x v="1270"/>
    <x v="2"/>
    <d v="2023-07-01T00:00:00"/>
    <n v="2023"/>
    <s v="Q3"/>
    <n v="7"/>
    <s v="Jul"/>
    <n v="3"/>
    <n v="98.62"/>
    <x v="1270"/>
    <s v="Office Supplies"/>
    <s v="Online"/>
    <n v="1"/>
    <x v="1357"/>
  </r>
  <r>
    <x v="1271"/>
    <x v="5"/>
    <d v="2024-08-10T00:00:00"/>
    <n v="2024"/>
    <s v="Q3"/>
    <n v="8"/>
    <s v="Aug"/>
    <n v="2"/>
    <n v="299.45999999999998"/>
    <x v="1271"/>
    <s v="Electronics"/>
    <s v="Gift Card"/>
    <n v="3"/>
    <x v="1358"/>
  </r>
  <r>
    <x v="1272"/>
    <x v="6"/>
    <d v="2024-12-19T00:00:00"/>
    <n v="2024"/>
    <s v="Q4"/>
    <n v="12"/>
    <s v="Dec"/>
    <n v="5"/>
    <n v="172.17"/>
    <x v="1272"/>
    <s v="Electronics"/>
    <s v="Gift Card"/>
    <n v="4"/>
    <x v="1359"/>
  </r>
  <r>
    <x v="1273"/>
    <x v="4"/>
    <d v="2025-06-20T00:00:00"/>
    <n v="2025"/>
    <s v="Q2"/>
    <n v="6"/>
    <s v="Jun"/>
    <n v="1"/>
    <n v="220.45"/>
    <x v="1273"/>
    <s v="Office Supplies"/>
    <s v="Online"/>
    <n v="3"/>
    <x v="1360"/>
  </r>
  <r>
    <x v="1274"/>
    <x v="4"/>
    <d v="2024-07-07T00:00:00"/>
    <n v="2024"/>
    <s v="Q3"/>
    <n v="7"/>
    <s v="Jul"/>
    <n v="4"/>
    <n v="77.31"/>
    <x v="1274"/>
    <s v="Electronics"/>
    <s v="Gift Card"/>
    <n v="3"/>
    <x v="1361"/>
  </r>
  <r>
    <x v="1275"/>
    <x v="5"/>
    <d v="2024-05-24T00:00:00"/>
    <n v="2024"/>
    <s v="Q2"/>
    <n v="5"/>
    <s v="May"/>
    <n v="8"/>
    <n v="594.75"/>
    <x v="1275"/>
    <s v="Office Supplies"/>
    <s v="Gift Card"/>
    <n v="5"/>
    <x v="1362"/>
  </r>
  <r>
    <x v="1276"/>
    <x v="3"/>
    <d v="2023-06-03T00:00:00"/>
    <n v="2023"/>
    <s v="Q2"/>
    <n v="6"/>
    <s v="Jun"/>
    <n v="7"/>
    <n v="346.05"/>
    <x v="1276"/>
    <s v="Electronics"/>
    <s v="Gift Card"/>
    <n v="1"/>
    <x v="1363"/>
  </r>
  <r>
    <x v="1277"/>
    <x v="6"/>
    <d v="2024-12-15T00:00:00"/>
    <n v="2024"/>
    <s v="Q4"/>
    <n v="12"/>
    <s v="Dec"/>
    <n v="4"/>
    <n v="169.16"/>
    <x v="1277"/>
    <s v="Electronics"/>
    <s v="Credit Card"/>
    <n v="1"/>
    <x v="1364"/>
  </r>
  <r>
    <x v="1278"/>
    <x v="6"/>
    <d v="2023-04-02T00:00:00"/>
    <n v="2023"/>
    <s v="Q2"/>
    <n v="4"/>
    <s v="Apr"/>
    <n v="2"/>
    <n v="289.02"/>
    <x v="1278"/>
    <s v="Furniture"/>
    <s v="Debit Card"/>
    <n v="2"/>
    <x v="1365"/>
  </r>
  <r>
    <x v="1279"/>
    <x v="6"/>
    <d v="2024-05-03T00:00:00"/>
    <n v="2024"/>
    <s v="Q2"/>
    <n v="5"/>
    <s v="May"/>
    <n v="8"/>
    <n v="258.83999999999997"/>
    <x v="1279"/>
    <s v="Furniture"/>
    <s v="Credit Card"/>
    <n v="2"/>
    <x v="1366"/>
  </r>
  <r>
    <x v="1280"/>
    <x v="3"/>
    <d v="2025-05-21T00:00:00"/>
    <n v="2025"/>
    <s v="Q2"/>
    <n v="5"/>
    <s v="May"/>
    <n v="1"/>
    <n v="52.91"/>
    <x v="1280"/>
    <s v="Electronics"/>
    <s v="Online"/>
    <n v="3"/>
    <x v="1367"/>
  </r>
  <r>
    <x v="1281"/>
    <x v="5"/>
    <d v="2023-08-01T00:00:00"/>
    <n v="2023"/>
    <s v="Q3"/>
    <n v="8"/>
    <s v="Aug"/>
    <n v="6"/>
    <n v="633.4"/>
    <x v="1281"/>
    <s v="Office Supplies"/>
    <s v="Cash"/>
    <n v="2"/>
    <x v="1368"/>
  </r>
  <r>
    <x v="1282"/>
    <x v="0"/>
    <d v="2024-09-12T00:00:00"/>
    <n v="2024"/>
    <s v="Q3"/>
    <n v="9"/>
    <s v="Sep"/>
    <n v="1"/>
    <n v="417.04"/>
    <x v="1282"/>
    <s v="Office Supplies"/>
    <s v="Gift Card"/>
    <n v="3"/>
    <x v="1369"/>
  </r>
  <r>
    <x v="1283"/>
    <x v="2"/>
    <d v="2023-01-17T00:00:00"/>
    <n v="2023"/>
    <s v="Q1"/>
    <n v="1"/>
    <s v="Jan"/>
    <n v="3"/>
    <n v="199.86"/>
    <x v="1283"/>
    <s v="Electronics"/>
    <s v="Online"/>
    <n v="2"/>
    <x v="1370"/>
  </r>
  <r>
    <x v="1284"/>
    <x v="3"/>
    <d v="2023-03-05T00:00:00"/>
    <n v="2023"/>
    <s v="Q1"/>
    <n v="3"/>
    <s v="Mar"/>
    <n v="2"/>
    <n v="523.38"/>
    <x v="1284"/>
    <s v="Furniture"/>
    <s v="Credit Card"/>
    <n v="3"/>
    <x v="1371"/>
  </r>
  <r>
    <x v="1285"/>
    <x v="1"/>
    <d v="2024-07-13T00:00:00"/>
    <n v="2024"/>
    <s v="Q3"/>
    <n v="7"/>
    <s v="Jul"/>
    <n v="8"/>
    <n v="598.48"/>
    <x v="1285"/>
    <s v="Furniture"/>
    <s v="Debit Card"/>
    <n v="1"/>
    <x v="1372"/>
  </r>
  <r>
    <x v="1286"/>
    <x v="0"/>
    <d v="2024-10-03T00:00:00"/>
    <n v="2024"/>
    <s v="Q4"/>
    <n v="10"/>
    <s v="Oct"/>
    <n v="8"/>
    <n v="645.74"/>
    <x v="1286"/>
    <s v="Office Supplies"/>
    <s v="Gift Card"/>
    <n v="5"/>
    <x v="1373"/>
  </r>
  <r>
    <x v="1287"/>
    <x v="2"/>
    <d v="2024-02-06T00:00:00"/>
    <n v="2024"/>
    <s v="Q1"/>
    <n v="2"/>
    <s v="Feb"/>
    <n v="3"/>
    <n v="107.73"/>
    <x v="1287"/>
    <s v="Furniture"/>
    <s v="Online"/>
    <n v="5"/>
    <x v="1374"/>
  </r>
  <r>
    <x v="1288"/>
    <x v="5"/>
    <d v="2023-09-05T00:00:00"/>
    <n v="2023"/>
    <s v="Q3"/>
    <n v="9"/>
    <s v="Sep"/>
    <n v="5"/>
    <n v="192.39"/>
    <x v="1288"/>
    <s v="Electronics"/>
    <s v="Gift Card"/>
    <n v="1"/>
    <x v="137"/>
  </r>
  <r>
    <x v="1289"/>
    <x v="4"/>
    <d v="2024-12-02T00:00:00"/>
    <n v="2024"/>
    <s v="Q4"/>
    <n v="12"/>
    <s v="Dec"/>
    <n v="2"/>
    <n v="479.88"/>
    <x v="1289"/>
    <s v="Electronics"/>
    <s v="Gift Card"/>
    <n v="5"/>
    <x v="1375"/>
  </r>
  <r>
    <x v="1290"/>
    <x v="3"/>
    <d v="2023-12-11T00:00:00"/>
    <n v="2023"/>
    <s v="Q4"/>
    <n v="12"/>
    <s v="Dec"/>
    <n v="8"/>
    <n v="785.49"/>
    <x v="1290"/>
    <s v="Office Supplies"/>
    <s v="Cash"/>
    <n v="5"/>
    <x v="1376"/>
  </r>
  <r>
    <x v="1291"/>
    <x v="4"/>
    <d v="2025-05-25T00:00:00"/>
    <n v="2025"/>
    <s v="Q2"/>
    <n v="5"/>
    <s v="May"/>
    <n v="5"/>
    <n v="323.88"/>
    <x v="1291"/>
    <s v="Furniture"/>
    <s v="Gift Card"/>
    <n v="2"/>
    <x v="1377"/>
  </r>
  <r>
    <x v="1292"/>
    <x v="4"/>
    <d v="2023-12-01T00:00:00"/>
    <n v="2023"/>
    <s v="Q4"/>
    <n v="12"/>
    <s v="Dec"/>
    <n v="2"/>
    <n v="86.85"/>
    <x v="1292"/>
    <s v="Electronics"/>
    <s v="Debit Card"/>
    <n v="1"/>
    <x v="1378"/>
  </r>
  <r>
    <x v="1293"/>
    <x v="1"/>
    <d v="2023-08-09T00:00:00"/>
    <n v="2023"/>
    <s v="Q3"/>
    <n v="8"/>
    <s v="Aug"/>
    <n v="2"/>
    <n v="531.20000000000005"/>
    <x v="1293"/>
    <s v="Electronics"/>
    <s v="Credit Card"/>
    <n v="5"/>
    <x v="1379"/>
  </r>
  <r>
    <x v="1294"/>
    <x v="5"/>
    <d v="2023-10-15T00:00:00"/>
    <n v="2023"/>
    <s v="Q4"/>
    <n v="10"/>
    <s v="Oct"/>
    <n v="7"/>
    <n v="692.66"/>
    <x v="1294"/>
    <s v="Office Supplies"/>
    <s v="Debit Card"/>
    <n v="5"/>
    <x v="1380"/>
  </r>
  <r>
    <x v="1295"/>
    <x v="6"/>
    <d v="2025-02-19T00:00:00"/>
    <n v="2025"/>
    <s v="Q1"/>
    <n v="2"/>
    <s v="Feb"/>
    <n v="7"/>
    <n v="209.87"/>
    <x v="1295"/>
    <s v="Furniture"/>
    <s v="Online"/>
    <n v="2"/>
    <x v="1381"/>
  </r>
  <r>
    <x v="1296"/>
    <x v="6"/>
    <d v="2023-11-28T00:00:00"/>
    <n v="2023"/>
    <s v="Q4"/>
    <n v="11"/>
    <s v="Nov"/>
    <n v="3"/>
    <n v="450.18"/>
    <x v="1296"/>
    <s v="Furniture"/>
    <s v="Gift Card"/>
    <n v="1"/>
    <x v="1382"/>
  </r>
  <r>
    <x v="1297"/>
    <x v="1"/>
    <d v="2023-05-12T00:00:00"/>
    <n v="2023"/>
    <s v="Q2"/>
    <n v="5"/>
    <s v="May"/>
    <n v="3"/>
    <n v="484.69"/>
    <x v="1297"/>
    <s v="Office Supplies"/>
    <s v="Cash"/>
    <n v="3"/>
    <x v="1383"/>
  </r>
  <r>
    <x v="1298"/>
    <x v="5"/>
    <d v="2024-02-26T00:00:00"/>
    <n v="2024"/>
    <s v="Q1"/>
    <n v="2"/>
    <s v="Feb"/>
    <n v="5"/>
    <n v="664.51"/>
    <x v="1298"/>
    <s v="Office Supplies"/>
    <s v="Online"/>
    <n v="1"/>
    <x v="1384"/>
  </r>
  <r>
    <x v="1299"/>
    <x v="5"/>
    <d v="2023-11-02T00:00:00"/>
    <n v="2023"/>
    <s v="Q4"/>
    <n v="11"/>
    <s v="Nov"/>
    <n v="2"/>
    <n v="237.63"/>
    <x v="1299"/>
    <s v="Office Supplies"/>
    <s v="Online"/>
    <n v="3"/>
    <x v="1385"/>
  </r>
  <r>
    <x v="1300"/>
    <x v="3"/>
    <d v="2025-02-28T00:00:00"/>
    <n v="2025"/>
    <s v="Q1"/>
    <n v="2"/>
    <s v="Feb"/>
    <n v="7"/>
    <n v="666.21"/>
    <x v="1300"/>
    <s v="Furniture"/>
    <s v="Credit Card"/>
    <n v="2"/>
    <x v="1386"/>
  </r>
  <r>
    <x v="1301"/>
    <x v="2"/>
    <d v="2024-04-15T00:00:00"/>
    <n v="2024"/>
    <s v="Q2"/>
    <n v="4"/>
    <s v="Apr"/>
    <n v="6"/>
    <n v="278.04000000000002"/>
    <x v="1301"/>
    <s v="Office Supplies"/>
    <s v="Debit Card"/>
    <n v="3"/>
    <x v="1387"/>
  </r>
  <r>
    <x v="329"/>
    <x v="2"/>
    <d v="2023-12-16T00:00:00"/>
    <n v="2023"/>
    <s v="Q4"/>
    <n v="12"/>
    <s v="Dec"/>
    <n v="3"/>
    <n v="603.87"/>
    <x v="329"/>
    <s v="Electronics"/>
    <s v="Gift Card"/>
    <n v="4"/>
    <x v="1388"/>
  </r>
  <r>
    <x v="1302"/>
    <x v="4"/>
    <d v="2024-05-13T00:00:00"/>
    <n v="2024"/>
    <s v="Q2"/>
    <n v="5"/>
    <s v="May"/>
    <n v="3"/>
    <n v="321.86"/>
    <x v="1302"/>
    <s v="Electronics"/>
    <s v="Cash"/>
    <n v="3"/>
    <x v="1389"/>
  </r>
  <r>
    <x v="1303"/>
    <x v="4"/>
    <d v="2025-03-15T00:00:00"/>
    <n v="2025"/>
    <s v="Q1"/>
    <n v="3"/>
    <s v="Mar"/>
    <n v="6"/>
    <n v="78.52"/>
    <x v="1303"/>
    <s v="Furniture"/>
    <s v="Credit Card"/>
    <n v="2"/>
    <x v="1390"/>
  </r>
  <r>
    <x v="1304"/>
    <x v="6"/>
    <d v="2024-03-02T00:00:00"/>
    <n v="2024"/>
    <s v="Q1"/>
    <n v="3"/>
    <s v="Mar"/>
    <n v="7"/>
    <n v="212.84"/>
    <x v="1304"/>
    <s v="Furniture"/>
    <s v="Cash"/>
    <n v="2"/>
    <x v="1391"/>
  </r>
  <r>
    <x v="1305"/>
    <x v="4"/>
    <d v="2025-03-31T00:00:00"/>
    <n v="2025"/>
    <s v="Q1"/>
    <n v="3"/>
    <s v="Mar"/>
    <n v="3"/>
    <n v="316.77999999999997"/>
    <x v="1305"/>
    <s v="Furniture"/>
    <s v="Gift Card"/>
    <n v="5"/>
    <x v="1392"/>
  </r>
  <r>
    <x v="751"/>
    <x v="4"/>
    <d v="2024-12-20T00:00:00"/>
    <n v="2024"/>
    <s v="Q4"/>
    <n v="12"/>
    <s v="Dec"/>
    <n v="6"/>
    <n v="665.94"/>
    <x v="751"/>
    <s v="Office Supplies"/>
    <s v="Gift Card"/>
    <n v="5"/>
    <x v="1393"/>
  </r>
  <r>
    <x v="1306"/>
    <x v="2"/>
    <d v="2024-05-18T00:00:00"/>
    <n v="2024"/>
    <s v="Q2"/>
    <n v="5"/>
    <s v="May"/>
    <n v="2"/>
    <n v="307.39"/>
    <x v="1306"/>
    <s v="Electronics"/>
    <s v="Debit Card"/>
    <n v="3"/>
    <x v="1394"/>
  </r>
  <r>
    <x v="1307"/>
    <x v="1"/>
    <d v="2024-02-11T00:00:00"/>
    <n v="2024"/>
    <s v="Q1"/>
    <n v="2"/>
    <s v="Feb"/>
    <n v="7"/>
    <n v="482.42"/>
    <x v="1307"/>
    <s v="Furniture"/>
    <s v="Debit Card"/>
    <n v="4"/>
    <x v="1395"/>
  </r>
  <r>
    <x v="939"/>
    <x v="0"/>
    <d v="2023-05-06T00:00:00"/>
    <n v="2023"/>
    <s v="Q2"/>
    <n v="5"/>
    <s v="May"/>
    <n v="5"/>
    <n v="726.07"/>
    <x v="939"/>
    <s v="Office Supplies"/>
    <s v="Credit Card"/>
    <n v="2"/>
    <x v="1396"/>
  </r>
  <r>
    <x v="236"/>
    <x v="1"/>
    <d v="2025-01-28T00:00:00"/>
    <n v="2025"/>
    <s v="Q1"/>
    <n v="1"/>
    <s v="Jan"/>
    <n v="5"/>
    <n v="433.22"/>
    <x v="236"/>
    <s v="Electronics"/>
    <s v="Online"/>
    <n v="3"/>
    <x v="1397"/>
  </r>
  <r>
    <x v="1308"/>
    <x v="6"/>
    <d v="2025-04-09T00:00:00"/>
    <n v="2025"/>
    <s v="Q2"/>
    <n v="4"/>
    <s v="Apr"/>
    <n v="2"/>
    <n v="461.16"/>
    <x v="1308"/>
    <s v="Office Supplies"/>
    <s v="Gift Card"/>
    <n v="1"/>
    <x v="1398"/>
  </r>
  <r>
    <x v="1309"/>
    <x v="2"/>
    <d v="2023-04-21T00:00:00"/>
    <n v="2023"/>
    <s v="Q2"/>
    <n v="4"/>
    <s v="Apr"/>
    <n v="7"/>
    <n v="230.88"/>
    <x v="1309"/>
    <s v="Furniture"/>
    <s v="Cash"/>
    <n v="5"/>
    <x v="1399"/>
  </r>
  <r>
    <x v="1310"/>
    <x v="5"/>
    <d v="2023-08-07T00:00:00"/>
    <n v="2023"/>
    <s v="Q3"/>
    <n v="8"/>
    <s v="Aug"/>
    <n v="5"/>
    <n v="793.17"/>
    <x v="1310"/>
    <s v="Electronics"/>
    <s v="Cash"/>
    <n v="3"/>
    <x v="1400"/>
  </r>
  <r>
    <x v="1311"/>
    <x v="1"/>
    <d v="2024-05-09T00:00:00"/>
    <n v="2024"/>
    <s v="Q2"/>
    <n v="5"/>
    <s v="May"/>
    <n v="1"/>
    <n v="152.57"/>
    <x v="1311"/>
    <s v="Furniture"/>
    <s v="Debit Card"/>
    <n v="3"/>
    <x v="1401"/>
  </r>
  <r>
    <x v="1312"/>
    <x v="1"/>
    <d v="2025-05-20T00:00:00"/>
    <n v="2025"/>
    <s v="Q2"/>
    <n v="5"/>
    <s v="May"/>
    <n v="5"/>
    <n v="282.24"/>
    <x v="1312"/>
    <s v="Furniture"/>
    <s v="Cash"/>
    <n v="1"/>
    <x v="1402"/>
  </r>
  <r>
    <x v="1313"/>
    <x v="5"/>
    <d v="2023-02-22T00:00:00"/>
    <n v="2023"/>
    <s v="Q1"/>
    <n v="2"/>
    <s v="Feb"/>
    <n v="4"/>
    <n v="389.11"/>
    <x v="1313"/>
    <s v="Electronics"/>
    <s v="Cash"/>
    <n v="5"/>
    <x v="1403"/>
  </r>
  <r>
    <x v="351"/>
    <x v="5"/>
    <d v="2023-04-17T00:00:00"/>
    <n v="2023"/>
    <s v="Q2"/>
    <n v="4"/>
    <s v="Apr"/>
    <n v="2"/>
    <n v="477"/>
    <x v="351"/>
    <s v="Office Supplies"/>
    <s v="Credit Card"/>
    <n v="2"/>
    <x v="1404"/>
  </r>
  <r>
    <x v="1314"/>
    <x v="0"/>
    <d v="2023-08-21T00:00:00"/>
    <n v="2023"/>
    <s v="Q3"/>
    <n v="8"/>
    <s v="Aug"/>
    <n v="7"/>
    <n v="790.77"/>
    <x v="1314"/>
    <s v="Office Supplies"/>
    <s v="Credit Card"/>
    <n v="3"/>
    <x v="1405"/>
  </r>
  <r>
    <x v="720"/>
    <x v="0"/>
    <d v="2024-08-16T00:00:00"/>
    <n v="2024"/>
    <s v="Q3"/>
    <n v="8"/>
    <s v="Aug"/>
    <n v="4"/>
    <n v="234.89"/>
    <x v="720"/>
    <s v="Office Supplies"/>
    <s v="Cash"/>
    <n v="1"/>
    <x v="1406"/>
  </r>
  <r>
    <x v="728"/>
    <x v="4"/>
    <d v="2023-08-12T00:00:00"/>
    <n v="2023"/>
    <s v="Q3"/>
    <n v="8"/>
    <s v="Aug"/>
    <n v="2"/>
    <n v="226.03"/>
    <x v="728"/>
    <s v="Electronics"/>
    <s v="Cash"/>
    <n v="5"/>
    <x v="1407"/>
  </r>
  <r>
    <x v="1023"/>
    <x v="0"/>
    <d v="2025-06-05T00:00:00"/>
    <n v="2025"/>
    <s v="Q2"/>
    <n v="6"/>
    <s v="Jun"/>
    <n v="1"/>
    <n v="522.42999999999995"/>
    <x v="1023"/>
    <s v="Electronics"/>
    <s v="Online"/>
    <n v="3"/>
    <x v="1408"/>
  </r>
  <r>
    <x v="1315"/>
    <x v="4"/>
    <d v="2025-06-20T00:00:00"/>
    <n v="2025"/>
    <s v="Q2"/>
    <n v="6"/>
    <s v="Jun"/>
    <n v="4"/>
    <n v="219.75"/>
    <x v="1315"/>
    <s v="Office Supplies"/>
    <s v="Cash"/>
    <n v="3"/>
    <x v="1409"/>
  </r>
  <r>
    <x v="1316"/>
    <x v="5"/>
    <d v="2024-11-18T00:00:00"/>
    <n v="2024"/>
    <s v="Q4"/>
    <n v="11"/>
    <s v="Nov"/>
    <n v="3"/>
    <n v="660.31"/>
    <x v="1316"/>
    <s v="Office Supplies"/>
    <s v="Credit Card"/>
    <n v="1"/>
    <x v="1410"/>
  </r>
  <r>
    <x v="1317"/>
    <x v="0"/>
    <d v="2023-07-07T00:00:00"/>
    <n v="2023"/>
    <s v="Q3"/>
    <n v="7"/>
    <s v="Jul"/>
    <n v="6"/>
    <n v="699.01"/>
    <x v="1317"/>
    <s v="Furniture"/>
    <s v="Credit Card"/>
    <n v="5"/>
    <x v="1411"/>
  </r>
  <r>
    <x v="1318"/>
    <x v="2"/>
    <d v="2025-01-15T00:00:00"/>
    <n v="2025"/>
    <s v="Q1"/>
    <n v="1"/>
    <s v="Jan"/>
    <n v="1"/>
    <n v="212.45"/>
    <x v="1318"/>
    <s v="Furniture"/>
    <s v="Gift Card"/>
    <n v="1"/>
    <x v="1412"/>
  </r>
  <r>
    <x v="775"/>
    <x v="4"/>
    <d v="2025-01-16T00:00:00"/>
    <n v="2025"/>
    <s v="Q1"/>
    <n v="1"/>
    <s v="Jan"/>
    <n v="8"/>
    <n v="793.36"/>
    <x v="775"/>
    <s v="Office Supplies"/>
    <s v="Credit Card"/>
    <n v="3"/>
    <x v="1413"/>
  </r>
  <r>
    <x v="706"/>
    <x v="2"/>
    <d v="2024-11-17T00:00:00"/>
    <n v="2024"/>
    <s v="Q4"/>
    <n v="11"/>
    <s v="Nov"/>
    <n v="1"/>
    <n v="776.01"/>
    <x v="706"/>
    <s v="Electronics"/>
    <s v="Online"/>
    <n v="2"/>
    <x v="1414"/>
  </r>
  <r>
    <x v="1319"/>
    <x v="3"/>
    <d v="2023-03-05T00:00:00"/>
    <n v="2023"/>
    <s v="Q1"/>
    <n v="3"/>
    <s v="Mar"/>
    <n v="7"/>
    <n v="409.52"/>
    <x v="1319"/>
    <s v="Office Supplies"/>
    <s v="Credit Card"/>
    <n v="1"/>
    <x v="1415"/>
  </r>
  <r>
    <x v="1320"/>
    <x v="1"/>
    <d v="2023-04-27T00:00:00"/>
    <n v="2023"/>
    <s v="Q2"/>
    <n v="4"/>
    <s v="Apr"/>
    <n v="4"/>
    <n v="43.41"/>
    <x v="1320"/>
    <s v="Electronics"/>
    <s v="Online"/>
    <n v="4"/>
    <x v="1416"/>
  </r>
  <r>
    <x v="1321"/>
    <x v="1"/>
    <d v="2023-11-06T00:00:00"/>
    <n v="2023"/>
    <s v="Q4"/>
    <n v="11"/>
    <s v="Nov"/>
    <n v="6"/>
    <n v="256.17"/>
    <x v="1321"/>
    <s v="Furniture"/>
    <s v="Cash"/>
    <n v="2"/>
    <x v="1417"/>
  </r>
  <r>
    <x v="1322"/>
    <x v="6"/>
    <d v="2025-04-11T00:00:00"/>
    <n v="2025"/>
    <s v="Q2"/>
    <n v="4"/>
    <s v="Apr"/>
    <n v="3"/>
    <n v="367.65"/>
    <x v="1322"/>
    <s v="Electronics"/>
    <s v="Cash"/>
    <n v="5"/>
    <x v="1418"/>
  </r>
  <r>
    <x v="1323"/>
    <x v="0"/>
    <d v="2023-04-14T00:00:00"/>
    <n v="2023"/>
    <s v="Q2"/>
    <n v="4"/>
    <s v="Apr"/>
    <n v="2"/>
    <n v="524.03"/>
    <x v="1323"/>
    <s v="Office Supplies"/>
    <s v="Debit Card"/>
    <n v="4"/>
    <x v="1419"/>
  </r>
  <r>
    <x v="1324"/>
    <x v="5"/>
    <d v="2023-01-25T00:00:00"/>
    <n v="2023"/>
    <s v="Q1"/>
    <n v="1"/>
    <s v="Jan"/>
    <n v="8"/>
    <n v="570.88"/>
    <x v="1324"/>
    <s v="Electronics"/>
    <s v="Cash"/>
    <n v="4"/>
    <x v="1420"/>
  </r>
  <r>
    <x v="1325"/>
    <x v="3"/>
    <d v="2024-02-20T00:00:00"/>
    <n v="2024"/>
    <s v="Q1"/>
    <n v="2"/>
    <s v="Feb"/>
    <n v="7"/>
    <n v="580.99"/>
    <x v="1325"/>
    <s v="Furniture"/>
    <s v="Cash"/>
    <n v="1"/>
    <x v="1421"/>
  </r>
  <r>
    <x v="1326"/>
    <x v="1"/>
    <d v="2025-04-09T00:00:00"/>
    <n v="2025"/>
    <s v="Q2"/>
    <n v="4"/>
    <s v="Apr"/>
    <n v="1"/>
    <n v="102.28"/>
    <x v="1326"/>
    <s v="Electronics"/>
    <s v="Debit Card"/>
    <n v="2"/>
    <x v="1422"/>
  </r>
  <r>
    <x v="1327"/>
    <x v="5"/>
    <d v="2023-10-20T00:00:00"/>
    <n v="2023"/>
    <s v="Q4"/>
    <n v="10"/>
    <s v="Oct"/>
    <n v="1"/>
    <n v="6.06"/>
    <x v="1327"/>
    <s v="Office Supplies"/>
    <s v="Cash"/>
    <n v="4"/>
    <x v="1423"/>
  </r>
  <r>
    <x v="1328"/>
    <x v="5"/>
    <d v="2025-06-17T00:00:00"/>
    <n v="2025"/>
    <s v="Q2"/>
    <n v="6"/>
    <s v="Jun"/>
    <n v="5"/>
    <n v="663.64"/>
    <x v="1328"/>
    <s v="Furniture"/>
    <s v="Gift Card"/>
    <n v="4"/>
    <x v="1424"/>
  </r>
  <r>
    <x v="1329"/>
    <x v="2"/>
    <d v="2024-05-11T00:00:00"/>
    <n v="2024"/>
    <s v="Q2"/>
    <n v="5"/>
    <s v="May"/>
    <n v="3"/>
    <n v="418.46"/>
    <x v="1329"/>
    <s v="Electronics"/>
    <s v="Debit Card"/>
    <n v="3"/>
    <x v="1425"/>
  </r>
  <r>
    <x v="1330"/>
    <x v="5"/>
    <d v="2023-12-16T00:00:00"/>
    <n v="2023"/>
    <s v="Q4"/>
    <n v="12"/>
    <s v="Dec"/>
    <n v="7"/>
    <n v="361.11"/>
    <x v="1330"/>
    <s v="Office Supplies"/>
    <s v="Online"/>
    <n v="2"/>
    <x v="1426"/>
  </r>
  <r>
    <x v="1331"/>
    <x v="4"/>
    <d v="2023-04-29T00:00:00"/>
    <n v="2023"/>
    <s v="Q2"/>
    <n v="4"/>
    <s v="Apr"/>
    <n v="7"/>
    <n v="791.44"/>
    <x v="1331"/>
    <s v="Office Supplies"/>
    <s v="Debit Card"/>
    <n v="1"/>
    <x v="1427"/>
  </r>
  <r>
    <x v="1332"/>
    <x v="2"/>
    <d v="2023-05-09T00:00:00"/>
    <n v="2023"/>
    <s v="Q2"/>
    <n v="5"/>
    <s v="May"/>
    <n v="1"/>
    <n v="259.45"/>
    <x v="1332"/>
    <s v="Office Supplies"/>
    <s v="Gift Card"/>
    <n v="4"/>
    <x v="1428"/>
  </r>
  <r>
    <x v="1333"/>
    <x v="4"/>
    <d v="2024-10-31T00:00:00"/>
    <n v="2024"/>
    <s v="Q4"/>
    <n v="10"/>
    <s v="Oct"/>
    <n v="4"/>
    <n v="458.7"/>
    <x v="1333"/>
    <s v="Furniture"/>
    <s v="Credit Card"/>
    <n v="1"/>
    <x v="1429"/>
  </r>
  <r>
    <x v="1334"/>
    <x v="5"/>
    <d v="2023-10-29T00:00:00"/>
    <n v="2023"/>
    <s v="Q4"/>
    <n v="10"/>
    <s v="Oct"/>
    <n v="2"/>
    <n v="71.75"/>
    <x v="1334"/>
    <s v="Electronics"/>
    <s v="Cash"/>
    <n v="1"/>
    <x v="1430"/>
  </r>
  <r>
    <x v="1335"/>
    <x v="4"/>
    <d v="2025-04-18T00:00:00"/>
    <n v="2025"/>
    <s v="Q2"/>
    <n v="4"/>
    <s v="Apr"/>
    <n v="3"/>
    <n v="728.49"/>
    <x v="1335"/>
    <s v="Office Supplies"/>
    <s v="Credit Card"/>
    <n v="3"/>
    <x v="1431"/>
  </r>
  <r>
    <x v="331"/>
    <x v="3"/>
    <d v="2023-11-12T00:00:00"/>
    <n v="2023"/>
    <s v="Q4"/>
    <n v="11"/>
    <s v="Nov"/>
    <n v="6"/>
    <n v="764.64"/>
    <x v="331"/>
    <s v="Office Supplies"/>
    <s v="Gift Card"/>
    <n v="1"/>
    <x v="1432"/>
  </r>
  <r>
    <x v="1336"/>
    <x v="0"/>
    <d v="2023-02-14T00:00:00"/>
    <n v="2023"/>
    <s v="Q1"/>
    <n v="2"/>
    <s v="Feb"/>
    <n v="2"/>
    <n v="354.76"/>
    <x v="1336"/>
    <s v="Office Supplies"/>
    <s v="Debit Card"/>
    <n v="3"/>
    <x v="1433"/>
  </r>
  <r>
    <x v="1337"/>
    <x v="6"/>
    <d v="2023-09-14T00:00:00"/>
    <n v="2023"/>
    <s v="Q3"/>
    <n v="9"/>
    <s v="Sep"/>
    <n v="7"/>
    <n v="431.76"/>
    <x v="1337"/>
    <s v="Office Supplies"/>
    <s v="Debit Card"/>
    <n v="1"/>
    <x v="1434"/>
  </r>
  <r>
    <x v="1338"/>
    <x v="6"/>
    <d v="2024-10-31T00:00:00"/>
    <n v="2024"/>
    <s v="Q4"/>
    <n v="10"/>
    <s v="Oct"/>
    <n v="3"/>
    <n v="326.95999999999998"/>
    <x v="1338"/>
    <s v="Furniture"/>
    <s v="Debit Card"/>
    <n v="4"/>
    <x v="1435"/>
  </r>
  <r>
    <x v="1339"/>
    <x v="5"/>
    <d v="2025-02-07T00:00:00"/>
    <n v="2025"/>
    <s v="Q1"/>
    <n v="2"/>
    <s v="Feb"/>
    <n v="7"/>
    <n v="58.87"/>
    <x v="1339"/>
    <s v="Office Supplies"/>
    <s v="Debit Card"/>
    <n v="2"/>
    <x v="1436"/>
  </r>
  <r>
    <x v="1340"/>
    <x v="5"/>
    <d v="2023-02-25T00:00:00"/>
    <n v="2023"/>
    <s v="Q1"/>
    <n v="2"/>
    <s v="Feb"/>
    <n v="8"/>
    <n v="304.66000000000003"/>
    <x v="1340"/>
    <s v="Furniture"/>
    <s v="Online"/>
    <n v="3"/>
    <x v="1437"/>
  </r>
  <r>
    <x v="1341"/>
    <x v="1"/>
    <d v="2025-02-22T00:00:00"/>
    <n v="2025"/>
    <s v="Q1"/>
    <n v="2"/>
    <s v="Feb"/>
    <n v="8"/>
    <n v="371.46"/>
    <x v="1341"/>
    <s v="Office Supplies"/>
    <s v="Gift Card"/>
    <n v="4"/>
    <x v="1438"/>
  </r>
  <r>
    <x v="1342"/>
    <x v="2"/>
    <d v="2023-01-03T00:00:00"/>
    <n v="2023"/>
    <s v="Q1"/>
    <n v="1"/>
    <s v="Jan"/>
    <n v="4"/>
    <n v="576.95000000000005"/>
    <x v="1342"/>
    <s v="Office Supplies"/>
    <s v="Cash"/>
    <n v="5"/>
    <x v="1439"/>
  </r>
  <r>
    <x v="1343"/>
    <x v="4"/>
    <d v="2025-04-07T00:00:00"/>
    <n v="2025"/>
    <s v="Q2"/>
    <n v="4"/>
    <s v="Apr"/>
    <n v="6"/>
    <n v="46.22"/>
    <x v="1343"/>
    <s v="Electronics"/>
    <s v="Debit Card"/>
    <n v="1"/>
    <x v="1440"/>
  </r>
  <r>
    <x v="1344"/>
    <x v="5"/>
    <d v="2023-12-10T00:00:00"/>
    <n v="2023"/>
    <s v="Q4"/>
    <n v="12"/>
    <s v="Dec"/>
    <n v="1"/>
    <n v="766.75"/>
    <x v="1344"/>
    <s v="Electronics"/>
    <s v="Debit Card"/>
    <n v="4"/>
    <x v="1441"/>
  </r>
  <r>
    <x v="1345"/>
    <x v="2"/>
    <d v="2023-11-01T00:00:00"/>
    <n v="2023"/>
    <s v="Q4"/>
    <n v="11"/>
    <s v="Nov"/>
    <n v="3"/>
    <n v="569.72"/>
    <x v="1345"/>
    <s v="Furniture"/>
    <s v="Cash"/>
    <n v="4"/>
    <x v="1442"/>
  </r>
  <r>
    <x v="633"/>
    <x v="3"/>
    <d v="2023-11-15T00:00:00"/>
    <n v="2023"/>
    <s v="Q4"/>
    <n v="11"/>
    <s v="Nov"/>
    <n v="2"/>
    <n v="399.01"/>
    <x v="633"/>
    <s v="Furniture"/>
    <s v="Debit Card"/>
    <n v="5"/>
    <x v="1443"/>
  </r>
  <r>
    <x v="1346"/>
    <x v="0"/>
    <d v="2023-07-21T00:00:00"/>
    <n v="2023"/>
    <s v="Q3"/>
    <n v="7"/>
    <s v="Jul"/>
    <n v="8"/>
    <n v="159.84"/>
    <x v="1346"/>
    <s v="Furniture"/>
    <s v="Debit Card"/>
    <n v="3"/>
    <x v="1444"/>
  </r>
  <r>
    <x v="1347"/>
    <x v="6"/>
    <d v="2025-01-05T00:00:00"/>
    <n v="2025"/>
    <s v="Q1"/>
    <n v="1"/>
    <s v="Jan"/>
    <n v="3"/>
    <n v="55.83"/>
    <x v="1347"/>
    <s v="Electronics"/>
    <s v="Credit Card"/>
    <n v="2"/>
    <x v="1445"/>
  </r>
  <r>
    <x v="1348"/>
    <x v="6"/>
    <d v="2025-01-26T00:00:00"/>
    <n v="2025"/>
    <s v="Q1"/>
    <n v="1"/>
    <s v="Jan"/>
    <n v="8"/>
    <n v="751.94"/>
    <x v="1348"/>
    <s v="Furniture"/>
    <s v="Gift Card"/>
    <n v="3"/>
    <x v="1446"/>
  </r>
  <r>
    <x v="1349"/>
    <x v="5"/>
    <d v="2024-05-24T00:00:00"/>
    <n v="2024"/>
    <s v="Q2"/>
    <n v="5"/>
    <s v="May"/>
    <n v="8"/>
    <n v="408.05"/>
    <x v="1349"/>
    <s v="Office Supplies"/>
    <s v="Credit Card"/>
    <n v="5"/>
    <x v="1447"/>
  </r>
  <r>
    <x v="1350"/>
    <x v="4"/>
    <d v="2024-06-11T00:00:00"/>
    <n v="2024"/>
    <s v="Q2"/>
    <n v="6"/>
    <s v="Jun"/>
    <n v="2"/>
    <n v="355.97"/>
    <x v="1350"/>
    <s v="Office Supplies"/>
    <s v="Cash"/>
    <n v="3"/>
    <x v="1448"/>
  </r>
  <r>
    <x v="1351"/>
    <x v="2"/>
    <d v="2025-01-14T00:00:00"/>
    <n v="2025"/>
    <s v="Q1"/>
    <n v="1"/>
    <s v="Jan"/>
    <n v="5"/>
    <n v="367.34"/>
    <x v="1351"/>
    <s v="Electronics"/>
    <s v="Credit Card"/>
    <n v="5"/>
    <x v="1449"/>
  </r>
  <r>
    <x v="1352"/>
    <x v="5"/>
    <d v="2024-07-20T00:00:00"/>
    <n v="2024"/>
    <s v="Q3"/>
    <n v="7"/>
    <s v="Jul"/>
    <n v="4"/>
    <n v="125.77"/>
    <x v="1352"/>
    <s v="Office Supplies"/>
    <s v="Debit Card"/>
    <n v="2"/>
    <x v="1450"/>
  </r>
  <r>
    <x v="1353"/>
    <x v="0"/>
    <d v="2023-06-21T00:00:00"/>
    <n v="2023"/>
    <s v="Q2"/>
    <n v="6"/>
    <s v="Jun"/>
    <n v="2"/>
    <n v="748.75"/>
    <x v="1353"/>
    <s v="Office Supplies"/>
    <s v="Debit Card"/>
    <n v="4"/>
    <x v="1451"/>
  </r>
  <r>
    <x v="1354"/>
    <x v="3"/>
    <d v="2025-05-14T00:00:00"/>
    <n v="2025"/>
    <s v="Q2"/>
    <n v="5"/>
    <s v="May"/>
    <n v="6"/>
    <n v="474.95"/>
    <x v="1354"/>
    <s v="Furniture"/>
    <s v="Debit Card"/>
    <n v="1"/>
    <x v="1452"/>
  </r>
  <r>
    <x v="1355"/>
    <x v="2"/>
    <d v="2024-07-01T00:00:00"/>
    <n v="2024"/>
    <s v="Q3"/>
    <n v="7"/>
    <s v="Jul"/>
    <n v="4"/>
    <n v="698.9"/>
    <x v="1355"/>
    <s v="Furniture"/>
    <s v="Credit Card"/>
    <n v="4"/>
    <x v="1453"/>
  </r>
  <r>
    <x v="1356"/>
    <x v="2"/>
    <d v="2023-09-29T00:00:00"/>
    <n v="2023"/>
    <s v="Q3"/>
    <n v="9"/>
    <s v="Sep"/>
    <n v="8"/>
    <n v="136.12"/>
    <x v="1356"/>
    <s v="Office Supplies"/>
    <s v="Gift Card"/>
    <n v="3"/>
    <x v="1454"/>
  </r>
  <r>
    <x v="1357"/>
    <x v="1"/>
    <d v="2023-03-11T00:00:00"/>
    <n v="2023"/>
    <s v="Q1"/>
    <n v="3"/>
    <s v="Mar"/>
    <n v="8"/>
    <n v="641.99"/>
    <x v="1357"/>
    <s v="Electronics"/>
    <s v="Online"/>
    <n v="3"/>
    <x v="1455"/>
  </r>
  <r>
    <x v="1358"/>
    <x v="2"/>
    <d v="2024-01-23T00:00:00"/>
    <n v="2024"/>
    <s v="Q1"/>
    <n v="1"/>
    <s v="Jan"/>
    <n v="2"/>
    <n v="451.32"/>
    <x v="1358"/>
    <s v="Office Supplies"/>
    <s v="Gift Card"/>
    <n v="2"/>
    <x v="1456"/>
  </r>
  <r>
    <x v="718"/>
    <x v="6"/>
    <d v="2023-10-24T00:00:00"/>
    <n v="2023"/>
    <s v="Q4"/>
    <n v="10"/>
    <s v="Oct"/>
    <n v="4"/>
    <n v="240.87"/>
    <x v="718"/>
    <s v="Furniture"/>
    <s v="Debit Card"/>
    <n v="2"/>
    <x v="1457"/>
  </r>
  <r>
    <x v="656"/>
    <x v="6"/>
    <d v="2023-08-30T00:00:00"/>
    <n v="2023"/>
    <s v="Q3"/>
    <n v="8"/>
    <s v="Aug"/>
    <n v="3"/>
    <n v="274.81"/>
    <x v="656"/>
    <s v="Electronics"/>
    <s v="Cash"/>
    <n v="4"/>
    <x v="1458"/>
  </r>
  <r>
    <x v="1359"/>
    <x v="6"/>
    <d v="2023-01-02T00:00:00"/>
    <n v="2023"/>
    <s v="Q1"/>
    <n v="1"/>
    <s v="Jan"/>
    <n v="5"/>
    <n v="138.97"/>
    <x v="1359"/>
    <s v="Electronics"/>
    <s v="Debit Card"/>
    <n v="2"/>
    <x v="1459"/>
  </r>
  <r>
    <x v="1360"/>
    <x v="1"/>
    <d v="2023-03-14T00:00:00"/>
    <n v="2023"/>
    <s v="Q1"/>
    <n v="3"/>
    <s v="Mar"/>
    <n v="1"/>
    <n v="261.2"/>
    <x v="1360"/>
    <s v="Electronics"/>
    <s v="Credit Card"/>
    <n v="1"/>
    <x v="1460"/>
  </r>
  <r>
    <x v="1167"/>
    <x v="5"/>
    <d v="2025-04-27T00:00:00"/>
    <n v="2025"/>
    <s v="Q2"/>
    <n v="4"/>
    <s v="Apr"/>
    <n v="6"/>
    <n v="529.47"/>
    <x v="1167"/>
    <s v="Office Supplies"/>
    <s v="Gift Card"/>
    <n v="1"/>
    <x v="1461"/>
  </r>
  <r>
    <x v="1361"/>
    <x v="0"/>
    <d v="2024-03-18T00:00:00"/>
    <n v="2024"/>
    <s v="Q1"/>
    <n v="3"/>
    <s v="Mar"/>
    <n v="2"/>
    <n v="57.91"/>
    <x v="1361"/>
    <s v="Furniture"/>
    <s v="Online"/>
    <n v="3"/>
    <x v="1462"/>
  </r>
  <r>
    <x v="1362"/>
    <x v="0"/>
    <d v="2025-01-27T00:00:00"/>
    <n v="2025"/>
    <s v="Q1"/>
    <n v="1"/>
    <s v="Jan"/>
    <n v="3"/>
    <n v="383.22"/>
    <x v="1362"/>
    <s v="Office Supplies"/>
    <s v="Cash"/>
    <n v="3"/>
    <x v="1463"/>
  </r>
  <r>
    <x v="1030"/>
    <x v="2"/>
    <d v="2025-01-31T00:00:00"/>
    <n v="2025"/>
    <s v="Q1"/>
    <n v="1"/>
    <s v="Jan"/>
    <n v="5"/>
    <n v="224.11"/>
    <x v="1030"/>
    <s v="Furniture"/>
    <s v="Debit Card"/>
    <n v="1"/>
    <x v="1464"/>
  </r>
  <r>
    <x v="1363"/>
    <x v="6"/>
    <d v="2023-10-28T00:00:00"/>
    <n v="2023"/>
    <s v="Q4"/>
    <n v="10"/>
    <s v="Oct"/>
    <n v="8"/>
    <n v="238.87"/>
    <x v="1363"/>
    <s v="Furniture"/>
    <s v="Cash"/>
    <n v="4"/>
    <x v="1465"/>
  </r>
  <r>
    <x v="1364"/>
    <x v="2"/>
    <d v="2024-05-12T00:00:00"/>
    <n v="2024"/>
    <s v="Q2"/>
    <n v="5"/>
    <s v="May"/>
    <n v="4"/>
    <n v="360.23"/>
    <x v="1364"/>
    <s v="Office Supplies"/>
    <s v="Online"/>
    <n v="4"/>
    <x v="1466"/>
  </r>
  <r>
    <x v="1365"/>
    <x v="6"/>
    <d v="2024-02-22T00:00:00"/>
    <n v="2024"/>
    <s v="Q1"/>
    <n v="2"/>
    <s v="Feb"/>
    <n v="4"/>
    <n v="131.62"/>
    <x v="1365"/>
    <s v="Furniture"/>
    <s v="Cash"/>
    <n v="1"/>
    <x v="1467"/>
  </r>
  <r>
    <x v="1366"/>
    <x v="6"/>
    <d v="2023-11-06T00:00:00"/>
    <n v="2023"/>
    <s v="Q4"/>
    <n v="11"/>
    <s v="Nov"/>
    <n v="4"/>
    <n v="674.33"/>
    <x v="1366"/>
    <s v="Office Supplies"/>
    <s v="Online"/>
    <n v="3"/>
    <x v="1468"/>
  </r>
  <r>
    <x v="1367"/>
    <x v="2"/>
    <d v="2024-05-12T00:00:00"/>
    <n v="2024"/>
    <s v="Q2"/>
    <n v="5"/>
    <s v="May"/>
    <n v="8"/>
    <n v="537.45000000000005"/>
    <x v="1367"/>
    <s v="Office Supplies"/>
    <s v="Credit Card"/>
    <n v="2"/>
    <x v="1469"/>
  </r>
  <r>
    <x v="8"/>
    <x v="1"/>
    <d v="2024-12-30T00:00:00"/>
    <n v="2024"/>
    <s v="Q4"/>
    <n v="12"/>
    <s v="Dec"/>
    <n v="3"/>
    <n v="77.03"/>
    <x v="8"/>
    <s v="Furniture"/>
    <s v="Cash"/>
    <n v="2"/>
    <x v="1470"/>
  </r>
  <r>
    <x v="1368"/>
    <x v="1"/>
    <d v="2024-07-21T00:00:00"/>
    <n v="2024"/>
    <s v="Q3"/>
    <n v="7"/>
    <s v="Jul"/>
    <n v="5"/>
    <n v="681.74"/>
    <x v="1368"/>
    <s v="Office Supplies"/>
    <s v="Credit Card"/>
    <n v="2"/>
    <x v="1471"/>
  </r>
  <r>
    <x v="496"/>
    <x v="6"/>
    <d v="2025-01-19T00:00:00"/>
    <n v="2025"/>
    <s v="Q1"/>
    <n v="1"/>
    <s v="Jan"/>
    <n v="3"/>
    <n v="75.62"/>
    <x v="496"/>
    <s v="Furniture"/>
    <s v="Cash"/>
    <n v="4"/>
    <x v="1472"/>
  </r>
  <r>
    <x v="1369"/>
    <x v="5"/>
    <d v="2024-01-04T00:00:00"/>
    <n v="2024"/>
    <s v="Q1"/>
    <n v="1"/>
    <s v="Jan"/>
    <n v="8"/>
    <n v="538.29"/>
    <x v="1369"/>
    <s v="Electronics"/>
    <s v="Online"/>
    <n v="1"/>
    <x v="1473"/>
  </r>
  <r>
    <x v="1370"/>
    <x v="5"/>
    <d v="2024-06-06T00:00:00"/>
    <n v="2024"/>
    <s v="Q2"/>
    <n v="6"/>
    <s v="Jun"/>
    <n v="4"/>
    <n v="411.44"/>
    <x v="1370"/>
    <s v="Office Supplies"/>
    <s v="Online"/>
    <n v="2"/>
    <x v="1474"/>
  </r>
  <r>
    <x v="861"/>
    <x v="4"/>
    <d v="2025-03-06T00:00:00"/>
    <n v="2025"/>
    <s v="Q1"/>
    <n v="3"/>
    <s v="Mar"/>
    <n v="6"/>
    <n v="452.54"/>
    <x v="861"/>
    <s v="Office Supplies"/>
    <s v="Gift Card"/>
    <n v="2"/>
    <x v="1475"/>
  </r>
  <r>
    <x v="1371"/>
    <x v="1"/>
    <d v="2023-07-14T00:00:00"/>
    <n v="2023"/>
    <s v="Q3"/>
    <n v="7"/>
    <s v="Jul"/>
    <n v="4"/>
    <n v="510.62"/>
    <x v="1371"/>
    <s v="Office Supplies"/>
    <s v="Gift Card"/>
    <n v="5"/>
    <x v="1476"/>
  </r>
  <r>
    <x v="1372"/>
    <x v="3"/>
    <d v="2023-11-17T00:00:00"/>
    <n v="2023"/>
    <s v="Q4"/>
    <n v="11"/>
    <s v="Nov"/>
    <n v="1"/>
    <n v="729.26"/>
    <x v="1372"/>
    <s v="Office Supplies"/>
    <s v="Debit Card"/>
    <n v="4"/>
    <x v="1477"/>
  </r>
  <r>
    <x v="1373"/>
    <x v="2"/>
    <d v="2024-04-19T00:00:00"/>
    <n v="2024"/>
    <s v="Q2"/>
    <n v="4"/>
    <s v="Apr"/>
    <n v="8"/>
    <n v="387.1"/>
    <x v="1373"/>
    <s v="Electronics"/>
    <s v="Online"/>
    <n v="5"/>
    <x v="1478"/>
  </r>
  <r>
    <x v="109"/>
    <x v="6"/>
    <d v="2024-07-13T00:00:00"/>
    <n v="2024"/>
    <s v="Q3"/>
    <n v="7"/>
    <s v="Jul"/>
    <n v="1"/>
    <n v="47.53"/>
    <x v="109"/>
    <s v="Electronics"/>
    <s v="Gift Card"/>
    <n v="2"/>
    <x v="1479"/>
  </r>
  <r>
    <x v="1374"/>
    <x v="1"/>
    <d v="2024-06-30T00:00:00"/>
    <n v="2024"/>
    <s v="Q2"/>
    <n v="6"/>
    <s v="Jun"/>
    <n v="2"/>
    <n v="272.08"/>
    <x v="1374"/>
    <s v="Electronics"/>
    <s v="Credit Card"/>
    <n v="3"/>
    <x v="1480"/>
  </r>
  <r>
    <x v="1375"/>
    <x v="5"/>
    <d v="2023-07-31T00:00:00"/>
    <n v="2023"/>
    <s v="Q3"/>
    <n v="7"/>
    <s v="Jul"/>
    <n v="6"/>
    <n v="553.39"/>
    <x v="1375"/>
    <s v="Office Supplies"/>
    <s v="Gift Card"/>
    <n v="1"/>
    <x v="1481"/>
  </r>
  <r>
    <x v="1376"/>
    <x v="1"/>
    <d v="2025-05-27T00:00:00"/>
    <n v="2025"/>
    <s v="Q2"/>
    <n v="5"/>
    <s v="May"/>
    <n v="3"/>
    <n v="109.9"/>
    <x v="1376"/>
    <s v="Electronics"/>
    <s v="Cash"/>
    <n v="1"/>
    <x v="1482"/>
  </r>
  <r>
    <x v="1377"/>
    <x v="4"/>
    <d v="2024-03-04T00:00:00"/>
    <n v="2024"/>
    <s v="Q1"/>
    <n v="3"/>
    <s v="Mar"/>
    <n v="4"/>
    <n v="787.22"/>
    <x v="1377"/>
    <s v="Furniture"/>
    <s v="Gift Card"/>
    <n v="2"/>
    <x v="1483"/>
  </r>
  <r>
    <x v="1378"/>
    <x v="4"/>
    <d v="2024-01-28T00:00:00"/>
    <n v="2024"/>
    <s v="Q1"/>
    <n v="1"/>
    <s v="Jan"/>
    <n v="1"/>
    <n v="42.76"/>
    <x v="1378"/>
    <s v="Office Supplies"/>
    <s v="Gift Card"/>
    <n v="1"/>
    <x v="1484"/>
  </r>
  <r>
    <x v="1379"/>
    <x v="6"/>
    <d v="2024-12-19T00:00:00"/>
    <n v="2024"/>
    <s v="Q4"/>
    <n v="12"/>
    <s v="Dec"/>
    <n v="2"/>
    <n v="406.23"/>
    <x v="1379"/>
    <s v="Furniture"/>
    <s v="Gift Card"/>
    <n v="4"/>
    <x v="1485"/>
  </r>
  <r>
    <x v="1380"/>
    <x v="2"/>
    <d v="2024-10-05T00:00:00"/>
    <n v="2024"/>
    <s v="Q4"/>
    <n v="10"/>
    <s v="Oct"/>
    <n v="6"/>
    <n v="55.56"/>
    <x v="1380"/>
    <s v="Furniture"/>
    <s v="Debit Card"/>
    <n v="4"/>
    <x v="1486"/>
  </r>
  <r>
    <x v="682"/>
    <x v="1"/>
    <d v="2023-05-27T00:00:00"/>
    <n v="2023"/>
    <s v="Q2"/>
    <n v="5"/>
    <s v="May"/>
    <n v="2"/>
    <n v="541.28"/>
    <x v="682"/>
    <s v="Office Supplies"/>
    <s v="Cash"/>
    <n v="3"/>
    <x v="1487"/>
  </r>
  <r>
    <x v="173"/>
    <x v="3"/>
    <d v="2023-11-04T00:00:00"/>
    <n v="2023"/>
    <s v="Q4"/>
    <n v="11"/>
    <s v="Nov"/>
    <n v="8"/>
    <n v="45.93"/>
    <x v="173"/>
    <s v="Office Supplies"/>
    <s v="Gift Card"/>
    <n v="5"/>
    <x v="1488"/>
  </r>
  <r>
    <x v="1381"/>
    <x v="2"/>
    <d v="2023-05-10T00:00:00"/>
    <n v="2023"/>
    <s v="Q2"/>
    <n v="5"/>
    <s v="May"/>
    <n v="1"/>
    <n v="401.55"/>
    <x v="1381"/>
    <s v="Office Supplies"/>
    <s v="Credit Card"/>
    <n v="4"/>
    <x v="1489"/>
  </r>
  <r>
    <x v="1382"/>
    <x v="4"/>
    <d v="2024-10-07T00:00:00"/>
    <n v="2024"/>
    <s v="Q4"/>
    <n v="10"/>
    <s v="Oct"/>
    <n v="8"/>
    <n v="129.57"/>
    <x v="1382"/>
    <s v="Electronics"/>
    <s v="Credit Card"/>
    <n v="5"/>
    <x v="1490"/>
  </r>
  <r>
    <x v="1383"/>
    <x v="4"/>
    <d v="2024-12-30T00:00:00"/>
    <n v="2024"/>
    <s v="Q4"/>
    <n v="12"/>
    <s v="Dec"/>
    <n v="7"/>
    <n v="188.89"/>
    <x v="1383"/>
    <s v="Furniture"/>
    <s v="Cash"/>
    <n v="3"/>
    <x v="1491"/>
  </r>
  <r>
    <x v="1384"/>
    <x v="2"/>
    <d v="2025-05-05T00:00:00"/>
    <n v="2025"/>
    <s v="Q2"/>
    <n v="5"/>
    <s v="May"/>
    <n v="1"/>
    <n v="743.33"/>
    <x v="1384"/>
    <s v="Electronics"/>
    <s v="Online"/>
    <n v="1"/>
    <x v="1492"/>
  </r>
  <r>
    <x v="1385"/>
    <x v="5"/>
    <d v="2024-07-25T00:00:00"/>
    <n v="2024"/>
    <s v="Q3"/>
    <n v="7"/>
    <s v="Jul"/>
    <n v="4"/>
    <n v="34.97"/>
    <x v="1385"/>
    <s v="Furniture"/>
    <s v="Cash"/>
    <n v="1"/>
    <x v="1493"/>
  </r>
  <r>
    <x v="1386"/>
    <x v="0"/>
    <d v="2023-05-09T00:00:00"/>
    <n v="2023"/>
    <s v="Q2"/>
    <n v="5"/>
    <s v="May"/>
    <n v="7"/>
    <n v="475.33"/>
    <x v="1386"/>
    <s v="Furniture"/>
    <s v="Online"/>
    <n v="1"/>
    <x v="1494"/>
  </r>
  <r>
    <x v="1387"/>
    <x v="2"/>
    <d v="2024-12-19T00:00:00"/>
    <n v="2024"/>
    <s v="Q4"/>
    <n v="12"/>
    <s v="Dec"/>
    <n v="1"/>
    <n v="362.77"/>
    <x v="1387"/>
    <s v="Furniture"/>
    <s v="Cash"/>
    <n v="1"/>
    <x v="1495"/>
  </r>
  <r>
    <x v="1388"/>
    <x v="0"/>
    <d v="2024-09-04T00:00:00"/>
    <n v="2024"/>
    <s v="Q3"/>
    <n v="9"/>
    <s v="Sep"/>
    <n v="3"/>
    <n v="259.60000000000002"/>
    <x v="1388"/>
    <s v="Electronics"/>
    <s v="Debit Card"/>
    <n v="3"/>
    <x v="1496"/>
  </r>
  <r>
    <x v="1389"/>
    <x v="0"/>
    <d v="2024-10-17T00:00:00"/>
    <n v="2024"/>
    <s v="Q4"/>
    <n v="10"/>
    <s v="Oct"/>
    <n v="4"/>
    <n v="31.65"/>
    <x v="1389"/>
    <s v="Furniture"/>
    <s v="Credit Card"/>
    <n v="1"/>
    <x v="1497"/>
  </r>
  <r>
    <x v="1390"/>
    <x v="6"/>
    <d v="2023-12-08T00:00:00"/>
    <n v="2023"/>
    <s v="Q4"/>
    <n v="12"/>
    <s v="Dec"/>
    <n v="6"/>
    <n v="479.41"/>
    <x v="1390"/>
    <s v="Furniture"/>
    <s v="Online"/>
    <n v="5"/>
    <x v="1498"/>
  </r>
  <r>
    <x v="1391"/>
    <x v="0"/>
    <d v="2024-05-14T00:00:00"/>
    <n v="2024"/>
    <s v="Q2"/>
    <n v="5"/>
    <s v="May"/>
    <n v="3"/>
    <n v="16.45"/>
    <x v="1391"/>
    <s v="Furniture"/>
    <s v="Gift Card"/>
    <n v="3"/>
    <x v="1499"/>
  </r>
  <r>
    <x v="1392"/>
    <x v="0"/>
    <d v="2023-08-17T00:00:00"/>
    <n v="2023"/>
    <s v="Q3"/>
    <n v="8"/>
    <s v="Aug"/>
    <n v="2"/>
    <n v="58.06"/>
    <x v="1392"/>
    <s v="Electronics"/>
    <s v="Credit Card"/>
    <n v="4"/>
    <x v="1500"/>
  </r>
  <r>
    <x v="1393"/>
    <x v="5"/>
    <d v="2023-01-14T00:00:00"/>
    <n v="2023"/>
    <s v="Q1"/>
    <n v="1"/>
    <s v="Jan"/>
    <n v="5"/>
    <n v="251.7"/>
    <x v="1393"/>
    <s v="Office Supplies"/>
    <s v="Online"/>
    <n v="5"/>
    <x v="1501"/>
  </r>
  <r>
    <x v="1394"/>
    <x v="2"/>
    <d v="2023-12-14T00:00:00"/>
    <n v="2023"/>
    <s v="Q4"/>
    <n v="12"/>
    <s v="Dec"/>
    <n v="3"/>
    <n v="27.49"/>
    <x v="1394"/>
    <s v="Office Supplies"/>
    <s v="Gift Card"/>
    <n v="2"/>
    <x v="1502"/>
  </r>
  <r>
    <x v="1395"/>
    <x v="5"/>
    <d v="2024-12-01T00:00:00"/>
    <n v="2024"/>
    <s v="Q4"/>
    <n v="12"/>
    <s v="Dec"/>
    <n v="7"/>
    <n v="419.9"/>
    <x v="1395"/>
    <s v="Office Supplies"/>
    <s v="Credit Card"/>
    <n v="4"/>
    <x v="1503"/>
  </r>
  <r>
    <x v="886"/>
    <x v="0"/>
    <d v="2023-11-20T00:00:00"/>
    <n v="2023"/>
    <s v="Q4"/>
    <n v="11"/>
    <s v="Nov"/>
    <n v="7"/>
    <n v="611.85"/>
    <x v="886"/>
    <s v="Furniture"/>
    <s v="Credit Card"/>
    <n v="2"/>
    <x v="1504"/>
  </r>
  <r>
    <x v="1396"/>
    <x v="2"/>
    <d v="2023-03-08T00:00:00"/>
    <n v="2023"/>
    <s v="Q1"/>
    <n v="3"/>
    <s v="Mar"/>
    <n v="3"/>
    <n v="693.46"/>
    <x v="1396"/>
    <s v="Office Supplies"/>
    <s v="Online"/>
    <n v="5"/>
    <x v="1505"/>
  </r>
  <r>
    <x v="1397"/>
    <x v="1"/>
    <d v="2025-02-01T00:00:00"/>
    <n v="2025"/>
    <s v="Q1"/>
    <n v="2"/>
    <s v="Feb"/>
    <n v="2"/>
    <n v="13.51"/>
    <x v="1397"/>
    <s v="Furniture"/>
    <s v="Debit Card"/>
    <n v="5"/>
    <x v="1506"/>
  </r>
  <r>
    <x v="1398"/>
    <x v="6"/>
    <d v="2025-02-13T00:00:00"/>
    <n v="2025"/>
    <s v="Q1"/>
    <n v="2"/>
    <s v="Feb"/>
    <n v="4"/>
    <n v="548.59"/>
    <x v="1398"/>
    <s v="Furniture"/>
    <s v="Cash"/>
    <n v="3"/>
    <x v="1507"/>
  </r>
  <r>
    <x v="1399"/>
    <x v="1"/>
    <d v="2024-11-03T00:00:00"/>
    <n v="2024"/>
    <s v="Q4"/>
    <n v="11"/>
    <s v="Nov"/>
    <n v="5"/>
    <n v="173.25"/>
    <x v="1399"/>
    <s v="Electronics"/>
    <s v="Cash"/>
    <n v="3"/>
    <x v="1508"/>
  </r>
  <r>
    <x v="1400"/>
    <x v="1"/>
    <d v="2024-06-15T00:00:00"/>
    <n v="2024"/>
    <s v="Q2"/>
    <n v="6"/>
    <s v="Jun"/>
    <n v="2"/>
    <n v="456.19"/>
    <x v="1400"/>
    <s v="Electronics"/>
    <s v="Gift Card"/>
    <n v="5"/>
    <x v="1509"/>
  </r>
  <r>
    <x v="591"/>
    <x v="3"/>
    <d v="2023-12-22T00:00:00"/>
    <n v="2023"/>
    <s v="Q4"/>
    <n v="12"/>
    <s v="Dec"/>
    <n v="7"/>
    <n v="701.13"/>
    <x v="591"/>
    <s v="Office Supplies"/>
    <s v="Cash"/>
    <n v="3"/>
    <x v="1510"/>
  </r>
  <r>
    <x v="1401"/>
    <x v="3"/>
    <d v="2023-06-13T00:00:00"/>
    <n v="2023"/>
    <s v="Q2"/>
    <n v="6"/>
    <s v="Jun"/>
    <n v="3"/>
    <n v="786.46"/>
    <x v="1401"/>
    <s v="Electronics"/>
    <s v="Cash"/>
    <n v="3"/>
    <x v="1511"/>
  </r>
  <r>
    <x v="1402"/>
    <x v="5"/>
    <d v="2023-09-11T00:00:00"/>
    <n v="2023"/>
    <s v="Q3"/>
    <n v="9"/>
    <s v="Sep"/>
    <n v="7"/>
    <n v="693.17"/>
    <x v="1402"/>
    <s v="Furniture"/>
    <s v="Credit Card"/>
    <n v="5"/>
    <x v="1512"/>
  </r>
  <r>
    <x v="1403"/>
    <x v="0"/>
    <d v="2023-06-04T00:00:00"/>
    <n v="2023"/>
    <s v="Q2"/>
    <n v="6"/>
    <s v="Jun"/>
    <n v="8"/>
    <n v="661.37"/>
    <x v="1403"/>
    <s v="Furniture"/>
    <s v="Online"/>
    <n v="1"/>
    <x v="1513"/>
  </r>
  <r>
    <x v="1404"/>
    <x v="5"/>
    <d v="2023-07-03T00:00:00"/>
    <n v="2023"/>
    <s v="Q3"/>
    <n v="7"/>
    <s v="Jul"/>
    <n v="8"/>
    <n v="444.81"/>
    <x v="1404"/>
    <s v="Office Supplies"/>
    <s v="Debit Card"/>
    <n v="1"/>
    <x v="1514"/>
  </r>
  <r>
    <x v="1405"/>
    <x v="2"/>
    <d v="2023-02-14T00:00:00"/>
    <n v="2023"/>
    <s v="Q1"/>
    <n v="2"/>
    <s v="Feb"/>
    <n v="6"/>
    <n v="372.68"/>
    <x v="1405"/>
    <s v="Electronics"/>
    <s v="Debit Card"/>
    <n v="2"/>
    <x v="1515"/>
  </r>
  <r>
    <x v="1406"/>
    <x v="6"/>
    <d v="2024-01-05T00:00:00"/>
    <n v="2024"/>
    <s v="Q1"/>
    <n v="1"/>
    <s v="Jan"/>
    <n v="1"/>
    <n v="172.22"/>
    <x v="1406"/>
    <s v="Electronics"/>
    <s v="Online"/>
    <n v="1"/>
    <x v="1516"/>
  </r>
  <r>
    <x v="1407"/>
    <x v="2"/>
    <d v="2024-07-03T00:00:00"/>
    <n v="2024"/>
    <s v="Q3"/>
    <n v="7"/>
    <s v="Jul"/>
    <n v="2"/>
    <n v="238.52"/>
    <x v="1407"/>
    <s v="Electronics"/>
    <s v="Gift Card"/>
    <n v="1"/>
    <x v="1517"/>
  </r>
  <r>
    <x v="1408"/>
    <x v="1"/>
    <d v="2023-04-30T00:00:00"/>
    <n v="2023"/>
    <s v="Q2"/>
    <n v="4"/>
    <s v="Apr"/>
    <n v="1"/>
    <n v="784.11"/>
    <x v="1408"/>
    <s v="Electronics"/>
    <s v="Debit Card"/>
    <n v="2"/>
    <x v="1518"/>
  </r>
  <r>
    <x v="622"/>
    <x v="0"/>
    <d v="2025-01-07T00:00:00"/>
    <n v="2025"/>
    <s v="Q1"/>
    <n v="1"/>
    <s v="Jan"/>
    <n v="7"/>
    <n v="111.51"/>
    <x v="622"/>
    <s v="Office Supplies"/>
    <s v="Gift Card"/>
    <n v="2"/>
    <x v="1519"/>
  </r>
  <r>
    <x v="1409"/>
    <x v="5"/>
    <d v="2024-01-11T00:00:00"/>
    <n v="2024"/>
    <s v="Q1"/>
    <n v="1"/>
    <s v="Jan"/>
    <n v="1"/>
    <n v="347.91"/>
    <x v="1409"/>
    <s v="Furniture"/>
    <s v="Debit Card"/>
    <n v="2"/>
    <x v="1520"/>
  </r>
  <r>
    <x v="1410"/>
    <x v="0"/>
    <d v="2024-08-27T00:00:00"/>
    <n v="2024"/>
    <s v="Q3"/>
    <n v="8"/>
    <s v="Aug"/>
    <n v="6"/>
    <n v="793.19"/>
    <x v="1410"/>
    <s v="Office Supplies"/>
    <s v="Debit Card"/>
    <n v="1"/>
    <x v="1521"/>
  </r>
  <r>
    <x v="1411"/>
    <x v="4"/>
    <d v="2025-05-14T00:00:00"/>
    <n v="2025"/>
    <s v="Q2"/>
    <n v="5"/>
    <s v="May"/>
    <n v="4"/>
    <n v="271.45"/>
    <x v="1411"/>
    <s v="Electronics"/>
    <s v="Debit Card"/>
    <n v="4"/>
    <x v="1522"/>
  </r>
  <r>
    <x v="1412"/>
    <x v="6"/>
    <d v="2024-01-03T00:00:00"/>
    <n v="2024"/>
    <s v="Q1"/>
    <n v="1"/>
    <s v="Jan"/>
    <n v="7"/>
    <n v="747.04"/>
    <x v="1412"/>
    <s v="Electronics"/>
    <s v="Gift Card"/>
    <n v="4"/>
    <x v="1523"/>
  </r>
  <r>
    <x v="1413"/>
    <x v="4"/>
    <d v="2025-06-17T00:00:00"/>
    <n v="2025"/>
    <s v="Q2"/>
    <n v="6"/>
    <s v="Jun"/>
    <n v="6"/>
    <n v="250.37"/>
    <x v="1413"/>
    <s v="Office Supplies"/>
    <s v="Gift Card"/>
    <n v="5"/>
    <x v="1524"/>
  </r>
  <r>
    <x v="1414"/>
    <x v="4"/>
    <d v="2024-12-30T00:00:00"/>
    <n v="2024"/>
    <s v="Q4"/>
    <n v="12"/>
    <s v="Dec"/>
    <n v="1"/>
    <n v="585.36"/>
    <x v="1414"/>
    <s v="Electronics"/>
    <s v="Online"/>
    <n v="3"/>
    <x v="1525"/>
  </r>
  <r>
    <x v="1415"/>
    <x v="3"/>
    <d v="2024-05-02T00:00:00"/>
    <n v="2024"/>
    <s v="Q2"/>
    <n v="5"/>
    <s v="May"/>
    <n v="5"/>
    <n v="259.77"/>
    <x v="1415"/>
    <s v="Office Supplies"/>
    <s v="Debit Card"/>
    <n v="1"/>
    <x v="1526"/>
  </r>
  <r>
    <x v="1416"/>
    <x v="4"/>
    <d v="2024-08-02T00:00:00"/>
    <n v="2024"/>
    <s v="Q3"/>
    <n v="8"/>
    <s v="Aug"/>
    <n v="5"/>
    <n v="648.76"/>
    <x v="1416"/>
    <s v="Electronics"/>
    <s v="Gift Card"/>
    <n v="3"/>
    <x v="1527"/>
  </r>
  <r>
    <x v="1417"/>
    <x v="6"/>
    <d v="2023-04-10T00:00:00"/>
    <n v="2023"/>
    <s v="Q2"/>
    <n v="4"/>
    <s v="Apr"/>
    <n v="1"/>
    <n v="770.68"/>
    <x v="1417"/>
    <s v="Furniture"/>
    <s v="Gift Card"/>
    <n v="2"/>
    <x v="1528"/>
  </r>
  <r>
    <x v="1418"/>
    <x v="3"/>
    <d v="2023-09-03T00:00:00"/>
    <n v="2023"/>
    <s v="Q3"/>
    <n v="9"/>
    <s v="Sep"/>
    <n v="7"/>
    <n v="510.71"/>
    <x v="1418"/>
    <s v="Office Supplies"/>
    <s v="Cash"/>
    <n v="1"/>
    <x v="1529"/>
  </r>
  <r>
    <x v="663"/>
    <x v="4"/>
    <d v="2024-09-08T00:00:00"/>
    <n v="2024"/>
    <s v="Q3"/>
    <n v="9"/>
    <s v="Sep"/>
    <n v="1"/>
    <n v="64.81"/>
    <x v="663"/>
    <s v="Electronics"/>
    <s v="Credit Card"/>
    <n v="2"/>
    <x v="1530"/>
  </r>
  <r>
    <x v="1419"/>
    <x v="1"/>
    <d v="2023-11-05T00:00:00"/>
    <n v="2023"/>
    <s v="Q4"/>
    <n v="11"/>
    <s v="Nov"/>
    <n v="2"/>
    <n v="655.12"/>
    <x v="1419"/>
    <s v="Furniture"/>
    <s v="Gift Card"/>
    <n v="3"/>
    <x v="1531"/>
  </r>
  <r>
    <x v="1420"/>
    <x v="6"/>
    <d v="2024-05-03T00:00:00"/>
    <n v="2024"/>
    <s v="Q2"/>
    <n v="5"/>
    <s v="May"/>
    <n v="4"/>
    <n v="100.33"/>
    <x v="1420"/>
    <s v="Furniture"/>
    <s v="Gift Card"/>
    <n v="5"/>
    <x v="1532"/>
  </r>
  <r>
    <x v="157"/>
    <x v="1"/>
    <d v="2024-03-07T00:00:00"/>
    <n v="2024"/>
    <s v="Q1"/>
    <n v="3"/>
    <s v="Mar"/>
    <n v="6"/>
    <n v="216.18"/>
    <x v="157"/>
    <s v="Furniture"/>
    <s v="Debit Card"/>
    <n v="1"/>
    <x v="1533"/>
  </r>
  <r>
    <x v="1421"/>
    <x v="1"/>
    <d v="2024-09-18T00:00:00"/>
    <n v="2024"/>
    <s v="Q3"/>
    <n v="9"/>
    <s v="Sep"/>
    <n v="7"/>
    <n v="416.11"/>
    <x v="1421"/>
    <s v="Furniture"/>
    <s v="Cash"/>
    <n v="5"/>
    <x v="1534"/>
  </r>
  <r>
    <x v="102"/>
    <x v="6"/>
    <d v="2023-08-10T00:00:00"/>
    <n v="2023"/>
    <s v="Q3"/>
    <n v="8"/>
    <s v="Aug"/>
    <n v="2"/>
    <n v="412.62"/>
    <x v="102"/>
    <s v="Office Supplies"/>
    <s v="Credit Card"/>
    <n v="3"/>
    <x v="1535"/>
  </r>
  <r>
    <x v="1422"/>
    <x v="3"/>
    <d v="2023-03-27T00:00:00"/>
    <n v="2023"/>
    <s v="Q1"/>
    <n v="3"/>
    <s v="Mar"/>
    <n v="5"/>
    <n v="453.66"/>
    <x v="1422"/>
    <s v="Furniture"/>
    <s v="Online"/>
    <n v="4"/>
    <x v="1536"/>
  </r>
  <r>
    <x v="152"/>
    <x v="1"/>
    <d v="2024-04-23T00:00:00"/>
    <n v="2024"/>
    <s v="Q2"/>
    <n v="4"/>
    <s v="Apr"/>
    <n v="7"/>
    <n v="733.53"/>
    <x v="152"/>
    <s v="Electronics"/>
    <s v="Debit Card"/>
    <n v="3"/>
    <x v="1537"/>
  </r>
  <r>
    <x v="1423"/>
    <x v="4"/>
    <d v="2023-05-07T00:00:00"/>
    <n v="2023"/>
    <s v="Q2"/>
    <n v="5"/>
    <s v="May"/>
    <n v="6"/>
    <n v="71.05"/>
    <x v="1423"/>
    <s v="Office Supplies"/>
    <s v="Debit Card"/>
    <n v="4"/>
    <x v="1538"/>
  </r>
  <r>
    <x v="947"/>
    <x v="5"/>
    <d v="2025-04-02T00:00:00"/>
    <n v="2025"/>
    <s v="Q2"/>
    <n v="4"/>
    <s v="Apr"/>
    <n v="2"/>
    <n v="705.82"/>
    <x v="947"/>
    <s v="Furniture"/>
    <s v="Debit Card"/>
    <n v="3"/>
    <x v="1539"/>
  </r>
  <r>
    <x v="1424"/>
    <x v="0"/>
    <d v="2023-02-21T00:00:00"/>
    <n v="2023"/>
    <s v="Q1"/>
    <n v="2"/>
    <s v="Feb"/>
    <n v="3"/>
    <n v="57.35"/>
    <x v="1424"/>
    <s v="Furniture"/>
    <s v="Gift Card"/>
    <n v="2"/>
    <x v="1540"/>
  </r>
  <r>
    <x v="1425"/>
    <x v="3"/>
    <d v="2025-03-12T00:00:00"/>
    <n v="2025"/>
    <s v="Q1"/>
    <n v="3"/>
    <s v="Mar"/>
    <n v="3"/>
    <n v="533.37"/>
    <x v="1425"/>
    <s v="Furniture"/>
    <s v="Credit Card"/>
    <n v="1"/>
    <x v="1541"/>
  </r>
  <r>
    <x v="1426"/>
    <x v="2"/>
    <d v="2023-02-17T00:00:00"/>
    <n v="2023"/>
    <s v="Q1"/>
    <n v="2"/>
    <s v="Feb"/>
    <n v="8"/>
    <n v="357.56"/>
    <x v="1426"/>
    <s v="Office Supplies"/>
    <s v="Cash"/>
    <n v="5"/>
    <x v="1542"/>
  </r>
  <r>
    <x v="1427"/>
    <x v="4"/>
    <d v="2023-12-01T00:00:00"/>
    <n v="2023"/>
    <s v="Q4"/>
    <n v="12"/>
    <s v="Dec"/>
    <n v="7"/>
    <n v="68.58"/>
    <x v="1427"/>
    <s v="Office Supplies"/>
    <s v="Online"/>
    <n v="1"/>
    <x v="1543"/>
  </r>
  <r>
    <x v="1428"/>
    <x v="1"/>
    <d v="2023-04-27T00:00:00"/>
    <n v="2023"/>
    <s v="Q2"/>
    <n v="4"/>
    <s v="Apr"/>
    <n v="3"/>
    <n v="611.55999999999995"/>
    <x v="1428"/>
    <s v="Furniture"/>
    <s v="Gift Card"/>
    <n v="2"/>
    <x v="1544"/>
  </r>
  <r>
    <x v="1429"/>
    <x v="0"/>
    <d v="2024-02-17T00:00:00"/>
    <n v="2024"/>
    <s v="Q1"/>
    <n v="2"/>
    <s v="Feb"/>
    <n v="1"/>
    <n v="269.26"/>
    <x v="1429"/>
    <s v="Office Supplies"/>
    <s v="Gift Card"/>
    <n v="4"/>
    <x v="1545"/>
  </r>
  <r>
    <x v="1430"/>
    <x v="0"/>
    <d v="2025-04-09T00:00:00"/>
    <n v="2025"/>
    <s v="Q2"/>
    <n v="4"/>
    <s v="Apr"/>
    <n v="4"/>
    <n v="737.59"/>
    <x v="1430"/>
    <s v="Furniture"/>
    <s v="Credit Card"/>
    <n v="1"/>
    <x v="1546"/>
  </r>
  <r>
    <x v="1431"/>
    <x v="3"/>
    <d v="2023-06-04T00:00:00"/>
    <n v="2023"/>
    <s v="Q2"/>
    <n v="6"/>
    <s v="Jun"/>
    <n v="7"/>
    <n v="107.51"/>
    <x v="1431"/>
    <s v="Furniture"/>
    <s v="Online"/>
    <n v="1"/>
    <x v="1547"/>
  </r>
  <r>
    <x v="1432"/>
    <x v="2"/>
    <d v="2024-06-17T00:00:00"/>
    <n v="2024"/>
    <s v="Q2"/>
    <n v="6"/>
    <s v="Jun"/>
    <n v="3"/>
    <n v="188.33"/>
    <x v="1432"/>
    <s v="Electronics"/>
    <s v="Cash"/>
    <n v="2"/>
    <x v="1548"/>
  </r>
  <r>
    <x v="1433"/>
    <x v="0"/>
    <d v="2023-07-13T00:00:00"/>
    <n v="2023"/>
    <s v="Q3"/>
    <n v="7"/>
    <s v="Jul"/>
    <n v="5"/>
    <n v="563.85"/>
    <x v="1433"/>
    <s v="Furniture"/>
    <s v="Online"/>
    <n v="5"/>
    <x v="1549"/>
  </r>
  <r>
    <x v="1434"/>
    <x v="1"/>
    <d v="2023-12-26T00:00:00"/>
    <n v="2023"/>
    <s v="Q4"/>
    <n v="12"/>
    <s v="Dec"/>
    <n v="3"/>
    <n v="272.31"/>
    <x v="1434"/>
    <s v="Office Supplies"/>
    <s v="Credit Card"/>
    <n v="2"/>
    <x v="1550"/>
  </r>
  <r>
    <x v="1435"/>
    <x v="6"/>
    <d v="2023-10-23T00:00:00"/>
    <n v="2023"/>
    <s v="Q4"/>
    <n v="10"/>
    <s v="Oct"/>
    <n v="6"/>
    <n v="289.86"/>
    <x v="1435"/>
    <s v="Office Supplies"/>
    <s v="Debit Card"/>
    <n v="4"/>
    <x v="1551"/>
  </r>
  <r>
    <x v="1178"/>
    <x v="4"/>
    <d v="2024-07-19T00:00:00"/>
    <n v="2024"/>
    <s v="Q3"/>
    <n v="7"/>
    <s v="Jul"/>
    <n v="8"/>
    <n v="154.93"/>
    <x v="1178"/>
    <s v="Office Supplies"/>
    <s v="Online"/>
    <n v="1"/>
    <x v="1552"/>
  </r>
  <r>
    <x v="1436"/>
    <x v="0"/>
    <d v="2024-08-14T00:00:00"/>
    <n v="2024"/>
    <s v="Q3"/>
    <n v="8"/>
    <s v="Aug"/>
    <n v="5"/>
    <n v="388.14"/>
    <x v="1436"/>
    <s v="Furniture"/>
    <s v="Debit Card"/>
    <n v="2"/>
    <x v="1553"/>
  </r>
  <r>
    <x v="1437"/>
    <x v="3"/>
    <d v="2024-05-03T00:00:00"/>
    <n v="2024"/>
    <s v="Q2"/>
    <n v="5"/>
    <s v="May"/>
    <n v="6"/>
    <n v="144.63"/>
    <x v="1437"/>
    <s v="Furniture"/>
    <s v="Debit Card"/>
    <n v="5"/>
    <x v="1554"/>
  </r>
  <r>
    <x v="1438"/>
    <x v="1"/>
    <d v="2025-01-19T00:00:00"/>
    <n v="2025"/>
    <s v="Q1"/>
    <n v="1"/>
    <s v="Jan"/>
    <n v="6"/>
    <n v="655.75"/>
    <x v="1438"/>
    <s v="Electronics"/>
    <s v="Gift Card"/>
    <n v="5"/>
    <x v="1555"/>
  </r>
  <r>
    <x v="971"/>
    <x v="0"/>
    <d v="2025-06-19T00:00:00"/>
    <n v="2025"/>
    <s v="Q2"/>
    <n v="6"/>
    <s v="Jun"/>
    <n v="3"/>
    <n v="314.79000000000002"/>
    <x v="971"/>
    <s v="Electronics"/>
    <s v="Cash"/>
    <n v="4"/>
    <x v="1556"/>
  </r>
  <r>
    <x v="1439"/>
    <x v="1"/>
    <d v="2024-10-05T00:00:00"/>
    <n v="2024"/>
    <s v="Q4"/>
    <n v="10"/>
    <s v="Oct"/>
    <n v="1"/>
    <n v="91.01"/>
    <x v="1439"/>
    <s v="Office Supplies"/>
    <s v="Online"/>
    <n v="5"/>
    <x v="1557"/>
  </r>
  <r>
    <x v="960"/>
    <x v="2"/>
    <d v="2024-12-08T00:00:00"/>
    <n v="2024"/>
    <s v="Q4"/>
    <n v="12"/>
    <s v="Dec"/>
    <n v="8"/>
    <n v="717.52"/>
    <x v="960"/>
    <s v="Furniture"/>
    <s v="Debit Card"/>
    <n v="3"/>
    <x v="1558"/>
  </r>
  <r>
    <x v="1440"/>
    <x v="6"/>
    <d v="2024-08-28T00:00:00"/>
    <n v="2024"/>
    <s v="Q3"/>
    <n v="8"/>
    <s v="Aug"/>
    <n v="3"/>
    <n v="51.41"/>
    <x v="1440"/>
    <s v="Furniture"/>
    <s v="Gift Card"/>
    <n v="2"/>
    <x v="1559"/>
  </r>
  <r>
    <x v="1441"/>
    <x v="2"/>
    <d v="2025-01-11T00:00:00"/>
    <n v="2025"/>
    <s v="Q1"/>
    <n v="1"/>
    <s v="Jan"/>
    <n v="7"/>
    <n v="615.9"/>
    <x v="1441"/>
    <s v="Electronics"/>
    <s v="Online"/>
    <n v="4"/>
    <x v="1560"/>
  </r>
  <r>
    <x v="1442"/>
    <x v="5"/>
    <d v="2023-12-10T00:00:00"/>
    <n v="2023"/>
    <s v="Q4"/>
    <n v="12"/>
    <s v="Dec"/>
    <n v="8"/>
    <n v="9.3800000000000008"/>
    <x v="1442"/>
    <s v="Office Supplies"/>
    <s v="Cash"/>
    <n v="4"/>
    <x v="1561"/>
  </r>
  <r>
    <x v="1443"/>
    <x v="5"/>
    <d v="2024-06-25T00:00:00"/>
    <n v="2024"/>
    <s v="Q2"/>
    <n v="6"/>
    <s v="Jun"/>
    <n v="3"/>
    <n v="742.33"/>
    <x v="1443"/>
    <s v="Electronics"/>
    <s v="Cash"/>
    <n v="5"/>
    <x v="1562"/>
  </r>
  <r>
    <x v="1444"/>
    <x v="3"/>
    <d v="2023-09-09T00:00:00"/>
    <n v="2023"/>
    <s v="Q3"/>
    <n v="9"/>
    <s v="Sep"/>
    <n v="3"/>
    <n v="391.01"/>
    <x v="1444"/>
    <s v="Furniture"/>
    <s v="Credit Card"/>
    <n v="1"/>
    <x v="1563"/>
  </r>
  <r>
    <x v="189"/>
    <x v="6"/>
    <d v="2023-11-21T00:00:00"/>
    <n v="2023"/>
    <s v="Q4"/>
    <n v="11"/>
    <s v="Nov"/>
    <n v="1"/>
    <n v="142.85"/>
    <x v="189"/>
    <s v="Electronics"/>
    <s v="Online"/>
    <n v="1"/>
    <x v="1564"/>
  </r>
  <r>
    <x v="1445"/>
    <x v="3"/>
    <d v="2023-10-12T00:00:00"/>
    <n v="2023"/>
    <s v="Q4"/>
    <n v="10"/>
    <s v="Oct"/>
    <n v="2"/>
    <n v="458.15"/>
    <x v="1445"/>
    <s v="Electronics"/>
    <s v="Online"/>
    <n v="2"/>
    <x v="1565"/>
  </r>
  <r>
    <x v="1446"/>
    <x v="1"/>
    <d v="2025-01-03T00:00:00"/>
    <n v="2025"/>
    <s v="Q1"/>
    <n v="1"/>
    <s v="Jan"/>
    <n v="1"/>
    <n v="320.24"/>
    <x v="1446"/>
    <s v="Office Supplies"/>
    <s v="Credit Card"/>
    <n v="1"/>
    <x v="1566"/>
  </r>
  <r>
    <x v="1447"/>
    <x v="1"/>
    <d v="2024-04-17T00:00:00"/>
    <n v="2024"/>
    <s v="Q2"/>
    <n v="4"/>
    <s v="Apr"/>
    <n v="8"/>
    <n v="45.37"/>
    <x v="1447"/>
    <s v="Furniture"/>
    <s v="Gift Card"/>
    <n v="4"/>
    <x v="1567"/>
  </r>
  <r>
    <x v="1448"/>
    <x v="0"/>
    <d v="2023-11-06T00:00:00"/>
    <n v="2023"/>
    <s v="Q4"/>
    <n v="11"/>
    <s v="Nov"/>
    <n v="1"/>
    <n v="612.47"/>
    <x v="1448"/>
    <s v="Electronics"/>
    <s v="Credit Card"/>
    <n v="5"/>
    <x v="1568"/>
  </r>
  <r>
    <x v="1449"/>
    <x v="6"/>
    <d v="2024-03-17T00:00:00"/>
    <n v="2024"/>
    <s v="Q1"/>
    <n v="3"/>
    <s v="Mar"/>
    <n v="8"/>
    <n v="457.43"/>
    <x v="1449"/>
    <s v="Electronics"/>
    <s v="Credit Card"/>
    <n v="5"/>
    <x v="1569"/>
  </r>
  <r>
    <x v="1450"/>
    <x v="0"/>
    <d v="2024-11-12T00:00:00"/>
    <n v="2024"/>
    <s v="Q4"/>
    <n v="11"/>
    <s v="Nov"/>
    <n v="2"/>
    <n v="282.66000000000003"/>
    <x v="1450"/>
    <s v="Electronics"/>
    <s v="Gift Card"/>
    <n v="4"/>
    <x v="1570"/>
  </r>
  <r>
    <x v="1451"/>
    <x v="6"/>
    <d v="2025-05-13T00:00:00"/>
    <n v="2025"/>
    <s v="Q2"/>
    <n v="5"/>
    <s v="May"/>
    <n v="5"/>
    <n v="528.01"/>
    <x v="1451"/>
    <s v="Electronics"/>
    <s v="Online"/>
    <n v="2"/>
    <x v="1571"/>
  </r>
  <r>
    <x v="1452"/>
    <x v="3"/>
    <d v="2024-05-09T00:00:00"/>
    <n v="2024"/>
    <s v="Q2"/>
    <n v="5"/>
    <s v="May"/>
    <n v="4"/>
    <n v="402.58"/>
    <x v="1452"/>
    <s v="Electronics"/>
    <s v="Cash"/>
    <n v="3"/>
    <x v="1572"/>
  </r>
  <r>
    <x v="1453"/>
    <x v="3"/>
    <d v="2023-07-08T00:00:00"/>
    <n v="2023"/>
    <s v="Q3"/>
    <n v="7"/>
    <s v="Jul"/>
    <n v="5"/>
    <n v="95.09"/>
    <x v="1453"/>
    <s v="Office Supplies"/>
    <s v="Credit Card"/>
    <n v="3"/>
    <x v="1573"/>
  </r>
  <r>
    <x v="962"/>
    <x v="6"/>
    <d v="2024-07-28T00:00:00"/>
    <n v="2024"/>
    <s v="Q3"/>
    <n v="7"/>
    <s v="Jul"/>
    <n v="1"/>
    <n v="735.73"/>
    <x v="962"/>
    <s v="Electronics"/>
    <s v="Online"/>
    <n v="2"/>
    <x v="1574"/>
  </r>
  <r>
    <x v="1454"/>
    <x v="5"/>
    <d v="2025-06-18T00:00:00"/>
    <n v="2025"/>
    <s v="Q2"/>
    <n v="6"/>
    <s v="Jun"/>
    <n v="5"/>
    <n v="598.36"/>
    <x v="1454"/>
    <s v="Office Supplies"/>
    <s v="Online"/>
    <n v="2"/>
    <x v="1575"/>
  </r>
  <r>
    <x v="1455"/>
    <x v="0"/>
    <d v="2024-01-25T00:00:00"/>
    <n v="2024"/>
    <s v="Q1"/>
    <n v="1"/>
    <s v="Jan"/>
    <n v="5"/>
    <n v="718.01"/>
    <x v="1455"/>
    <s v="Electronics"/>
    <s v="Cash"/>
    <n v="4"/>
    <x v="1576"/>
  </r>
  <r>
    <x v="1456"/>
    <x v="0"/>
    <d v="2025-03-13T00:00:00"/>
    <n v="2025"/>
    <s v="Q1"/>
    <n v="3"/>
    <s v="Mar"/>
    <n v="5"/>
    <n v="322.67"/>
    <x v="1456"/>
    <s v="Electronics"/>
    <s v="Cash"/>
    <n v="5"/>
    <x v="1577"/>
  </r>
  <r>
    <x v="1457"/>
    <x v="2"/>
    <d v="2023-09-13T00:00:00"/>
    <n v="2023"/>
    <s v="Q3"/>
    <n v="9"/>
    <s v="Sep"/>
    <n v="7"/>
    <n v="56.28"/>
    <x v="1457"/>
    <s v="Electronics"/>
    <s v="Cash"/>
    <n v="4"/>
    <x v="1578"/>
  </r>
  <r>
    <x v="1458"/>
    <x v="4"/>
    <d v="2024-06-12T00:00:00"/>
    <n v="2024"/>
    <s v="Q2"/>
    <n v="6"/>
    <s v="Jun"/>
    <n v="6"/>
    <n v="370.95"/>
    <x v="1458"/>
    <s v="Furniture"/>
    <s v="Credit Card"/>
    <n v="4"/>
    <x v="1579"/>
  </r>
  <r>
    <x v="1459"/>
    <x v="5"/>
    <d v="2025-05-10T00:00:00"/>
    <n v="2025"/>
    <s v="Q2"/>
    <n v="5"/>
    <s v="May"/>
    <n v="5"/>
    <n v="234.71"/>
    <x v="1459"/>
    <s v="Electronics"/>
    <s v="Credit Card"/>
    <n v="2"/>
    <x v="1580"/>
  </r>
  <r>
    <x v="1460"/>
    <x v="6"/>
    <d v="2024-08-06T00:00:00"/>
    <n v="2024"/>
    <s v="Q3"/>
    <n v="8"/>
    <s v="Aug"/>
    <n v="6"/>
    <n v="555.21"/>
    <x v="1460"/>
    <s v="Electronics"/>
    <s v="Cash"/>
    <n v="5"/>
    <x v="1581"/>
  </r>
  <r>
    <x v="1461"/>
    <x v="0"/>
    <d v="2023-07-02T00:00:00"/>
    <n v="2023"/>
    <s v="Q3"/>
    <n v="7"/>
    <s v="Jul"/>
    <n v="1"/>
    <n v="466.31"/>
    <x v="1461"/>
    <s v="Electronics"/>
    <s v="Credit Card"/>
    <n v="3"/>
    <x v="1582"/>
  </r>
  <r>
    <x v="1462"/>
    <x v="0"/>
    <d v="2024-08-22T00:00:00"/>
    <n v="2024"/>
    <s v="Q3"/>
    <n v="8"/>
    <s v="Aug"/>
    <n v="5"/>
    <n v="576.74"/>
    <x v="1462"/>
    <s v="Office Supplies"/>
    <s v="Online"/>
    <n v="3"/>
    <x v="1583"/>
  </r>
  <r>
    <x v="823"/>
    <x v="0"/>
    <d v="2024-04-13T00:00:00"/>
    <n v="2024"/>
    <s v="Q2"/>
    <n v="4"/>
    <s v="Apr"/>
    <n v="4"/>
    <n v="89.55"/>
    <x v="823"/>
    <s v="Furniture"/>
    <s v="Online"/>
    <n v="5"/>
    <x v="1584"/>
  </r>
  <r>
    <x v="1463"/>
    <x v="1"/>
    <d v="2023-01-20T00:00:00"/>
    <n v="2023"/>
    <s v="Q1"/>
    <n v="1"/>
    <s v="Jan"/>
    <n v="4"/>
    <n v="189.94"/>
    <x v="1463"/>
    <s v="Office Supplies"/>
    <s v="Online"/>
    <n v="1"/>
    <x v="1585"/>
  </r>
  <r>
    <x v="1464"/>
    <x v="0"/>
    <d v="2023-12-05T00:00:00"/>
    <n v="2023"/>
    <s v="Q4"/>
    <n v="12"/>
    <s v="Dec"/>
    <n v="1"/>
    <n v="202.98"/>
    <x v="1464"/>
    <s v="Office Supplies"/>
    <s v="Credit Card"/>
    <n v="5"/>
    <x v="1586"/>
  </r>
  <r>
    <x v="1465"/>
    <x v="4"/>
    <d v="2023-08-31T00:00:00"/>
    <n v="2023"/>
    <s v="Q3"/>
    <n v="8"/>
    <s v="Aug"/>
    <n v="1"/>
    <n v="267.7"/>
    <x v="1465"/>
    <s v="Electronics"/>
    <s v="Cash"/>
    <n v="5"/>
    <x v="1587"/>
  </r>
  <r>
    <x v="1466"/>
    <x v="0"/>
    <d v="2025-05-21T00:00:00"/>
    <n v="2025"/>
    <s v="Q2"/>
    <n v="5"/>
    <s v="May"/>
    <n v="3"/>
    <n v="374.04"/>
    <x v="1466"/>
    <s v="Furniture"/>
    <s v="Gift Card"/>
    <n v="3"/>
    <x v="1588"/>
  </r>
  <r>
    <x v="1467"/>
    <x v="1"/>
    <d v="2023-03-07T00:00:00"/>
    <n v="2023"/>
    <s v="Q1"/>
    <n v="3"/>
    <s v="Mar"/>
    <n v="6"/>
    <n v="279.77999999999997"/>
    <x v="1467"/>
    <s v="Electronics"/>
    <s v="Credit Card"/>
    <n v="4"/>
    <x v="1589"/>
  </r>
  <r>
    <x v="1468"/>
    <x v="0"/>
    <d v="2024-09-15T00:00:00"/>
    <n v="2024"/>
    <s v="Q3"/>
    <n v="9"/>
    <s v="Sep"/>
    <n v="4"/>
    <n v="720.83"/>
    <x v="1468"/>
    <s v="Furniture"/>
    <s v="Credit Card"/>
    <n v="2"/>
    <x v="1590"/>
  </r>
  <r>
    <x v="1469"/>
    <x v="1"/>
    <d v="2025-02-02T00:00:00"/>
    <n v="2025"/>
    <s v="Q1"/>
    <n v="2"/>
    <s v="Feb"/>
    <n v="3"/>
    <n v="142.91"/>
    <x v="1469"/>
    <s v="Furniture"/>
    <s v="Online"/>
    <n v="2"/>
    <x v="1591"/>
  </r>
  <r>
    <x v="1470"/>
    <x v="6"/>
    <d v="2025-04-29T00:00:00"/>
    <n v="2025"/>
    <s v="Q2"/>
    <n v="4"/>
    <s v="Apr"/>
    <n v="1"/>
    <n v="728.52"/>
    <x v="1470"/>
    <s v="Office Supplies"/>
    <s v="Debit Card"/>
    <n v="2"/>
    <x v="1592"/>
  </r>
  <r>
    <x v="1471"/>
    <x v="2"/>
    <d v="2024-10-20T00:00:00"/>
    <n v="2024"/>
    <s v="Q4"/>
    <n v="10"/>
    <s v="Oct"/>
    <n v="5"/>
    <n v="344.1"/>
    <x v="1471"/>
    <s v="Electronics"/>
    <s v="Debit Card"/>
    <n v="3"/>
    <x v="1593"/>
  </r>
  <r>
    <x v="1472"/>
    <x v="4"/>
    <d v="2023-04-30T00:00:00"/>
    <n v="2023"/>
    <s v="Q2"/>
    <n v="4"/>
    <s v="Apr"/>
    <n v="4"/>
    <n v="698.77"/>
    <x v="1472"/>
    <s v="Electronics"/>
    <s v="Credit Card"/>
    <n v="4"/>
    <x v="1594"/>
  </r>
  <r>
    <x v="1473"/>
    <x v="4"/>
    <d v="2024-09-21T00:00:00"/>
    <n v="2024"/>
    <s v="Q3"/>
    <n v="9"/>
    <s v="Sep"/>
    <n v="5"/>
    <n v="682.34"/>
    <x v="1473"/>
    <s v="Office Supplies"/>
    <s v="Gift Card"/>
    <n v="3"/>
    <x v="1595"/>
  </r>
  <r>
    <x v="1474"/>
    <x v="1"/>
    <d v="2025-04-09T00:00:00"/>
    <n v="2025"/>
    <s v="Q2"/>
    <n v="4"/>
    <s v="Apr"/>
    <n v="1"/>
    <n v="424.9"/>
    <x v="1474"/>
    <s v="Furniture"/>
    <s v="Debit Card"/>
    <n v="5"/>
    <x v="1596"/>
  </r>
  <r>
    <x v="1475"/>
    <x v="0"/>
    <d v="2023-10-21T00:00:00"/>
    <n v="2023"/>
    <s v="Q4"/>
    <n v="10"/>
    <s v="Oct"/>
    <n v="3"/>
    <n v="377.96"/>
    <x v="1475"/>
    <s v="Electronics"/>
    <s v="Debit Card"/>
    <n v="5"/>
    <x v="1597"/>
  </r>
  <r>
    <x v="1476"/>
    <x v="2"/>
    <d v="2023-05-05T00:00:00"/>
    <n v="2023"/>
    <s v="Q2"/>
    <n v="5"/>
    <s v="May"/>
    <n v="7"/>
    <n v="412.69"/>
    <x v="1476"/>
    <s v="Electronics"/>
    <s v="Online"/>
    <n v="4"/>
    <x v="1598"/>
  </r>
  <r>
    <x v="1477"/>
    <x v="4"/>
    <d v="2023-07-07T00:00:00"/>
    <n v="2023"/>
    <s v="Q3"/>
    <n v="7"/>
    <s v="Jul"/>
    <n v="7"/>
    <n v="445.47"/>
    <x v="1477"/>
    <s v="Office Supplies"/>
    <s v="Gift Card"/>
    <n v="1"/>
    <x v="1599"/>
  </r>
  <r>
    <x v="1478"/>
    <x v="0"/>
    <d v="2024-04-26T00:00:00"/>
    <n v="2024"/>
    <s v="Q2"/>
    <n v="4"/>
    <s v="Apr"/>
    <n v="5"/>
    <n v="28.12"/>
    <x v="1478"/>
    <s v="Electronics"/>
    <s v="Cash"/>
    <n v="4"/>
    <x v="1600"/>
  </r>
  <r>
    <x v="1479"/>
    <x v="4"/>
    <d v="2023-07-02T00:00:00"/>
    <n v="2023"/>
    <s v="Q3"/>
    <n v="7"/>
    <s v="Jul"/>
    <n v="2"/>
    <n v="778"/>
    <x v="1479"/>
    <s v="Electronics"/>
    <s v="Online"/>
    <n v="2"/>
    <x v="1601"/>
  </r>
  <r>
    <x v="1480"/>
    <x v="5"/>
    <d v="2025-03-10T00:00:00"/>
    <n v="2025"/>
    <s v="Q1"/>
    <n v="3"/>
    <s v="Mar"/>
    <n v="6"/>
    <n v="511.28"/>
    <x v="1480"/>
    <s v="Office Supplies"/>
    <s v="Gift Card"/>
    <n v="4"/>
    <x v="1602"/>
  </r>
  <r>
    <x v="1481"/>
    <x v="6"/>
    <d v="2023-07-10T00:00:00"/>
    <n v="2023"/>
    <s v="Q3"/>
    <n v="7"/>
    <s v="Jul"/>
    <n v="8"/>
    <n v="257.74"/>
    <x v="1481"/>
    <s v="Electronics"/>
    <s v="Debit Card"/>
    <n v="1"/>
    <x v="1603"/>
  </r>
  <r>
    <x v="927"/>
    <x v="4"/>
    <d v="2023-08-05T00:00:00"/>
    <n v="2023"/>
    <s v="Q3"/>
    <n v="8"/>
    <s v="Aug"/>
    <n v="8"/>
    <n v="204.6"/>
    <x v="927"/>
    <s v="Office Supplies"/>
    <s v="Credit Card"/>
    <n v="5"/>
    <x v="1604"/>
  </r>
  <r>
    <x v="1482"/>
    <x v="5"/>
    <d v="2025-06-09T00:00:00"/>
    <n v="2025"/>
    <s v="Q2"/>
    <n v="6"/>
    <s v="Jun"/>
    <n v="1"/>
    <n v="697.16"/>
    <x v="1482"/>
    <s v="Furniture"/>
    <s v="Gift Card"/>
    <n v="2"/>
    <x v="1605"/>
  </r>
  <r>
    <x v="1483"/>
    <x v="4"/>
    <d v="2024-08-26T00:00:00"/>
    <n v="2024"/>
    <s v="Q3"/>
    <n v="8"/>
    <s v="Aug"/>
    <n v="8"/>
    <n v="347.15"/>
    <x v="1483"/>
    <s v="Furniture"/>
    <s v="Cash"/>
    <n v="5"/>
    <x v="1606"/>
  </r>
  <r>
    <x v="1484"/>
    <x v="4"/>
    <d v="2024-07-25T00:00:00"/>
    <n v="2024"/>
    <s v="Q3"/>
    <n v="7"/>
    <s v="Jul"/>
    <n v="2"/>
    <n v="674.66"/>
    <x v="1484"/>
    <s v="Furniture"/>
    <s v="Cash"/>
    <n v="4"/>
    <x v="1607"/>
  </r>
  <r>
    <x v="1485"/>
    <x v="6"/>
    <d v="2023-05-10T00:00:00"/>
    <n v="2023"/>
    <s v="Q2"/>
    <n v="5"/>
    <s v="May"/>
    <n v="6"/>
    <n v="328.64"/>
    <x v="1485"/>
    <s v="Furniture"/>
    <s v="Gift Card"/>
    <n v="5"/>
    <x v="1608"/>
  </r>
  <r>
    <x v="1486"/>
    <x v="6"/>
    <d v="2023-04-12T00:00:00"/>
    <n v="2023"/>
    <s v="Q2"/>
    <n v="4"/>
    <s v="Apr"/>
    <n v="3"/>
    <n v="684.22"/>
    <x v="1486"/>
    <s v="Office Supplies"/>
    <s v="Cash"/>
    <n v="2"/>
    <x v="1609"/>
  </r>
  <r>
    <x v="1487"/>
    <x v="5"/>
    <d v="2023-11-16T00:00:00"/>
    <n v="2023"/>
    <s v="Q4"/>
    <n v="11"/>
    <s v="Nov"/>
    <n v="5"/>
    <n v="508.63"/>
    <x v="1487"/>
    <s v="Furniture"/>
    <s v="Cash"/>
    <n v="3"/>
    <x v="1610"/>
  </r>
  <r>
    <x v="1488"/>
    <x v="2"/>
    <d v="2024-04-05T00:00:00"/>
    <n v="2024"/>
    <s v="Q2"/>
    <n v="4"/>
    <s v="Apr"/>
    <n v="6"/>
    <n v="220.73"/>
    <x v="1488"/>
    <s v="Furniture"/>
    <s v="Debit Card"/>
    <n v="3"/>
    <x v="1611"/>
  </r>
  <r>
    <x v="1489"/>
    <x v="0"/>
    <d v="2024-06-13T00:00:00"/>
    <n v="2024"/>
    <s v="Q2"/>
    <n v="6"/>
    <s v="Jun"/>
    <n v="1"/>
    <n v="434.97"/>
    <x v="1489"/>
    <s v="Furniture"/>
    <s v="Online"/>
    <n v="5"/>
    <x v="1612"/>
  </r>
  <r>
    <x v="1490"/>
    <x v="1"/>
    <d v="2023-01-24T00:00:00"/>
    <n v="2023"/>
    <s v="Q1"/>
    <n v="1"/>
    <s v="Jan"/>
    <n v="1"/>
    <n v="586.44000000000005"/>
    <x v="1490"/>
    <s v="Electronics"/>
    <s v="Debit Card"/>
    <n v="4"/>
    <x v="1613"/>
  </r>
  <r>
    <x v="1491"/>
    <x v="0"/>
    <d v="2023-04-26T00:00:00"/>
    <n v="2023"/>
    <s v="Q2"/>
    <n v="4"/>
    <s v="Apr"/>
    <n v="8"/>
    <n v="21.27"/>
    <x v="1491"/>
    <s v="Electronics"/>
    <s v="Cash"/>
    <n v="4"/>
    <x v="1614"/>
  </r>
  <r>
    <x v="1492"/>
    <x v="3"/>
    <d v="2024-03-17T00:00:00"/>
    <n v="2024"/>
    <s v="Q1"/>
    <n v="3"/>
    <s v="Mar"/>
    <n v="8"/>
    <n v="287.38"/>
    <x v="1492"/>
    <s v="Furniture"/>
    <s v="Credit Card"/>
    <n v="1"/>
    <x v="1615"/>
  </r>
  <r>
    <x v="1493"/>
    <x v="6"/>
    <d v="2023-07-26T00:00:00"/>
    <n v="2023"/>
    <s v="Q3"/>
    <n v="7"/>
    <s v="Jul"/>
    <n v="4"/>
    <n v="575.29"/>
    <x v="1493"/>
    <s v="Office Supplies"/>
    <s v="Debit Card"/>
    <n v="2"/>
    <x v="1616"/>
  </r>
  <r>
    <x v="1494"/>
    <x v="2"/>
    <d v="2025-03-30T00:00:00"/>
    <n v="2025"/>
    <s v="Q1"/>
    <n v="3"/>
    <s v="Mar"/>
    <n v="4"/>
    <n v="278.14999999999998"/>
    <x v="1494"/>
    <s v="Electronics"/>
    <s v="Credit Card"/>
    <n v="2"/>
    <x v="1617"/>
  </r>
  <r>
    <x v="1495"/>
    <x v="0"/>
    <d v="2023-06-15T00:00:00"/>
    <n v="2023"/>
    <s v="Q2"/>
    <n v="6"/>
    <s v="Jun"/>
    <n v="7"/>
    <n v="125.26"/>
    <x v="1495"/>
    <s v="Furniture"/>
    <s v="Credit Card"/>
    <n v="3"/>
    <x v="1618"/>
  </r>
  <r>
    <x v="1496"/>
    <x v="4"/>
    <d v="2024-05-25T00:00:00"/>
    <n v="2024"/>
    <s v="Q2"/>
    <n v="5"/>
    <s v="May"/>
    <n v="4"/>
    <n v="201.08"/>
    <x v="1496"/>
    <s v="Office Supplies"/>
    <s v="Credit Card"/>
    <n v="3"/>
    <x v="1619"/>
  </r>
  <r>
    <x v="1497"/>
    <x v="4"/>
    <d v="2023-11-16T00:00:00"/>
    <n v="2023"/>
    <s v="Q4"/>
    <n v="11"/>
    <s v="Nov"/>
    <n v="6"/>
    <n v="765.75"/>
    <x v="1497"/>
    <s v="Furniture"/>
    <s v="Online"/>
    <n v="3"/>
    <x v="1620"/>
  </r>
  <r>
    <x v="1498"/>
    <x v="3"/>
    <d v="2024-02-12T00:00:00"/>
    <n v="2024"/>
    <s v="Q1"/>
    <n v="2"/>
    <s v="Feb"/>
    <n v="5"/>
    <n v="177.73"/>
    <x v="1498"/>
    <s v="Office Supplies"/>
    <s v="Debit Card"/>
    <n v="1"/>
    <x v="1621"/>
  </r>
  <r>
    <x v="1499"/>
    <x v="2"/>
    <d v="2023-11-21T00:00:00"/>
    <n v="2023"/>
    <s v="Q4"/>
    <n v="11"/>
    <s v="Nov"/>
    <n v="7"/>
    <n v="556.54"/>
    <x v="1499"/>
    <s v="Furniture"/>
    <s v="Online"/>
    <n v="4"/>
    <x v="1622"/>
  </r>
  <r>
    <x v="1500"/>
    <x v="2"/>
    <d v="2024-03-30T00:00:00"/>
    <n v="2024"/>
    <s v="Q1"/>
    <n v="3"/>
    <s v="Mar"/>
    <n v="7"/>
    <n v="678.49"/>
    <x v="1500"/>
    <s v="Electronics"/>
    <s v="Credit Card"/>
    <n v="3"/>
    <x v="1623"/>
  </r>
  <r>
    <x v="1501"/>
    <x v="5"/>
    <d v="2023-04-19T00:00:00"/>
    <n v="2023"/>
    <s v="Q2"/>
    <n v="4"/>
    <s v="Apr"/>
    <n v="3"/>
    <n v="326.56"/>
    <x v="1501"/>
    <s v="Furniture"/>
    <s v="Credit Card"/>
    <n v="2"/>
    <x v="1624"/>
  </r>
  <r>
    <x v="1502"/>
    <x v="2"/>
    <d v="2023-06-03T00:00:00"/>
    <n v="2023"/>
    <s v="Q2"/>
    <n v="6"/>
    <s v="Jun"/>
    <n v="3"/>
    <n v="730.83"/>
    <x v="1502"/>
    <s v="Furniture"/>
    <s v="Debit Card"/>
    <n v="5"/>
    <x v="1625"/>
  </r>
  <r>
    <x v="1503"/>
    <x v="2"/>
    <d v="2023-05-16T00:00:00"/>
    <n v="2023"/>
    <s v="Q2"/>
    <n v="5"/>
    <s v="May"/>
    <n v="4"/>
    <n v="606.28"/>
    <x v="1503"/>
    <s v="Electronics"/>
    <s v="Debit Card"/>
    <n v="5"/>
    <x v="1626"/>
  </r>
  <r>
    <x v="1504"/>
    <x v="3"/>
    <d v="2025-03-18T00:00:00"/>
    <n v="2025"/>
    <s v="Q1"/>
    <n v="3"/>
    <s v="Mar"/>
    <n v="7"/>
    <n v="354.2"/>
    <x v="1504"/>
    <s v="Office Supplies"/>
    <s v="Online"/>
    <n v="3"/>
    <x v="1627"/>
  </r>
  <r>
    <x v="1107"/>
    <x v="6"/>
    <d v="2024-02-25T00:00:00"/>
    <n v="2024"/>
    <s v="Q1"/>
    <n v="2"/>
    <s v="Feb"/>
    <n v="1"/>
    <n v="146"/>
    <x v="1107"/>
    <s v="Office Supplies"/>
    <s v="Debit Card"/>
    <n v="5"/>
    <x v="1628"/>
  </r>
  <r>
    <x v="1505"/>
    <x v="1"/>
    <d v="2024-05-11T00:00:00"/>
    <n v="2024"/>
    <s v="Q2"/>
    <n v="5"/>
    <s v="May"/>
    <n v="6"/>
    <n v="360.61"/>
    <x v="1505"/>
    <s v="Office Supplies"/>
    <s v="Gift Card"/>
    <n v="2"/>
    <x v="1629"/>
  </r>
  <r>
    <x v="1506"/>
    <x v="1"/>
    <d v="2024-08-21T00:00:00"/>
    <n v="2024"/>
    <s v="Q3"/>
    <n v="8"/>
    <s v="Aug"/>
    <n v="8"/>
    <n v="127.21"/>
    <x v="1506"/>
    <s v="Furniture"/>
    <s v="Online"/>
    <n v="2"/>
    <x v="1630"/>
  </r>
  <r>
    <x v="1507"/>
    <x v="6"/>
    <d v="2024-09-04T00:00:00"/>
    <n v="2024"/>
    <s v="Q3"/>
    <n v="9"/>
    <s v="Sep"/>
    <n v="8"/>
    <n v="210.44"/>
    <x v="1507"/>
    <s v="Furniture"/>
    <s v="Debit Card"/>
    <n v="1"/>
    <x v="1631"/>
  </r>
  <r>
    <x v="1508"/>
    <x v="2"/>
    <d v="2025-05-14T00:00:00"/>
    <n v="2025"/>
    <s v="Q2"/>
    <n v="5"/>
    <s v="May"/>
    <n v="5"/>
    <n v="408.93"/>
    <x v="1508"/>
    <s v="Furniture"/>
    <s v="Cash"/>
    <n v="5"/>
    <x v="1632"/>
  </r>
  <r>
    <x v="1054"/>
    <x v="2"/>
    <d v="2023-01-15T00:00:00"/>
    <n v="2023"/>
    <s v="Q1"/>
    <n v="1"/>
    <s v="Jan"/>
    <n v="6"/>
    <n v="604.42999999999995"/>
    <x v="1054"/>
    <s v="Furniture"/>
    <s v="Credit Card"/>
    <n v="1"/>
    <x v="1633"/>
  </r>
  <r>
    <x v="830"/>
    <x v="6"/>
    <d v="2024-08-22T00:00:00"/>
    <n v="2024"/>
    <s v="Q3"/>
    <n v="8"/>
    <s v="Aug"/>
    <n v="4"/>
    <n v="366.2"/>
    <x v="830"/>
    <s v="Office Supplies"/>
    <s v="Credit Card"/>
    <n v="3"/>
    <x v="1634"/>
  </r>
  <r>
    <x v="1509"/>
    <x v="3"/>
    <d v="2025-06-22T00:00:00"/>
    <n v="2025"/>
    <s v="Q2"/>
    <n v="6"/>
    <s v="Jun"/>
    <n v="1"/>
    <n v="470.23"/>
    <x v="1509"/>
    <s v="Office Supplies"/>
    <s v="Gift Card"/>
    <n v="3"/>
    <x v="1635"/>
  </r>
  <r>
    <x v="1510"/>
    <x v="3"/>
    <d v="2024-12-22T00:00:00"/>
    <n v="2024"/>
    <s v="Q4"/>
    <n v="12"/>
    <s v="Dec"/>
    <n v="3"/>
    <n v="232.73"/>
    <x v="1510"/>
    <s v="Electronics"/>
    <s v="Online"/>
    <n v="3"/>
    <x v="1636"/>
  </r>
  <r>
    <x v="1511"/>
    <x v="3"/>
    <d v="2023-01-23T00:00:00"/>
    <n v="2023"/>
    <s v="Q1"/>
    <n v="1"/>
    <s v="Jan"/>
    <n v="6"/>
    <n v="744.27"/>
    <x v="1511"/>
    <s v="Furniture"/>
    <s v="Debit Card"/>
    <n v="5"/>
    <x v="1637"/>
  </r>
  <r>
    <x v="1512"/>
    <x v="1"/>
    <d v="2023-11-27T00:00:00"/>
    <n v="2023"/>
    <s v="Q4"/>
    <n v="11"/>
    <s v="Nov"/>
    <n v="8"/>
    <n v="290.91000000000003"/>
    <x v="1512"/>
    <s v="Office Supplies"/>
    <s v="Debit Card"/>
    <n v="4"/>
    <x v="1638"/>
  </r>
  <r>
    <x v="1513"/>
    <x v="5"/>
    <d v="2025-06-13T00:00:00"/>
    <n v="2025"/>
    <s v="Q2"/>
    <n v="6"/>
    <s v="Jun"/>
    <n v="8"/>
    <n v="425.3"/>
    <x v="1513"/>
    <s v="Furniture"/>
    <s v="Gift Card"/>
    <n v="4"/>
    <x v="1639"/>
  </r>
  <r>
    <x v="1514"/>
    <x v="4"/>
    <d v="2025-01-16T00:00:00"/>
    <n v="2025"/>
    <s v="Q1"/>
    <n v="1"/>
    <s v="Jan"/>
    <n v="7"/>
    <n v="406.68"/>
    <x v="1514"/>
    <s v="Electronics"/>
    <s v="Credit Card"/>
    <n v="5"/>
    <x v="1640"/>
  </r>
  <r>
    <x v="1515"/>
    <x v="5"/>
    <d v="2025-04-14T00:00:00"/>
    <n v="2025"/>
    <s v="Q2"/>
    <n v="4"/>
    <s v="Apr"/>
    <n v="5"/>
    <n v="167.11"/>
    <x v="1515"/>
    <s v="Furniture"/>
    <s v="Credit Card"/>
    <n v="3"/>
    <x v="1641"/>
  </r>
  <r>
    <x v="1516"/>
    <x v="4"/>
    <d v="2024-02-12T00:00:00"/>
    <n v="2024"/>
    <s v="Q1"/>
    <n v="2"/>
    <s v="Feb"/>
    <n v="6"/>
    <n v="607.23"/>
    <x v="1516"/>
    <s v="Furniture"/>
    <s v="Gift Card"/>
    <n v="3"/>
    <x v="1642"/>
  </r>
  <r>
    <x v="1517"/>
    <x v="5"/>
    <d v="2023-10-26T00:00:00"/>
    <n v="2023"/>
    <s v="Q4"/>
    <n v="10"/>
    <s v="Oct"/>
    <n v="7"/>
    <n v="437.66"/>
    <x v="1517"/>
    <s v="Electronics"/>
    <s v="Online"/>
    <n v="4"/>
    <x v="1643"/>
  </r>
  <r>
    <x v="1518"/>
    <x v="6"/>
    <d v="2023-08-02T00:00:00"/>
    <n v="2023"/>
    <s v="Q3"/>
    <n v="8"/>
    <s v="Aug"/>
    <n v="8"/>
    <n v="757.81"/>
    <x v="1518"/>
    <s v="Electronics"/>
    <s v="Online"/>
    <n v="2"/>
    <x v="1644"/>
  </r>
  <r>
    <x v="1519"/>
    <x v="1"/>
    <d v="2024-09-24T00:00:00"/>
    <n v="2024"/>
    <s v="Q3"/>
    <n v="9"/>
    <s v="Sep"/>
    <n v="7"/>
    <n v="362.42"/>
    <x v="1519"/>
    <s v="Office Supplies"/>
    <s v="Online"/>
    <n v="4"/>
    <x v="1645"/>
  </r>
  <r>
    <x v="1520"/>
    <x v="0"/>
    <d v="2024-03-24T00:00:00"/>
    <n v="2024"/>
    <s v="Q1"/>
    <n v="3"/>
    <s v="Mar"/>
    <n v="8"/>
    <n v="208.1"/>
    <x v="1520"/>
    <s v="Electronics"/>
    <s v="Debit Card"/>
    <n v="5"/>
    <x v="1646"/>
  </r>
  <r>
    <x v="1521"/>
    <x v="3"/>
    <d v="2024-02-29T00:00:00"/>
    <n v="2024"/>
    <s v="Q1"/>
    <n v="2"/>
    <s v="Feb"/>
    <n v="5"/>
    <n v="637.52"/>
    <x v="1521"/>
    <s v="Furniture"/>
    <s v="Gift Card"/>
    <n v="4"/>
    <x v="1647"/>
  </r>
  <r>
    <x v="1522"/>
    <x v="0"/>
    <d v="2025-05-03T00:00:00"/>
    <n v="2025"/>
    <s v="Q2"/>
    <n v="5"/>
    <s v="May"/>
    <n v="3"/>
    <n v="180.86"/>
    <x v="1522"/>
    <s v="Furniture"/>
    <s v="Debit Card"/>
    <n v="3"/>
    <x v="1648"/>
  </r>
  <r>
    <x v="1523"/>
    <x v="2"/>
    <d v="2024-04-22T00:00:00"/>
    <n v="2024"/>
    <s v="Q2"/>
    <n v="4"/>
    <s v="Apr"/>
    <n v="1"/>
    <n v="214.93"/>
    <x v="1523"/>
    <s v="Electronics"/>
    <s v="Gift Card"/>
    <n v="2"/>
    <x v="1649"/>
  </r>
  <r>
    <x v="1524"/>
    <x v="6"/>
    <d v="2023-12-22T00:00:00"/>
    <n v="2023"/>
    <s v="Q4"/>
    <n v="12"/>
    <s v="Dec"/>
    <n v="7"/>
    <n v="375"/>
    <x v="1524"/>
    <s v="Furniture"/>
    <s v="Gift Card"/>
    <n v="4"/>
    <x v="1650"/>
  </r>
  <r>
    <x v="1525"/>
    <x v="6"/>
    <d v="2023-12-13T00:00:00"/>
    <n v="2023"/>
    <s v="Q4"/>
    <n v="12"/>
    <s v="Dec"/>
    <n v="8"/>
    <n v="247.38"/>
    <x v="1525"/>
    <s v="Office Supplies"/>
    <s v="Debit Card"/>
    <n v="5"/>
    <x v="1651"/>
  </r>
  <r>
    <x v="764"/>
    <x v="1"/>
    <d v="2023-07-19T00:00:00"/>
    <n v="2023"/>
    <s v="Q3"/>
    <n v="7"/>
    <s v="Jul"/>
    <n v="7"/>
    <n v="170.42"/>
    <x v="764"/>
    <s v="Furniture"/>
    <s v="Gift Card"/>
    <n v="1"/>
    <x v="1652"/>
  </r>
  <r>
    <x v="1526"/>
    <x v="3"/>
    <d v="2023-01-19T00:00:00"/>
    <n v="2023"/>
    <s v="Q1"/>
    <n v="1"/>
    <s v="Jan"/>
    <n v="5"/>
    <n v="641.57000000000005"/>
    <x v="1526"/>
    <s v="Electronics"/>
    <s v="Debit Card"/>
    <n v="2"/>
    <x v="1653"/>
  </r>
  <r>
    <x v="1527"/>
    <x v="5"/>
    <d v="2024-06-13T00:00:00"/>
    <n v="2024"/>
    <s v="Q2"/>
    <n v="6"/>
    <s v="Jun"/>
    <n v="7"/>
    <n v="462.28"/>
    <x v="1527"/>
    <s v="Office Supplies"/>
    <s v="Cash"/>
    <n v="5"/>
    <x v="1654"/>
  </r>
  <r>
    <x v="1528"/>
    <x v="4"/>
    <d v="2024-01-23T00:00:00"/>
    <n v="2024"/>
    <s v="Q1"/>
    <n v="1"/>
    <s v="Jan"/>
    <n v="4"/>
    <n v="693.32"/>
    <x v="1528"/>
    <s v="Office Supplies"/>
    <s v="Credit Card"/>
    <n v="5"/>
    <x v="1655"/>
  </r>
  <r>
    <x v="1400"/>
    <x v="2"/>
    <d v="2025-06-18T00:00:00"/>
    <n v="2025"/>
    <s v="Q2"/>
    <n v="6"/>
    <s v="Jun"/>
    <n v="6"/>
    <n v="533.1"/>
    <x v="1400"/>
    <s v="Electronics"/>
    <s v="Debit Card"/>
    <n v="1"/>
    <x v="1656"/>
  </r>
  <r>
    <x v="1529"/>
    <x v="6"/>
    <d v="2024-01-01T00:00:00"/>
    <n v="2024"/>
    <s v="Q1"/>
    <n v="1"/>
    <s v="Jan"/>
    <n v="6"/>
    <n v="577.75"/>
    <x v="1529"/>
    <s v="Furniture"/>
    <s v="Online"/>
    <n v="1"/>
    <x v="1657"/>
  </r>
  <r>
    <x v="1530"/>
    <x v="2"/>
    <d v="2024-01-04T00:00:00"/>
    <n v="2024"/>
    <s v="Q1"/>
    <n v="1"/>
    <s v="Jan"/>
    <n v="6"/>
    <n v="307.64999999999998"/>
    <x v="1530"/>
    <s v="Electronics"/>
    <s v="Debit Card"/>
    <n v="3"/>
    <x v="1658"/>
  </r>
  <r>
    <x v="1531"/>
    <x v="1"/>
    <d v="2023-01-26T00:00:00"/>
    <n v="2023"/>
    <s v="Q1"/>
    <n v="1"/>
    <s v="Jan"/>
    <n v="2"/>
    <n v="181.2"/>
    <x v="1531"/>
    <s v="Electronics"/>
    <s v="Online"/>
    <n v="5"/>
    <x v="1659"/>
  </r>
  <r>
    <x v="1532"/>
    <x v="4"/>
    <d v="2024-10-06T00:00:00"/>
    <n v="2024"/>
    <s v="Q4"/>
    <n v="10"/>
    <s v="Oct"/>
    <n v="8"/>
    <n v="172.99"/>
    <x v="1532"/>
    <s v="Furniture"/>
    <s v="Online"/>
    <n v="4"/>
    <x v="1660"/>
  </r>
  <r>
    <x v="1533"/>
    <x v="5"/>
    <d v="2023-03-09T00:00:00"/>
    <n v="2023"/>
    <s v="Q1"/>
    <n v="3"/>
    <s v="Mar"/>
    <n v="1"/>
    <n v="716.32"/>
    <x v="1533"/>
    <s v="Electronics"/>
    <s v="Credit Card"/>
    <n v="4"/>
    <x v="1661"/>
  </r>
  <r>
    <x v="1534"/>
    <x v="4"/>
    <d v="2023-06-12T00:00:00"/>
    <n v="2023"/>
    <s v="Q2"/>
    <n v="6"/>
    <s v="Jun"/>
    <n v="4"/>
    <n v="77.44"/>
    <x v="1534"/>
    <s v="Furniture"/>
    <s v="Debit Card"/>
    <n v="2"/>
    <x v="1662"/>
  </r>
  <r>
    <x v="672"/>
    <x v="5"/>
    <d v="2023-08-09T00:00:00"/>
    <n v="2023"/>
    <s v="Q3"/>
    <n v="8"/>
    <s v="Aug"/>
    <n v="2"/>
    <n v="595.6"/>
    <x v="672"/>
    <s v="Office Supplies"/>
    <s v="Online"/>
    <n v="5"/>
    <x v="1663"/>
  </r>
  <r>
    <x v="1535"/>
    <x v="6"/>
    <d v="2023-08-28T00:00:00"/>
    <n v="2023"/>
    <s v="Q3"/>
    <n v="8"/>
    <s v="Aug"/>
    <n v="4"/>
    <n v="104.51"/>
    <x v="1535"/>
    <s v="Furniture"/>
    <s v="Online"/>
    <n v="4"/>
    <x v="1664"/>
  </r>
  <r>
    <x v="1536"/>
    <x v="2"/>
    <d v="2024-07-23T00:00:00"/>
    <n v="2024"/>
    <s v="Q3"/>
    <n v="7"/>
    <s v="Jul"/>
    <n v="5"/>
    <n v="499.6"/>
    <x v="1536"/>
    <s v="Furniture"/>
    <s v="Gift Card"/>
    <n v="3"/>
    <x v="1665"/>
  </r>
  <r>
    <x v="1537"/>
    <x v="4"/>
    <d v="2023-05-23T00:00:00"/>
    <n v="2023"/>
    <s v="Q2"/>
    <n v="5"/>
    <s v="May"/>
    <n v="4"/>
    <n v="718.49"/>
    <x v="1537"/>
    <s v="Office Supplies"/>
    <s v="Credit Card"/>
    <n v="2"/>
    <x v="1666"/>
  </r>
  <r>
    <x v="1538"/>
    <x v="4"/>
    <d v="2024-12-30T00:00:00"/>
    <n v="2024"/>
    <s v="Q4"/>
    <n v="12"/>
    <s v="Dec"/>
    <n v="7"/>
    <n v="208.38"/>
    <x v="1538"/>
    <s v="Office Supplies"/>
    <s v="Online"/>
    <n v="1"/>
    <x v="1667"/>
  </r>
  <r>
    <x v="1539"/>
    <x v="4"/>
    <d v="2023-04-04T00:00:00"/>
    <n v="2023"/>
    <s v="Q2"/>
    <n v="4"/>
    <s v="Apr"/>
    <n v="5"/>
    <n v="14.67"/>
    <x v="1539"/>
    <s v="Furniture"/>
    <s v="Gift Card"/>
    <n v="3"/>
    <x v="1668"/>
  </r>
  <r>
    <x v="1540"/>
    <x v="2"/>
    <d v="2025-04-08T00:00:00"/>
    <n v="2025"/>
    <s v="Q2"/>
    <n v="4"/>
    <s v="Apr"/>
    <n v="2"/>
    <n v="463.17"/>
    <x v="1540"/>
    <s v="Electronics"/>
    <s v="Online"/>
    <n v="2"/>
    <x v="1669"/>
  </r>
  <r>
    <x v="531"/>
    <x v="2"/>
    <d v="2025-03-15T00:00:00"/>
    <n v="2025"/>
    <s v="Q1"/>
    <n v="3"/>
    <s v="Mar"/>
    <n v="2"/>
    <n v="277.76"/>
    <x v="531"/>
    <s v="Furniture"/>
    <s v="Credit Card"/>
    <n v="5"/>
    <x v="1670"/>
  </r>
  <r>
    <x v="1541"/>
    <x v="5"/>
    <d v="2024-11-12T00:00:00"/>
    <n v="2024"/>
    <s v="Q4"/>
    <n v="11"/>
    <s v="Nov"/>
    <n v="4"/>
    <n v="276.02"/>
    <x v="1541"/>
    <s v="Furniture"/>
    <s v="Debit Card"/>
    <n v="5"/>
    <x v="1671"/>
  </r>
  <r>
    <x v="1542"/>
    <x v="3"/>
    <d v="2023-04-24T00:00:00"/>
    <n v="2023"/>
    <s v="Q2"/>
    <n v="4"/>
    <s v="Apr"/>
    <n v="2"/>
    <n v="279.12"/>
    <x v="1542"/>
    <s v="Furniture"/>
    <s v="Debit Card"/>
    <n v="2"/>
    <x v="1672"/>
  </r>
  <r>
    <x v="1543"/>
    <x v="1"/>
    <d v="2023-05-07T00:00:00"/>
    <n v="2023"/>
    <s v="Q2"/>
    <n v="5"/>
    <s v="May"/>
    <n v="3"/>
    <n v="405.99"/>
    <x v="1543"/>
    <s v="Furniture"/>
    <s v="Gift Card"/>
    <n v="5"/>
    <x v="1673"/>
  </r>
  <r>
    <x v="1544"/>
    <x v="2"/>
    <d v="2023-04-07T00:00:00"/>
    <n v="2023"/>
    <s v="Q2"/>
    <n v="4"/>
    <s v="Apr"/>
    <n v="7"/>
    <n v="137.94"/>
    <x v="1544"/>
    <s v="Office Supplies"/>
    <s v="Gift Card"/>
    <n v="5"/>
    <x v="1389"/>
  </r>
  <r>
    <x v="1545"/>
    <x v="0"/>
    <d v="2023-08-08T00:00:00"/>
    <n v="2023"/>
    <s v="Q3"/>
    <n v="8"/>
    <s v="Aug"/>
    <n v="1"/>
    <n v="690.28"/>
    <x v="1545"/>
    <s v="Electronics"/>
    <s v="Cash"/>
    <n v="4"/>
    <x v="1674"/>
  </r>
  <r>
    <x v="1194"/>
    <x v="5"/>
    <d v="2023-08-28T00:00:00"/>
    <n v="2023"/>
    <s v="Q3"/>
    <n v="8"/>
    <s v="Aug"/>
    <n v="5"/>
    <n v="732.49"/>
    <x v="1194"/>
    <s v="Office Supplies"/>
    <s v="Gift Card"/>
    <n v="2"/>
    <x v="1675"/>
  </r>
  <r>
    <x v="1546"/>
    <x v="1"/>
    <d v="2024-04-09T00:00:00"/>
    <n v="2024"/>
    <s v="Q2"/>
    <n v="4"/>
    <s v="Apr"/>
    <n v="5"/>
    <n v="670.44"/>
    <x v="1546"/>
    <s v="Furniture"/>
    <s v="Credit Card"/>
    <n v="3"/>
    <x v="1676"/>
  </r>
  <r>
    <x v="1547"/>
    <x v="0"/>
    <d v="2025-04-13T00:00:00"/>
    <n v="2025"/>
    <s v="Q2"/>
    <n v="4"/>
    <s v="Apr"/>
    <n v="7"/>
    <n v="699.99"/>
    <x v="1547"/>
    <s v="Furniture"/>
    <s v="Credit Card"/>
    <n v="4"/>
    <x v="1677"/>
  </r>
  <r>
    <x v="1548"/>
    <x v="2"/>
    <d v="2025-06-16T00:00:00"/>
    <n v="2025"/>
    <s v="Q2"/>
    <n v="6"/>
    <s v="Jun"/>
    <n v="2"/>
    <n v="680.09"/>
    <x v="1548"/>
    <s v="Furniture"/>
    <s v="Cash"/>
    <n v="2"/>
    <x v="1678"/>
  </r>
  <r>
    <x v="1549"/>
    <x v="1"/>
    <d v="2023-03-24T00:00:00"/>
    <n v="2023"/>
    <s v="Q1"/>
    <n v="3"/>
    <s v="Mar"/>
    <n v="1"/>
    <n v="509.84"/>
    <x v="1549"/>
    <s v="Electronics"/>
    <s v="Online"/>
    <n v="1"/>
    <x v="1679"/>
  </r>
  <r>
    <x v="1550"/>
    <x v="6"/>
    <d v="2024-08-15T00:00:00"/>
    <n v="2024"/>
    <s v="Q3"/>
    <n v="8"/>
    <s v="Aug"/>
    <n v="2"/>
    <n v="533.20000000000005"/>
    <x v="1550"/>
    <s v="Electronics"/>
    <s v="Cash"/>
    <n v="2"/>
    <x v="1680"/>
  </r>
  <r>
    <x v="191"/>
    <x v="0"/>
    <d v="2024-08-26T00:00:00"/>
    <n v="2024"/>
    <s v="Q3"/>
    <n v="8"/>
    <s v="Aug"/>
    <n v="1"/>
    <n v="660.13"/>
    <x v="191"/>
    <s v="Furniture"/>
    <s v="Gift Card"/>
    <n v="4"/>
    <x v="1681"/>
  </r>
  <r>
    <x v="1551"/>
    <x v="0"/>
    <d v="2023-07-04T00:00:00"/>
    <n v="2023"/>
    <s v="Q3"/>
    <n v="7"/>
    <s v="Jul"/>
    <n v="5"/>
    <n v="416.36"/>
    <x v="1551"/>
    <s v="Furniture"/>
    <s v="Debit Card"/>
    <n v="5"/>
    <x v="1682"/>
  </r>
  <r>
    <x v="374"/>
    <x v="0"/>
    <d v="2025-01-16T00:00:00"/>
    <n v="2025"/>
    <s v="Q1"/>
    <n v="1"/>
    <s v="Jan"/>
    <n v="5"/>
    <n v="29.75"/>
    <x v="374"/>
    <s v="Electronics"/>
    <s v="Cash"/>
    <n v="4"/>
    <x v="1683"/>
  </r>
  <r>
    <x v="1552"/>
    <x v="6"/>
    <d v="2024-12-06T00:00:00"/>
    <n v="2024"/>
    <s v="Q4"/>
    <n v="12"/>
    <s v="Dec"/>
    <n v="2"/>
    <n v="179.16"/>
    <x v="1552"/>
    <s v="Furniture"/>
    <s v="Gift Card"/>
    <n v="3"/>
    <x v="1684"/>
  </r>
  <r>
    <x v="1553"/>
    <x v="2"/>
    <d v="2024-01-26T00:00:00"/>
    <n v="2024"/>
    <s v="Q1"/>
    <n v="1"/>
    <s v="Jan"/>
    <n v="2"/>
    <n v="717.61"/>
    <x v="1553"/>
    <s v="Furniture"/>
    <s v="Debit Card"/>
    <n v="2"/>
    <x v="1685"/>
  </r>
  <r>
    <x v="1554"/>
    <x v="6"/>
    <d v="2024-08-16T00:00:00"/>
    <n v="2024"/>
    <s v="Q3"/>
    <n v="8"/>
    <s v="Aug"/>
    <n v="6"/>
    <n v="360.74"/>
    <x v="1554"/>
    <s v="Office Supplies"/>
    <s v="Online"/>
    <n v="4"/>
    <x v="1686"/>
  </r>
  <r>
    <x v="1555"/>
    <x v="1"/>
    <d v="2023-10-17T00:00:00"/>
    <n v="2023"/>
    <s v="Q4"/>
    <n v="10"/>
    <s v="Oct"/>
    <n v="4"/>
    <n v="234.79"/>
    <x v="1555"/>
    <s v="Office Supplies"/>
    <s v="Cash"/>
    <n v="1"/>
    <x v="1687"/>
  </r>
  <r>
    <x v="1556"/>
    <x v="6"/>
    <d v="2023-06-05T00:00:00"/>
    <n v="2023"/>
    <s v="Q2"/>
    <n v="6"/>
    <s v="Jun"/>
    <n v="4"/>
    <n v="595.29"/>
    <x v="1556"/>
    <s v="Electronics"/>
    <s v="Credit Card"/>
    <n v="4"/>
    <x v="1688"/>
  </r>
  <r>
    <x v="1557"/>
    <x v="2"/>
    <d v="2023-04-02T00:00:00"/>
    <n v="2023"/>
    <s v="Q2"/>
    <n v="4"/>
    <s v="Apr"/>
    <n v="6"/>
    <n v="54.35"/>
    <x v="1557"/>
    <s v="Office Supplies"/>
    <s v="Gift Card"/>
    <n v="3"/>
    <x v="1689"/>
  </r>
  <r>
    <x v="1558"/>
    <x v="6"/>
    <d v="2025-06-28T00:00:00"/>
    <n v="2025"/>
    <s v="Q2"/>
    <n v="6"/>
    <s v="Jun"/>
    <n v="6"/>
    <n v="438.12"/>
    <x v="1558"/>
    <s v="Electronics"/>
    <s v="Online"/>
    <n v="4"/>
    <x v="1690"/>
  </r>
  <r>
    <x v="1559"/>
    <x v="2"/>
    <d v="2023-07-03T00:00:00"/>
    <n v="2023"/>
    <s v="Q3"/>
    <n v="7"/>
    <s v="Jul"/>
    <n v="8"/>
    <n v="298.3"/>
    <x v="1559"/>
    <s v="Office Supplies"/>
    <s v="Debit Card"/>
    <n v="2"/>
    <x v="1691"/>
  </r>
  <r>
    <x v="1560"/>
    <x v="5"/>
    <d v="2024-12-14T00:00:00"/>
    <n v="2024"/>
    <s v="Q4"/>
    <n v="12"/>
    <s v="Dec"/>
    <n v="8"/>
    <n v="407.56"/>
    <x v="1560"/>
    <s v="Electronics"/>
    <s v="Credit Card"/>
    <n v="3"/>
    <x v="1692"/>
  </r>
  <r>
    <x v="1561"/>
    <x v="0"/>
    <d v="2024-03-11T00:00:00"/>
    <n v="2024"/>
    <s v="Q1"/>
    <n v="3"/>
    <s v="Mar"/>
    <n v="4"/>
    <n v="585.67999999999995"/>
    <x v="1561"/>
    <s v="Electronics"/>
    <s v="Gift Card"/>
    <n v="2"/>
    <x v="1693"/>
  </r>
  <r>
    <x v="1562"/>
    <x v="6"/>
    <d v="2024-10-23T00:00:00"/>
    <n v="2024"/>
    <s v="Q4"/>
    <n v="10"/>
    <s v="Oct"/>
    <n v="3"/>
    <n v="503.12"/>
    <x v="1562"/>
    <s v="Furniture"/>
    <s v="Credit Card"/>
    <n v="3"/>
    <x v="1694"/>
  </r>
  <r>
    <x v="1563"/>
    <x v="2"/>
    <d v="2024-05-08T00:00:00"/>
    <n v="2024"/>
    <s v="Q2"/>
    <n v="5"/>
    <s v="May"/>
    <n v="4"/>
    <n v="69.17"/>
    <x v="1563"/>
    <s v="Furniture"/>
    <s v="Online"/>
    <n v="4"/>
    <x v="1695"/>
  </r>
  <r>
    <x v="1564"/>
    <x v="4"/>
    <d v="2024-09-29T00:00:00"/>
    <n v="2024"/>
    <s v="Q3"/>
    <n v="9"/>
    <s v="Sep"/>
    <n v="8"/>
    <n v="588.84"/>
    <x v="1564"/>
    <s v="Furniture"/>
    <s v="Credit Card"/>
    <n v="3"/>
    <x v="1696"/>
  </r>
  <r>
    <x v="1565"/>
    <x v="6"/>
    <d v="2023-01-16T00:00:00"/>
    <n v="2023"/>
    <s v="Q1"/>
    <n v="1"/>
    <s v="Jan"/>
    <n v="8"/>
    <n v="343.72"/>
    <x v="1565"/>
    <s v="Electronics"/>
    <s v="Gift Card"/>
    <n v="5"/>
    <x v="1697"/>
  </r>
  <r>
    <x v="1566"/>
    <x v="5"/>
    <d v="2023-11-06T00:00:00"/>
    <n v="2023"/>
    <s v="Q4"/>
    <n v="11"/>
    <s v="Nov"/>
    <n v="8"/>
    <n v="619.45000000000005"/>
    <x v="1566"/>
    <s v="Furniture"/>
    <s v="Credit Card"/>
    <n v="4"/>
    <x v="1698"/>
  </r>
  <r>
    <x v="1567"/>
    <x v="5"/>
    <d v="2024-07-26T00:00:00"/>
    <n v="2024"/>
    <s v="Q3"/>
    <n v="7"/>
    <s v="Jul"/>
    <n v="6"/>
    <n v="244.4"/>
    <x v="1567"/>
    <s v="Electronics"/>
    <s v="Debit Card"/>
    <n v="2"/>
    <x v="1699"/>
  </r>
  <r>
    <x v="1568"/>
    <x v="5"/>
    <d v="2023-10-01T00:00:00"/>
    <n v="2023"/>
    <s v="Q4"/>
    <n v="10"/>
    <s v="Oct"/>
    <n v="6"/>
    <n v="229.64"/>
    <x v="1568"/>
    <s v="Furniture"/>
    <s v="Cash"/>
    <n v="3"/>
    <x v="1700"/>
  </r>
  <r>
    <x v="1569"/>
    <x v="5"/>
    <d v="2024-09-26T00:00:00"/>
    <n v="2024"/>
    <s v="Q3"/>
    <n v="9"/>
    <s v="Sep"/>
    <n v="4"/>
    <n v="733.97"/>
    <x v="1569"/>
    <s v="Office Supplies"/>
    <s v="Cash"/>
    <n v="5"/>
    <x v="1701"/>
  </r>
  <r>
    <x v="1570"/>
    <x v="6"/>
    <d v="2024-07-12T00:00:00"/>
    <n v="2024"/>
    <s v="Q3"/>
    <n v="7"/>
    <s v="Jul"/>
    <n v="3"/>
    <n v="539.65"/>
    <x v="1570"/>
    <s v="Furniture"/>
    <s v="Online"/>
    <n v="2"/>
    <x v="1702"/>
  </r>
  <r>
    <x v="1571"/>
    <x v="3"/>
    <d v="2023-02-24T00:00:00"/>
    <n v="2023"/>
    <s v="Q1"/>
    <n v="2"/>
    <s v="Feb"/>
    <n v="5"/>
    <n v="112"/>
    <x v="1571"/>
    <s v="Office Supplies"/>
    <s v="Debit Card"/>
    <n v="1"/>
    <x v="1703"/>
  </r>
  <r>
    <x v="1572"/>
    <x v="6"/>
    <d v="2023-01-21T00:00:00"/>
    <n v="2023"/>
    <s v="Q1"/>
    <n v="1"/>
    <s v="Jan"/>
    <n v="8"/>
    <n v="564.16"/>
    <x v="1572"/>
    <s v="Furniture"/>
    <s v="Online"/>
    <n v="1"/>
    <x v="1704"/>
  </r>
  <r>
    <x v="1573"/>
    <x v="1"/>
    <d v="2024-02-15T00:00:00"/>
    <n v="2024"/>
    <s v="Q1"/>
    <n v="2"/>
    <s v="Feb"/>
    <n v="1"/>
    <n v="387.28"/>
    <x v="1573"/>
    <s v="Electronics"/>
    <s v="Gift Card"/>
    <n v="5"/>
    <x v="1705"/>
  </r>
  <r>
    <x v="1574"/>
    <x v="1"/>
    <d v="2024-05-04T00:00:00"/>
    <n v="2024"/>
    <s v="Q2"/>
    <n v="5"/>
    <s v="May"/>
    <n v="3"/>
    <n v="503.73"/>
    <x v="1574"/>
    <s v="Furniture"/>
    <s v="Debit Card"/>
    <n v="2"/>
    <x v="1706"/>
  </r>
  <r>
    <x v="1575"/>
    <x v="6"/>
    <d v="2023-03-12T00:00:00"/>
    <n v="2023"/>
    <s v="Q1"/>
    <n v="3"/>
    <s v="Mar"/>
    <n v="6"/>
    <n v="100.99"/>
    <x v="1575"/>
    <s v="Office Supplies"/>
    <s v="Gift Card"/>
    <n v="5"/>
    <x v="1707"/>
  </r>
  <r>
    <x v="1576"/>
    <x v="4"/>
    <d v="2024-09-04T00:00:00"/>
    <n v="2024"/>
    <s v="Q3"/>
    <n v="9"/>
    <s v="Sep"/>
    <n v="1"/>
    <n v="308.02"/>
    <x v="1576"/>
    <s v="Office Supplies"/>
    <s v="Credit Card"/>
    <n v="1"/>
    <x v="1708"/>
  </r>
  <r>
    <x v="1577"/>
    <x v="4"/>
    <d v="2023-11-30T00:00:00"/>
    <n v="2023"/>
    <s v="Q4"/>
    <n v="11"/>
    <s v="Nov"/>
    <n v="8"/>
    <n v="82.29"/>
    <x v="1577"/>
    <s v="Electronics"/>
    <s v="Credit Card"/>
    <n v="4"/>
    <x v="1709"/>
  </r>
  <r>
    <x v="1578"/>
    <x v="5"/>
    <d v="2023-11-13T00:00:00"/>
    <n v="2023"/>
    <s v="Q4"/>
    <n v="11"/>
    <s v="Nov"/>
    <n v="6"/>
    <n v="67.400000000000006"/>
    <x v="1578"/>
    <s v="Furniture"/>
    <s v="Cash"/>
    <n v="3"/>
    <x v="1710"/>
  </r>
  <r>
    <x v="1579"/>
    <x v="2"/>
    <d v="2024-08-17T00:00:00"/>
    <n v="2024"/>
    <s v="Q3"/>
    <n v="8"/>
    <s v="Aug"/>
    <n v="6"/>
    <n v="223.32"/>
    <x v="1579"/>
    <s v="Office Supplies"/>
    <s v="Cash"/>
    <n v="2"/>
    <x v="1711"/>
  </r>
  <r>
    <x v="1580"/>
    <x v="1"/>
    <d v="2023-12-10T00:00:00"/>
    <n v="2023"/>
    <s v="Q4"/>
    <n v="12"/>
    <s v="Dec"/>
    <n v="3"/>
    <n v="227.94"/>
    <x v="1580"/>
    <s v="Furniture"/>
    <s v="Online"/>
    <n v="5"/>
    <x v="1712"/>
  </r>
  <r>
    <x v="892"/>
    <x v="1"/>
    <d v="2023-01-08T00:00:00"/>
    <n v="2023"/>
    <s v="Q1"/>
    <n v="1"/>
    <s v="Jan"/>
    <n v="1"/>
    <n v="776.47"/>
    <x v="892"/>
    <s v="Electronics"/>
    <s v="Debit Card"/>
    <n v="3"/>
    <x v="1713"/>
  </r>
  <r>
    <x v="758"/>
    <x v="4"/>
    <d v="2023-03-12T00:00:00"/>
    <n v="2023"/>
    <s v="Q1"/>
    <n v="3"/>
    <s v="Mar"/>
    <n v="7"/>
    <n v="197.08"/>
    <x v="758"/>
    <s v="Furniture"/>
    <s v="Cash"/>
    <n v="4"/>
    <x v="1714"/>
  </r>
  <r>
    <x v="1581"/>
    <x v="2"/>
    <d v="2024-10-26T00:00:00"/>
    <n v="2024"/>
    <s v="Q4"/>
    <n v="10"/>
    <s v="Oct"/>
    <n v="1"/>
    <n v="55.74"/>
    <x v="1581"/>
    <s v="Office Supplies"/>
    <s v="Debit Card"/>
    <n v="1"/>
    <x v="1715"/>
  </r>
  <r>
    <x v="1582"/>
    <x v="1"/>
    <d v="2023-09-02T00:00:00"/>
    <n v="2023"/>
    <s v="Q3"/>
    <n v="9"/>
    <s v="Sep"/>
    <n v="8"/>
    <n v="663.83"/>
    <x v="1582"/>
    <s v="Office Supplies"/>
    <s v="Gift Card"/>
    <n v="1"/>
    <x v="1716"/>
  </r>
  <r>
    <x v="1053"/>
    <x v="3"/>
    <d v="2024-07-14T00:00:00"/>
    <n v="2024"/>
    <s v="Q3"/>
    <n v="7"/>
    <s v="Jul"/>
    <n v="8"/>
    <n v="521.44000000000005"/>
    <x v="1053"/>
    <s v="Furniture"/>
    <s v="Online"/>
    <n v="5"/>
    <x v="1717"/>
  </r>
  <r>
    <x v="1583"/>
    <x v="4"/>
    <d v="2023-07-05T00:00:00"/>
    <n v="2023"/>
    <s v="Q3"/>
    <n v="7"/>
    <s v="Jul"/>
    <n v="4"/>
    <n v="561.38"/>
    <x v="1583"/>
    <s v="Electronics"/>
    <s v="Debit Card"/>
    <n v="1"/>
    <x v="1718"/>
  </r>
  <r>
    <x v="1584"/>
    <x v="5"/>
    <d v="2025-01-25T00:00:00"/>
    <n v="2025"/>
    <s v="Q1"/>
    <n v="1"/>
    <s v="Jan"/>
    <n v="3"/>
    <n v="624.15"/>
    <x v="1584"/>
    <s v="Furniture"/>
    <s v="Gift Card"/>
    <n v="1"/>
    <x v="1719"/>
  </r>
  <r>
    <x v="918"/>
    <x v="4"/>
    <d v="2025-06-29T00:00:00"/>
    <n v="2025"/>
    <s v="Q2"/>
    <n v="6"/>
    <s v="Jun"/>
    <n v="7"/>
    <n v="513.51"/>
    <x v="918"/>
    <s v="Office Supplies"/>
    <s v="Gift Card"/>
    <n v="1"/>
    <x v="1720"/>
  </r>
  <r>
    <x v="1585"/>
    <x v="0"/>
    <d v="2024-10-08T00:00:00"/>
    <n v="2024"/>
    <s v="Q4"/>
    <n v="10"/>
    <s v="Oct"/>
    <n v="3"/>
    <n v="77.41"/>
    <x v="1585"/>
    <s v="Office Supplies"/>
    <s v="Cash"/>
    <n v="1"/>
    <x v="1721"/>
  </r>
  <r>
    <x v="1586"/>
    <x v="3"/>
    <d v="2025-04-08T00:00:00"/>
    <n v="2025"/>
    <s v="Q2"/>
    <n v="4"/>
    <s v="Apr"/>
    <n v="3"/>
    <n v="754.2"/>
    <x v="1586"/>
    <s v="Office Supplies"/>
    <s v="Credit Card"/>
    <n v="3"/>
    <x v="1722"/>
  </r>
  <r>
    <x v="1002"/>
    <x v="6"/>
    <d v="2024-07-22T00:00:00"/>
    <n v="2024"/>
    <s v="Q3"/>
    <n v="7"/>
    <s v="Jul"/>
    <n v="2"/>
    <n v="144.86000000000001"/>
    <x v="1002"/>
    <s v="Office Supplies"/>
    <s v="Credit Card"/>
    <n v="4"/>
    <x v="1723"/>
  </r>
  <r>
    <x v="88"/>
    <x v="2"/>
    <d v="2023-04-20T00:00:00"/>
    <n v="2023"/>
    <s v="Q2"/>
    <n v="4"/>
    <s v="Apr"/>
    <n v="4"/>
    <n v="576.35"/>
    <x v="88"/>
    <s v="Office Supplies"/>
    <s v="Online"/>
    <n v="5"/>
    <x v="1724"/>
  </r>
  <r>
    <x v="635"/>
    <x v="2"/>
    <d v="2024-02-23T00:00:00"/>
    <n v="2024"/>
    <s v="Q1"/>
    <n v="2"/>
    <s v="Feb"/>
    <n v="3"/>
    <n v="651.11"/>
    <x v="635"/>
    <s v="Furniture"/>
    <s v="Online"/>
    <n v="2"/>
    <x v="1725"/>
  </r>
  <r>
    <x v="1587"/>
    <x v="1"/>
    <d v="2023-07-17T00:00:00"/>
    <n v="2023"/>
    <s v="Q3"/>
    <n v="7"/>
    <s v="Jul"/>
    <n v="8"/>
    <n v="7.01"/>
    <x v="1587"/>
    <s v="Office Supplies"/>
    <s v="Gift Card"/>
    <n v="1"/>
    <x v="1726"/>
  </r>
  <r>
    <x v="1588"/>
    <x v="5"/>
    <d v="2025-06-18T00:00:00"/>
    <n v="2025"/>
    <s v="Q2"/>
    <n v="6"/>
    <s v="Jun"/>
    <n v="8"/>
    <n v="144.27000000000001"/>
    <x v="1588"/>
    <s v="Furniture"/>
    <s v="Online"/>
    <n v="1"/>
    <x v="1727"/>
  </r>
  <r>
    <x v="1589"/>
    <x v="4"/>
    <d v="2024-04-21T00:00:00"/>
    <n v="2024"/>
    <s v="Q2"/>
    <n v="4"/>
    <s v="Apr"/>
    <n v="7"/>
    <n v="734.16"/>
    <x v="1589"/>
    <s v="Office Supplies"/>
    <s v="Debit Card"/>
    <n v="1"/>
    <x v="1728"/>
  </r>
  <r>
    <x v="1590"/>
    <x v="5"/>
    <d v="2025-06-09T00:00:00"/>
    <n v="2025"/>
    <s v="Q2"/>
    <n v="6"/>
    <s v="Jun"/>
    <n v="8"/>
    <n v="253.18"/>
    <x v="1590"/>
    <s v="Electronics"/>
    <s v="Debit Card"/>
    <n v="4"/>
    <x v="1729"/>
  </r>
  <r>
    <x v="1591"/>
    <x v="3"/>
    <d v="2024-11-08T00:00:00"/>
    <n v="2024"/>
    <s v="Q4"/>
    <n v="11"/>
    <s v="Nov"/>
    <n v="8"/>
    <n v="798.64"/>
    <x v="1591"/>
    <s v="Furniture"/>
    <s v="Online"/>
    <n v="2"/>
    <x v="1730"/>
  </r>
  <r>
    <x v="1592"/>
    <x v="3"/>
    <d v="2024-11-14T00:00:00"/>
    <n v="2024"/>
    <s v="Q4"/>
    <n v="11"/>
    <s v="Nov"/>
    <n v="2"/>
    <n v="506.84"/>
    <x v="1592"/>
    <s v="Electronics"/>
    <s v="Credit Card"/>
    <n v="2"/>
    <x v="1731"/>
  </r>
  <r>
    <x v="1593"/>
    <x v="2"/>
    <d v="2023-07-19T00:00:00"/>
    <n v="2023"/>
    <s v="Q3"/>
    <n v="7"/>
    <s v="Jul"/>
    <n v="6"/>
    <n v="227.14"/>
    <x v="1593"/>
    <s v="Office Supplies"/>
    <s v="Credit Card"/>
    <n v="1"/>
    <x v="1732"/>
  </r>
  <r>
    <x v="1594"/>
    <x v="0"/>
    <d v="2025-06-20T00:00:00"/>
    <n v="2025"/>
    <s v="Q2"/>
    <n v="6"/>
    <s v="Jun"/>
    <n v="5"/>
    <n v="773.23"/>
    <x v="1594"/>
    <s v="Furniture"/>
    <s v="Online"/>
    <n v="3"/>
    <x v="1733"/>
  </r>
  <r>
    <x v="1595"/>
    <x v="1"/>
    <d v="2023-09-18T00:00:00"/>
    <n v="2023"/>
    <s v="Q3"/>
    <n v="9"/>
    <s v="Sep"/>
    <n v="3"/>
    <n v="388.05"/>
    <x v="1595"/>
    <s v="Furniture"/>
    <s v="Online"/>
    <n v="2"/>
    <x v="1734"/>
  </r>
  <r>
    <x v="1596"/>
    <x v="1"/>
    <d v="2024-10-11T00:00:00"/>
    <n v="2024"/>
    <s v="Q4"/>
    <n v="10"/>
    <s v="Oct"/>
    <n v="6"/>
    <n v="298.48"/>
    <x v="1596"/>
    <s v="Office Supplies"/>
    <s v="Online"/>
    <n v="2"/>
    <x v="1735"/>
  </r>
  <r>
    <x v="1465"/>
    <x v="5"/>
    <d v="2024-02-04T00:00:00"/>
    <n v="2024"/>
    <s v="Q1"/>
    <n v="2"/>
    <s v="Feb"/>
    <n v="3"/>
    <n v="365.21"/>
    <x v="1465"/>
    <s v="Furniture"/>
    <s v="Online"/>
    <n v="2"/>
    <x v="1736"/>
  </r>
  <r>
    <x v="1597"/>
    <x v="6"/>
    <d v="2023-08-05T00:00:00"/>
    <n v="2023"/>
    <s v="Q3"/>
    <n v="8"/>
    <s v="Aug"/>
    <n v="3"/>
    <n v="137.72999999999999"/>
    <x v="1597"/>
    <s v="Furniture"/>
    <s v="Credit Card"/>
    <n v="1"/>
    <x v="1737"/>
  </r>
  <r>
    <x v="1598"/>
    <x v="1"/>
    <d v="2023-11-07T00:00:00"/>
    <n v="2023"/>
    <s v="Q4"/>
    <n v="11"/>
    <s v="Nov"/>
    <n v="2"/>
    <n v="224.29"/>
    <x v="1598"/>
    <s v="Furniture"/>
    <s v="Gift Card"/>
    <n v="1"/>
    <x v="1738"/>
  </r>
  <r>
    <x v="1599"/>
    <x v="4"/>
    <d v="2024-07-02T00:00:00"/>
    <n v="2024"/>
    <s v="Q3"/>
    <n v="7"/>
    <s v="Jul"/>
    <n v="2"/>
    <n v="77.790000000000006"/>
    <x v="1599"/>
    <s v="Electronics"/>
    <s v="Credit Card"/>
    <n v="2"/>
    <x v="1739"/>
  </r>
  <r>
    <x v="1600"/>
    <x v="3"/>
    <d v="2023-07-05T00:00:00"/>
    <n v="2023"/>
    <s v="Q3"/>
    <n v="7"/>
    <s v="Jul"/>
    <n v="3"/>
    <n v="611.67999999999995"/>
    <x v="1600"/>
    <s v="Furniture"/>
    <s v="Credit Card"/>
    <n v="3"/>
    <x v="1740"/>
  </r>
  <r>
    <x v="1601"/>
    <x v="2"/>
    <d v="2025-04-24T00:00:00"/>
    <n v="2025"/>
    <s v="Q2"/>
    <n v="4"/>
    <s v="Apr"/>
    <n v="2"/>
    <n v="209.06"/>
    <x v="1601"/>
    <s v="Electronics"/>
    <s v="Gift Card"/>
    <n v="1"/>
    <x v="1741"/>
  </r>
  <r>
    <x v="1602"/>
    <x v="6"/>
    <d v="2023-11-23T00:00:00"/>
    <n v="2023"/>
    <s v="Q4"/>
    <n v="11"/>
    <s v="Nov"/>
    <n v="4"/>
    <n v="537.88"/>
    <x v="1602"/>
    <s v="Electronics"/>
    <s v="Credit Card"/>
    <n v="2"/>
    <x v="1742"/>
  </r>
  <r>
    <x v="369"/>
    <x v="3"/>
    <d v="2023-08-22T00:00:00"/>
    <n v="2023"/>
    <s v="Q3"/>
    <n v="8"/>
    <s v="Aug"/>
    <n v="7"/>
    <n v="230.59"/>
    <x v="369"/>
    <s v="Furniture"/>
    <s v="Cash"/>
    <n v="1"/>
    <x v="1743"/>
  </r>
  <r>
    <x v="1603"/>
    <x v="4"/>
    <d v="2024-03-22T00:00:00"/>
    <n v="2024"/>
    <s v="Q1"/>
    <n v="3"/>
    <s v="Mar"/>
    <n v="5"/>
    <n v="54.45"/>
    <x v="1603"/>
    <s v="Electronics"/>
    <s v="Debit Card"/>
    <n v="4"/>
    <x v="1744"/>
  </r>
  <r>
    <x v="1604"/>
    <x v="6"/>
    <d v="2025-05-06T00:00:00"/>
    <n v="2025"/>
    <s v="Q2"/>
    <n v="5"/>
    <s v="May"/>
    <n v="2"/>
    <n v="56.11"/>
    <x v="1604"/>
    <s v="Electronics"/>
    <s v="Credit Card"/>
    <n v="5"/>
    <x v="1745"/>
  </r>
  <r>
    <x v="1605"/>
    <x v="6"/>
    <d v="2024-08-08T00:00:00"/>
    <n v="2024"/>
    <s v="Q3"/>
    <n v="8"/>
    <s v="Aug"/>
    <n v="2"/>
    <n v="320.49"/>
    <x v="1605"/>
    <s v="Office Supplies"/>
    <s v="Cash"/>
    <n v="3"/>
    <x v="1746"/>
  </r>
  <r>
    <x v="1606"/>
    <x v="4"/>
    <d v="2023-12-24T00:00:00"/>
    <n v="2023"/>
    <s v="Q4"/>
    <n v="12"/>
    <s v="Dec"/>
    <n v="4"/>
    <n v="386.07"/>
    <x v="1606"/>
    <s v="Furniture"/>
    <s v="Cash"/>
    <n v="2"/>
    <x v="1747"/>
  </r>
  <r>
    <x v="1607"/>
    <x v="1"/>
    <d v="2024-07-16T00:00:00"/>
    <n v="2024"/>
    <s v="Q3"/>
    <n v="7"/>
    <s v="Jul"/>
    <n v="3"/>
    <n v="279.64999999999998"/>
    <x v="1607"/>
    <s v="Office Supplies"/>
    <s v="Online"/>
    <n v="1"/>
    <x v="1748"/>
  </r>
  <r>
    <x v="1608"/>
    <x v="4"/>
    <d v="2023-11-27T00:00:00"/>
    <n v="2023"/>
    <s v="Q4"/>
    <n v="11"/>
    <s v="Nov"/>
    <n v="4"/>
    <n v="53.37"/>
    <x v="1608"/>
    <s v="Electronics"/>
    <s v="Gift Card"/>
    <n v="4"/>
    <x v="1749"/>
  </r>
  <r>
    <x v="1609"/>
    <x v="1"/>
    <d v="2025-06-20T00:00:00"/>
    <n v="2025"/>
    <s v="Q2"/>
    <n v="6"/>
    <s v="Jun"/>
    <n v="8"/>
    <n v="23.14"/>
    <x v="1609"/>
    <s v="Office Supplies"/>
    <s v="Gift Card"/>
    <n v="2"/>
    <x v="1750"/>
  </r>
  <r>
    <x v="1610"/>
    <x v="0"/>
    <d v="2023-05-10T00:00:00"/>
    <n v="2023"/>
    <s v="Q2"/>
    <n v="5"/>
    <s v="May"/>
    <n v="5"/>
    <n v="86.63"/>
    <x v="1610"/>
    <s v="Furniture"/>
    <s v="Debit Card"/>
    <n v="1"/>
    <x v="1751"/>
  </r>
  <r>
    <x v="1537"/>
    <x v="2"/>
    <d v="2024-09-07T00:00:00"/>
    <n v="2024"/>
    <s v="Q3"/>
    <n v="9"/>
    <s v="Sep"/>
    <n v="8"/>
    <n v="564.54999999999995"/>
    <x v="1537"/>
    <s v="Office Supplies"/>
    <s v="Credit Card"/>
    <n v="2"/>
    <x v="1752"/>
  </r>
  <r>
    <x v="923"/>
    <x v="3"/>
    <d v="2024-04-01T00:00:00"/>
    <n v="2024"/>
    <s v="Q2"/>
    <n v="4"/>
    <s v="Apr"/>
    <n v="5"/>
    <n v="321.10000000000002"/>
    <x v="923"/>
    <s v="Furniture"/>
    <s v="Credit Card"/>
    <n v="2"/>
    <x v="1753"/>
  </r>
  <r>
    <x v="1611"/>
    <x v="3"/>
    <d v="2023-02-15T00:00:00"/>
    <n v="2023"/>
    <s v="Q1"/>
    <n v="2"/>
    <s v="Feb"/>
    <n v="8"/>
    <n v="219.37"/>
    <x v="1611"/>
    <s v="Electronics"/>
    <s v="Gift Card"/>
    <n v="1"/>
    <x v="1754"/>
  </r>
  <r>
    <x v="1612"/>
    <x v="5"/>
    <d v="2025-02-20T00:00:00"/>
    <n v="2025"/>
    <s v="Q1"/>
    <n v="2"/>
    <s v="Feb"/>
    <n v="8"/>
    <n v="670.57"/>
    <x v="1612"/>
    <s v="Electronics"/>
    <s v="Credit Card"/>
    <n v="5"/>
    <x v="1755"/>
  </r>
  <r>
    <x v="1613"/>
    <x v="5"/>
    <d v="2023-07-08T00:00:00"/>
    <n v="2023"/>
    <s v="Q3"/>
    <n v="7"/>
    <s v="Jul"/>
    <n v="1"/>
    <n v="295.56"/>
    <x v="1613"/>
    <s v="Furniture"/>
    <s v="Online"/>
    <n v="2"/>
    <x v="1756"/>
  </r>
  <r>
    <x v="1614"/>
    <x v="6"/>
    <d v="2023-02-10T00:00:00"/>
    <n v="2023"/>
    <s v="Q1"/>
    <n v="2"/>
    <s v="Feb"/>
    <n v="1"/>
    <n v="719.55"/>
    <x v="1614"/>
    <s v="Electronics"/>
    <s v="Cash"/>
    <n v="3"/>
    <x v="1757"/>
  </r>
  <r>
    <x v="1615"/>
    <x v="4"/>
    <d v="2024-07-17T00:00:00"/>
    <n v="2024"/>
    <s v="Q3"/>
    <n v="7"/>
    <s v="Jul"/>
    <n v="5"/>
    <n v="736.19"/>
    <x v="1615"/>
    <s v="Furniture"/>
    <s v="Online"/>
    <n v="3"/>
    <x v="1758"/>
  </r>
  <r>
    <x v="957"/>
    <x v="0"/>
    <d v="2023-05-18T00:00:00"/>
    <n v="2023"/>
    <s v="Q2"/>
    <n v="5"/>
    <s v="May"/>
    <n v="6"/>
    <n v="520.86"/>
    <x v="957"/>
    <s v="Furniture"/>
    <s v="Online"/>
    <n v="1"/>
    <x v="1759"/>
  </r>
  <r>
    <x v="1616"/>
    <x v="2"/>
    <d v="2024-04-12T00:00:00"/>
    <n v="2024"/>
    <s v="Q2"/>
    <n v="4"/>
    <s v="Apr"/>
    <n v="6"/>
    <n v="234.97"/>
    <x v="1616"/>
    <s v="Office Supplies"/>
    <s v="Cash"/>
    <n v="3"/>
    <x v="1760"/>
  </r>
  <r>
    <x v="1617"/>
    <x v="5"/>
    <d v="2024-10-26T00:00:00"/>
    <n v="2024"/>
    <s v="Q4"/>
    <n v="10"/>
    <s v="Oct"/>
    <n v="3"/>
    <n v="554.78"/>
    <x v="1617"/>
    <s v="Electronics"/>
    <s v="Online"/>
    <n v="1"/>
    <x v="1761"/>
  </r>
  <r>
    <x v="1487"/>
    <x v="1"/>
    <d v="2023-11-04T00:00:00"/>
    <n v="2023"/>
    <s v="Q4"/>
    <n v="11"/>
    <s v="Nov"/>
    <n v="5"/>
    <n v="145.88999999999999"/>
    <x v="1487"/>
    <s v="Electronics"/>
    <s v="Debit Card"/>
    <n v="5"/>
    <x v="1762"/>
  </r>
  <r>
    <x v="180"/>
    <x v="4"/>
    <d v="2024-12-07T00:00:00"/>
    <n v="2024"/>
    <s v="Q4"/>
    <n v="12"/>
    <s v="Dec"/>
    <n v="4"/>
    <n v="82.16"/>
    <x v="180"/>
    <s v="Furniture"/>
    <s v="Debit Card"/>
    <n v="4"/>
    <x v="1763"/>
  </r>
  <r>
    <x v="1618"/>
    <x v="5"/>
    <d v="2024-08-20T00:00:00"/>
    <n v="2024"/>
    <s v="Q3"/>
    <n v="8"/>
    <s v="Aug"/>
    <n v="1"/>
    <n v="297.06"/>
    <x v="1618"/>
    <s v="Office Supplies"/>
    <s v="Online"/>
    <n v="2"/>
    <x v="1764"/>
  </r>
  <r>
    <x v="1619"/>
    <x v="6"/>
    <d v="2023-07-26T00:00:00"/>
    <n v="2023"/>
    <s v="Q3"/>
    <n v="7"/>
    <s v="Jul"/>
    <n v="6"/>
    <n v="493.21"/>
    <x v="1619"/>
    <s v="Office Supplies"/>
    <s v="Cash"/>
    <n v="5"/>
    <x v="1765"/>
  </r>
  <r>
    <x v="1620"/>
    <x v="4"/>
    <d v="2023-09-14T00:00:00"/>
    <n v="2023"/>
    <s v="Q3"/>
    <n v="9"/>
    <s v="Sep"/>
    <n v="1"/>
    <n v="317.56"/>
    <x v="1620"/>
    <s v="Furniture"/>
    <s v="Debit Card"/>
    <n v="5"/>
    <x v="1766"/>
  </r>
  <r>
    <x v="1621"/>
    <x v="3"/>
    <d v="2024-04-07T00:00:00"/>
    <n v="2024"/>
    <s v="Q2"/>
    <n v="4"/>
    <s v="Apr"/>
    <n v="8"/>
    <n v="588.39"/>
    <x v="1621"/>
    <s v="Office Supplies"/>
    <s v="Gift Card"/>
    <n v="2"/>
    <x v="1767"/>
  </r>
  <r>
    <x v="348"/>
    <x v="4"/>
    <d v="2024-04-28T00:00:00"/>
    <n v="2024"/>
    <s v="Q2"/>
    <n v="4"/>
    <s v="Apr"/>
    <n v="6"/>
    <n v="767.89"/>
    <x v="348"/>
    <s v="Office Supplies"/>
    <s v="Cash"/>
    <n v="3"/>
    <x v="1768"/>
  </r>
  <r>
    <x v="1622"/>
    <x v="1"/>
    <d v="2024-08-19T00:00:00"/>
    <n v="2024"/>
    <s v="Q3"/>
    <n v="8"/>
    <s v="Aug"/>
    <n v="8"/>
    <n v="531.66"/>
    <x v="1622"/>
    <s v="Furniture"/>
    <s v="Online"/>
    <n v="3"/>
    <x v="1769"/>
  </r>
  <r>
    <x v="1623"/>
    <x v="4"/>
    <d v="2023-12-09T00:00:00"/>
    <n v="2023"/>
    <s v="Q4"/>
    <n v="12"/>
    <s v="Dec"/>
    <n v="5"/>
    <n v="127.17"/>
    <x v="1623"/>
    <s v="Electronics"/>
    <s v="Credit Card"/>
    <n v="5"/>
    <x v="1770"/>
  </r>
  <r>
    <x v="1624"/>
    <x v="1"/>
    <d v="2023-11-17T00:00:00"/>
    <n v="2023"/>
    <s v="Q4"/>
    <n v="11"/>
    <s v="Nov"/>
    <n v="8"/>
    <n v="52.24"/>
    <x v="1624"/>
    <s v="Office Supplies"/>
    <s v="Debit Card"/>
    <n v="2"/>
    <x v="1771"/>
  </r>
  <r>
    <x v="1625"/>
    <x v="3"/>
    <d v="2023-04-22T00:00:00"/>
    <n v="2023"/>
    <s v="Q2"/>
    <n v="4"/>
    <s v="Apr"/>
    <n v="7"/>
    <n v="127.4"/>
    <x v="1625"/>
    <s v="Office Supplies"/>
    <s v="Online"/>
    <n v="3"/>
    <x v="1772"/>
  </r>
  <r>
    <x v="1626"/>
    <x v="5"/>
    <d v="2025-02-13T00:00:00"/>
    <n v="2025"/>
    <s v="Q1"/>
    <n v="2"/>
    <s v="Feb"/>
    <n v="1"/>
    <n v="117.5"/>
    <x v="1626"/>
    <s v="Office Supplies"/>
    <s v="Debit Card"/>
    <n v="5"/>
    <x v="1773"/>
  </r>
  <r>
    <x v="1627"/>
    <x v="0"/>
    <d v="2024-06-10T00:00:00"/>
    <n v="2024"/>
    <s v="Q2"/>
    <n v="6"/>
    <s v="Jun"/>
    <n v="7"/>
    <n v="25.92"/>
    <x v="1627"/>
    <s v="Furniture"/>
    <s v="Debit Card"/>
    <n v="3"/>
    <x v="1774"/>
  </r>
  <r>
    <x v="1628"/>
    <x v="0"/>
    <d v="2024-10-21T00:00:00"/>
    <n v="2024"/>
    <s v="Q4"/>
    <n v="10"/>
    <s v="Oct"/>
    <n v="3"/>
    <n v="731.78"/>
    <x v="1628"/>
    <s v="Electronics"/>
    <s v="Credit Card"/>
    <n v="1"/>
    <x v="1775"/>
  </r>
  <r>
    <x v="1629"/>
    <x v="4"/>
    <d v="2024-04-25T00:00:00"/>
    <n v="2024"/>
    <s v="Q2"/>
    <n v="4"/>
    <s v="Apr"/>
    <n v="7"/>
    <n v="676.7"/>
    <x v="1629"/>
    <s v="Office Supplies"/>
    <s v="Online"/>
    <n v="2"/>
    <x v="1776"/>
  </r>
  <r>
    <x v="1630"/>
    <x v="6"/>
    <d v="2024-10-12T00:00:00"/>
    <n v="2024"/>
    <s v="Q4"/>
    <n v="10"/>
    <s v="Oct"/>
    <n v="6"/>
    <n v="437.5"/>
    <x v="1630"/>
    <s v="Electronics"/>
    <s v="Cash"/>
    <n v="2"/>
    <x v="1650"/>
  </r>
  <r>
    <x v="1631"/>
    <x v="2"/>
    <d v="2023-12-02T00:00:00"/>
    <n v="2023"/>
    <s v="Q4"/>
    <n v="12"/>
    <s v="Dec"/>
    <n v="1"/>
    <n v="72.650000000000006"/>
    <x v="1631"/>
    <s v="Electronics"/>
    <s v="Cash"/>
    <n v="2"/>
    <x v="1777"/>
  </r>
  <r>
    <x v="1632"/>
    <x v="6"/>
    <d v="2023-11-20T00:00:00"/>
    <n v="2023"/>
    <s v="Q4"/>
    <n v="11"/>
    <s v="Nov"/>
    <n v="7"/>
    <n v="10.71"/>
    <x v="1632"/>
    <s v="Furniture"/>
    <s v="Credit Card"/>
    <n v="2"/>
    <x v="1778"/>
  </r>
  <r>
    <x v="1358"/>
    <x v="5"/>
    <d v="2024-09-01T00:00:00"/>
    <n v="2024"/>
    <s v="Q3"/>
    <n v="9"/>
    <s v="Sep"/>
    <n v="1"/>
    <n v="228.75"/>
    <x v="1358"/>
    <s v="Electronics"/>
    <s v="Credit Card"/>
    <n v="5"/>
    <x v="1779"/>
  </r>
  <r>
    <x v="1633"/>
    <x v="6"/>
    <d v="2025-01-12T00:00:00"/>
    <n v="2025"/>
    <s v="Q1"/>
    <n v="1"/>
    <s v="Jan"/>
    <n v="7"/>
    <n v="742.81"/>
    <x v="1633"/>
    <s v="Electronics"/>
    <s v="Credit Card"/>
    <n v="2"/>
    <x v="1780"/>
  </r>
  <r>
    <x v="1634"/>
    <x v="5"/>
    <d v="2024-06-17T00:00:00"/>
    <n v="2024"/>
    <s v="Q2"/>
    <n v="6"/>
    <s v="Jun"/>
    <n v="6"/>
    <n v="520"/>
    <x v="1634"/>
    <s v="Office Supplies"/>
    <s v="Online"/>
    <n v="4"/>
    <x v="1781"/>
  </r>
  <r>
    <x v="1635"/>
    <x v="1"/>
    <d v="2024-06-17T00:00:00"/>
    <n v="2024"/>
    <s v="Q2"/>
    <n v="6"/>
    <s v="Jun"/>
    <n v="7"/>
    <n v="788.19"/>
    <x v="1635"/>
    <s v="Furniture"/>
    <s v="Debit Card"/>
    <n v="5"/>
    <x v="1782"/>
  </r>
  <r>
    <x v="1636"/>
    <x v="4"/>
    <d v="2025-05-30T00:00:00"/>
    <n v="2025"/>
    <s v="Q2"/>
    <n v="5"/>
    <s v="May"/>
    <n v="7"/>
    <n v="677.52"/>
    <x v="1636"/>
    <s v="Office Supplies"/>
    <s v="Online"/>
    <n v="2"/>
    <x v="1783"/>
  </r>
  <r>
    <x v="1637"/>
    <x v="6"/>
    <d v="2024-09-01T00:00:00"/>
    <n v="2024"/>
    <s v="Q3"/>
    <n v="9"/>
    <s v="Sep"/>
    <n v="1"/>
    <n v="502.03"/>
    <x v="1637"/>
    <s v="Office Supplies"/>
    <s v="Cash"/>
    <n v="5"/>
    <x v="1784"/>
  </r>
  <r>
    <x v="1638"/>
    <x v="0"/>
    <d v="2024-08-26T00:00:00"/>
    <n v="2024"/>
    <s v="Q3"/>
    <n v="8"/>
    <s v="Aug"/>
    <n v="2"/>
    <n v="331.07"/>
    <x v="1638"/>
    <s v="Furniture"/>
    <s v="Cash"/>
    <n v="4"/>
    <x v="1785"/>
  </r>
  <r>
    <x v="1639"/>
    <x v="2"/>
    <d v="2023-05-15T00:00:00"/>
    <n v="2023"/>
    <s v="Q2"/>
    <n v="5"/>
    <s v="May"/>
    <n v="3"/>
    <n v="13.08"/>
    <x v="1639"/>
    <s v="Furniture"/>
    <s v="Online"/>
    <n v="4"/>
    <x v="1786"/>
  </r>
  <r>
    <x v="1640"/>
    <x v="4"/>
    <d v="2023-02-06T00:00:00"/>
    <n v="2023"/>
    <s v="Q1"/>
    <n v="2"/>
    <s v="Feb"/>
    <n v="4"/>
    <n v="323.02999999999997"/>
    <x v="1640"/>
    <s v="Electronics"/>
    <s v="Debit Card"/>
    <n v="2"/>
    <x v="1787"/>
  </r>
  <r>
    <x v="1641"/>
    <x v="0"/>
    <d v="2024-08-08T00:00:00"/>
    <n v="2024"/>
    <s v="Q3"/>
    <n v="8"/>
    <s v="Aug"/>
    <n v="5"/>
    <n v="129.86000000000001"/>
    <x v="1641"/>
    <s v="Electronics"/>
    <s v="Cash"/>
    <n v="3"/>
    <x v="1788"/>
  </r>
  <r>
    <x v="952"/>
    <x v="3"/>
    <d v="2024-02-03T00:00:00"/>
    <n v="2024"/>
    <s v="Q1"/>
    <n v="2"/>
    <s v="Feb"/>
    <n v="3"/>
    <n v="493.15"/>
    <x v="952"/>
    <s v="Furniture"/>
    <s v="Credit Card"/>
    <n v="5"/>
    <x v="1789"/>
  </r>
  <r>
    <x v="804"/>
    <x v="3"/>
    <d v="2025-05-11T00:00:00"/>
    <n v="2025"/>
    <s v="Q2"/>
    <n v="5"/>
    <s v="May"/>
    <n v="7"/>
    <n v="390.86"/>
    <x v="804"/>
    <s v="Office Supplies"/>
    <s v="Online"/>
    <n v="4"/>
    <x v="17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d v="2023-01-09T00:00:00"/>
    <n v="2023"/>
    <x v="0"/>
    <n v="1"/>
    <x v="0"/>
    <x v="0"/>
    <n v="356.19"/>
    <s v="Customer C1003"/>
    <x v="0"/>
    <x v="0"/>
    <n v="4"/>
    <n v="2849.52"/>
  </r>
  <r>
    <x v="1"/>
    <x v="1"/>
    <d v="2024-05-11T00:00:00"/>
    <n v="2024"/>
    <x v="1"/>
    <n v="5"/>
    <x v="1"/>
    <x v="1"/>
    <n v="754.71"/>
    <s v="Customer C1009"/>
    <x v="1"/>
    <x v="1"/>
    <n v="4"/>
    <n v="2264.13"/>
  </r>
  <r>
    <x v="2"/>
    <x v="1"/>
    <d v="2023-06-13T00:00:00"/>
    <n v="2023"/>
    <x v="1"/>
    <n v="6"/>
    <x v="2"/>
    <x v="1"/>
    <n v="786.46"/>
    <s v="Customer C1010"/>
    <x v="1"/>
    <x v="0"/>
    <n v="3"/>
    <n v="2359.38"/>
  </r>
  <r>
    <x v="3"/>
    <x v="2"/>
    <d v="2024-05-03T00:00:00"/>
    <n v="2024"/>
    <x v="1"/>
    <n v="5"/>
    <x v="1"/>
    <x v="2"/>
    <n v="74.8"/>
    <s v="Customer C1014"/>
    <x v="2"/>
    <x v="0"/>
    <n v="5"/>
    <n v="448.8"/>
  </r>
  <r>
    <x v="4"/>
    <x v="1"/>
    <d v="2024-05-01T00:00:00"/>
    <n v="2024"/>
    <x v="1"/>
    <n v="5"/>
    <x v="1"/>
    <x v="0"/>
    <n v="149.28"/>
    <s v="Customer C1023"/>
    <x v="1"/>
    <x v="2"/>
    <n v="3"/>
    <n v="1194.24"/>
  </r>
  <r>
    <x v="5"/>
    <x v="3"/>
    <d v="2023-07-11T00:00:00"/>
    <n v="2023"/>
    <x v="2"/>
    <n v="7"/>
    <x v="3"/>
    <x v="3"/>
    <n v="342.09"/>
    <s v="Customer C1030"/>
    <x v="2"/>
    <x v="1"/>
    <n v="1"/>
    <n v="1710.45"/>
  </r>
  <r>
    <x v="6"/>
    <x v="3"/>
    <d v="2023-10-20T00:00:00"/>
    <n v="2023"/>
    <x v="3"/>
    <n v="10"/>
    <x v="4"/>
    <x v="1"/>
    <n v="221.64"/>
    <s v="Customer C1036"/>
    <x v="1"/>
    <x v="3"/>
    <n v="2"/>
    <n v="664.92"/>
  </r>
  <r>
    <x v="6"/>
    <x v="3"/>
    <d v="2023-04-03T00:00:00"/>
    <n v="2023"/>
    <x v="1"/>
    <n v="4"/>
    <x v="5"/>
    <x v="1"/>
    <n v="116.05"/>
    <s v="Customer C1036"/>
    <x v="2"/>
    <x v="0"/>
    <n v="1"/>
    <n v="348.15"/>
  </r>
  <r>
    <x v="7"/>
    <x v="2"/>
    <d v="2025-05-05T00:00:00"/>
    <n v="2025"/>
    <x v="1"/>
    <n v="5"/>
    <x v="1"/>
    <x v="4"/>
    <n v="743.33"/>
    <s v="Customer C1043"/>
    <x v="1"/>
    <x v="3"/>
    <n v="1"/>
    <n v="743.33"/>
  </r>
  <r>
    <x v="8"/>
    <x v="1"/>
    <d v="2024-08-12T00:00:00"/>
    <n v="2024"/>
    <x v="2"/>
    <n v="8"/>
    <x v="6"/>
    <x v="0"/>
    <n v="138.11000000000001"/>
    <s v="Customer C1045"/>
    <x v="2"/>
    <x v="3"/>
    <n v="4"/>
    <n v="1104.8800000000001"/>
  </r>
  <r>
    <x v="9"/>
    <x v="4"/>
    <d v="2025-04-14T00:00:00"/>
    <n v="2025"/>
    <x v="1"/>
    <n v="4"/>
    <x v="5"/>
    <x v="0"/>
    <n v="505.48"/>
    <s v="Customer C1059"/>
    <x v="0"/>
    <x v="0"/>
    <n v="4"/>
    <n v="4043.84"/>
  </r>
  <r>
    <x v="10"/>
    <x v="5"/>
    <d v="2024-12-01T00:00:00"/>
    <n v="2024"/>
    <x v="3"/>
    <n v="12"/>
    <x v="7"/>
    <x v="3"/>
    <n v="600.51"/>
    <s v="Customer C1067"/>
    <x v="1"/>
    <x v="4"/>
    <n v="4"/>
    <n v="3002.55"/>
  </r>
  <r>
    <x v="11"/>
    <x v="0"/>
    <d v="2023-11-12T00:00:00"/>
    <n v="2023"/>
    <x v="3"/>
    <n v="11"/>
    <x v="8"/>
    <x v="3"/>
    <n v="226.61"/>
    <s v="Customer C1078"/>
    <x v="2"/>
    <x v="0"/>
    <n v="2"/>
    <n v="1133.05"/>
  </r>
  <r>
    <x v="12"/>
    <x v="3"/>
    <d v="2024-05-12T00:00:00"/>
    <n v="2024"/>
    <x v="1"/>
    <n v="5"/>
    <x v="1"/>
    <x v="3"/>
    <n v="226.71"/>
    <s v="Customer C1080"/>
    <x v="0"/>
    <x v="2"/>
    <n v="4"/>
    <n v="1133.55"/>
  </r>
  <r>
    <x v="13"/>
    <x v="0"/>
    <d v="2025-02-28T00:00:00"/>
    <n v="2025"/>
    <x v="0"/>
    <n v="2"/>
    <x v="9"/>
    <x v="4"/>
    <n v="761.75"/>
    <s v="Customer C1086"/>
    <x v="1"/>
    <x v="4"/>
    <n v="3"/>
    <n v="761.75"/>
  </r>
  <r>
    <x v="14"/>
    <x v="3"/>
    <d v="2024-10-17T00:00:00"/>
    <n v="2024"/>
    <x v="3"/>
    <n v="10"/>
    <x v="4"/>
    <x v="5"/>
    <n v="479.11"/>
    <s v="Customer C1088"/>
    <x v="1"/>
    <x v="3"/>
    <n v="4"/>
    <n v="958.22"/>
  </r>
  <r>
    <x v="15"/>
    <x v="0"/>
    <d v="2024-12-23T00:00:00"/>
    <n v="2024"/>
    <x v="3"/>
    <n v="12"/>
    <x v="7"/>
    <x v="2"/>
    <n v="500.14"/>
    <s v="Customer C1091"/>
    <x v="0"/>
    <x v="3"/>
    <n v="2"/>
    <n v="3000.84"/>
  </r>
  <r>
    <x v="16"/>
    <x v="3"/>
    <d v="2023-07-07T00:00:00"/>
    <n v="2023"/>
    <x v="2"/>
    <n v="7"/>
    <x v="3"/>
    <x v="2"/>
    <n v="699.01"/>
    <s v="Customer C1094"/>
    <x v="2"/>
    <x v="1"/>
    <n v="5"/>
    <n v="4194.0600000000004"/>
  </r>
  <r>
    <x v="17"/>
    <x v="4"/>
    <d v="2025-04-01T00:00:00"/>
    <n v="2025"/>
    <x v="1"/>
    <n v="4"/>
    <x v="5"/>
    <x v="2"/>
    <n v="520.01"/>
    <s v="Customer C1099"/>
    <x v="2"/>
    <x v="4"/>
    <n v="2"/>
    <n v="3120.06"/>
  </r>
  <r>
    <x v="17"/>
    <x v="1"/>
    <d v="2024-10-12T00:00:00"/>
    <n v="2024"/>
    <x v="3"/>
    <n v="10"/>
    <x v="4"/>
    <x v="6"/>
    <n v="286.52"/>
    <s v="Customer C1099"/>
    <x v="1"/>
    <x v="1"/>
    <n v="3"/>
    <n v="2005.64"/>
  </r>
  <r>
    <x v="18"/>
    <x v="3"/>
    <d v="2025-03-16T00:00:00"/>
    <n v="2025"/>
    <x v="0"/>
    <n v="3"/>
    <x v="10"/>
    <x v="7"/>
    <n v="589.85"/>
    <s v="Customer C1108"/>
    <x v="1"/>
    <x v="4"/>
    <n v="3"/>
    <n v="2359.4"/>
  </r>
  <r>
    <x v="19"/>
    <x v="4"/>
    <d v="2024-01-30T00:00:00"/>
    <n v="2024"/>
    <x v="0"/>
    <n v="1"/>
    <x v="0"/>
    <x v="6"/>
    <n v="393.52"/>
    <s v="Customer C1110"/>
    <x v="0"/>
    <x v="2"/>
    <n v="2"/>
    <n v="2754.64"/>
  </r>
  <r>
    <x v="20"/>
    <x v="5"/>
    <d v="2025-03-09T00:00:00"/>
    <n v="2025"/>
    <x v="0"/>
    <n v="3"/>
    <x v="10"/>
    <x v="0"/>
    <n v="621.65"/>
    <s v="Customer C1113"/>
    <x v="1"/>
    <x v="3"/>
    <n v="4"/>
    <n v="4973.2"/>
  </r>
  <r>
    <x v="21"/>
    <x v="5"/>
    <d v="2023-08-10T00:00:00"/>
    <n v="2023"/>
    <x v="2"/>
    <n v="8"/>
    <x v="6"/>
    <x v="7"/>
    <n v="163.79"/>
    <s v="Customer C1118"/>
    <x v="2"/>
    <x v="2"/>
    <n v="5"/>
    <n v="655.16"/>
  </r>
  <r>
    <x v="22"/>
    <x v="4"/>
    <d v="2025-06-18T00:00:00"/>
    <n v="2025"/>
    <x v="1"/>
    <n v="6"/>
    <x v="2"/>
    <x v="0"/>
    <n v="144.27000000000001"/>
    <s v="Customer C1125"/>
    <x v="2"/>
    <x v="3"/>
    <n v="1"/>
    <n v="1154.1600000000001"/>
  </r>
  <r>
    <x v="23"/>
    <x v="1"/>
    <d v="2023-03-05T00:00:00"/>
    <n v="2023"/>
    <x v="0"/>
    <n v="3"/>
    <x v="10"/>
    <x v="6"/>
    <n v="409.52"/>
    <s v="Customer C1135"/>
    <x v="0"/>
    <x v="1"/>
    <n v="1"/>
    <n v="2866.64"/>
  </r>
  <r>
    <x v="24"/>
    <x v="6"/>
    <d v="2023-03-18T00:00:00"/>
    <n v="2023"/>
    <x v="0"/>
    <n v="3"/>
    <x v="10"/>
    <x v="7"/>
    <n v="592.34"/>
    <s v="Customer C1146"/>
    <x v="1"/>
    <x v="3"/>
    <n v="4"/>
    <n v="2369.36"/>
  </r>
  <r>
    <x v="25"/>
    <x v="3"/>
    <d v="2024-10-21T00:00:00"/>
    <n v="2024"/>
    <x v="3"/>
    <n v="10"/>
    <x v="4"/>
    <x v="1"/>
    <n v="731.78"/>
    <s v="Customer C1147"/>
    <x v="1"/>
    <x v="1"/>
    <n v="1"/>
    <n v="2195.34"/>
  </r>
  <r>
    <x v="26"/>
    <x v="6"/>
    <d v="2024-02-22T00:00:00"/>
    <n v="2024"/>
    <x v="0"/>
    <n v="2"/>
    <x v="9"/>
    <x v="7"/>
    <n v="131.62"/>
    <s v="Customer C1150"/>
    <x v="2"/>
    <x v="0"/>
    <n v="1"/>
    <n v="526.48"/>
  </r>
  <r>
    <x v="27"/>
    <x v="0"/>
    <d v="2024-07-29T00:00:00"/>
    <n v="2024"/>
    <x v="2"/>
    <n v="7"/>
    <x v="3"/>
    <x v="4"/>
    <n v="24.84"/>
    <s v="Customer C1151"/>
    <x v="0"/>
    <x v="4"/>
    <n v="1"/>
    <n v="24.84"/>
  </r>
  <r>
    <x v="28"/>
    <x v="0"/>
    <d v="2024-12-03T00:00:00"/>
    <n v="2024"/>
    <x v="3"/>
    <n v="12"/>
    <x v="7"/>
    <x v="2"/>
    <n v="575.29999999999995"/>
    <s v="Customer C1156"/>
    <x v="0"/>
    <x v="1"/>
    <n v="5"/>
    <n v="3451.8"/>
  </r>
  <r>
    <x v="29"/>
    <x v="2"/>
    <d v="2025-05-22T00:00:00"/>
    <n v="2025"/>
    <x v="1"/>
    <n v="5"/>
    <x v="1"/>
    <x v="3"/>
    <n v="695.64"/>
    <s v="Customer C1157"/>
    <x v="1"/>
    <x v="3"/>
    <n v="5"/>
    <n v="3478.2"/>
  </r>
  <r>
    <x v="30"/>
    <x v="5"/>
    <d v="2023-03-26T00:00:00"/>
    <n v="2023"/>
    <x v="0"/>
    <n v="3"/>
    <x v="10"/>
    <x v="1"/>
    <n v="128.52000000000001"/>
    <s v="Customer C1161"/>
    <x v="1"/>
    <x v="1"/>
    <n v="3"/>
    <n v="385.56"/>
  </r>
  <r>
    <x v="31"/>
    <x v="5"/>
    <d v="2023-10-22T00:00:00"/>
    <n v="2023"/>
    <x v="3"/>
    <n v="10"/>
    <x v="4"/>
    <x v="0"/>
    <n v="209.16"/>
    <s v="Customer C1166"/>
    <x v="0"/>
    <x v="4"/>
    <n v="3"/>
    <n v="1673.28"/>
  </r>
  <r>
    <x v="32"/>
    <x v="2"/>
    <d v="2025-02-26T00:00:00"/>
    <n v="2025"/>
    <x v="0"/>
    <n v="2"/>
    <x v="9"/>
    <x v="2"/>
    <n v="156.78"/>
    <s v="Customer C1170"/>
    <x v="2"/>
    <x v="1"/>
    <n v="2"/>
    <n v="940.68"/>
  </r>
  <r>
    <x v="33"/>
    <x v="1"/>
    <d v="2023-06-11T00:00:00"/>
    <n v="2023"/>
    <x v="1"/>
    <n v="6"/>
    <x v="2"/>
    <x v="1"/>
    <n v="120.53"/>
    <s v="Customer C1172"/>
    <x v="2"/>
    <x v="3"/>
    <n v="5"/>
    <n v="361.59"/>
  </r>
  <r>
    <x v="34"/>
    <x v="5"/>
    <d v="2025-02-27T00:00:00"/>
    <n v="2025"/>
    <x v="0"/>
    <n v="2"/>
    <x v="9"/>
    <x v="6"/>
    <n v="369.21"/>
    <s v="Customer C1179"/>
    <x v="2"/>
    <x v="2"/>
    <n v="1"/>
    <n v="2584.4699999999998"/>
  </r>
  <r>
    <x v="35"/>
    <x v="5"/>
    <d v="2024-03-03T00:00:00"/>
    <n v="2024"/>
    <x v="0"/>
    <n v="3"/>
    <x v="10"/>
    <x v="1"/>
    <n v="457.26"/>
    <s v="Customer C1180"/>
    <x v="1"/>
    <x v="0"/>
    <n v="2"/>
    <n v="1371.78"/>
  </r>
  <r>
    <x v="36"/>
    <x v="3"/>
    <d v="2024-09-04T00:00:00"/>
    <n v="2024"/>
    <x v="2"/>
    <n v="9"/>
    <x v="11"/>
    <x v="1"/>
    <n v="259.60000000000002"/>
    <s v="Customer C1181"/>
    <x v="1"/>
    <x v="4"/>
    <n v="3"/>
    <n v="778.8"/>
  </r>
  <r>
    <x v="37"/>
    <x v="1"/>
    <d v="2024-09-27T00:00:00"/>
    <n v="2024"/>
    <x v="2"/>
    <n v="9"/>
    <x v="11"/>
    <x v="3"/>
    <n v="275.86"/>
    <s v="Customer C1184"/>
    <x v="0"/>
    <x v="1"/>
    <n v="5"/>
    <n v="1379.3"/>
  </r>
  <r>
    <x v="38"/>
    <x v="0"/>
    <d v="2025-02-09T00:00:00"/>
    <n v="2025"/>
    <x v="0"/>
    <n v="2"/>
    <x v="9"/>
    <x v="1"/>
    <n v="19.55"/>
    <s v="Customer C1186"/>
    <x v="0"/>
    <x v="1"/>
    <n v="2"/>
    <n v="58.65"/>
  </r>
  <r>
    <x v="38"/>
    <x v="0"/>
    <d v="2024-11-01T00:00:00"/>
    <n v="2024"/>
    <x v="3"/>
    <n v="11"/>
    <x v="8"/>
    <x v="2"/>
    <n v="249.97"/>
    <s v="Customer C1186"/>
    <x v="2"/>
    <x v="1"/>
    <n v="5"/>
    <n v="1499.82"/>
  </r>
  <r>
    <x v="39"/>
    <x v="1"/>
    <d v="2023-01-03T00:00:00"/>
    <n v="2023"/>
    <x v="0"/>
    <n v="1"/>
    <x v="0"/>
    <x v="2"/>
    <n v="98.82"/>
    <s v="Customer C1187"/>
    <x v="1"/>
    <x v="3"/>
    <n v="1"/>
    <n v="592.91999999999996"/>
  </r>
  <r>
    <x v="40"/>
    <x v="6"/>
    <d v="2024-04-17T00:00:00"/>
    <n v="2024"/>
    <x v="1"/>
    <n v="4"/>
    <x v="5"/>
    <x v="1"/>
    <n v="524.76"/>
    <s v="Customer C1200"/>
    <x v="2"/>
    <x v="1"/>
    <n v="4"/>
    <n v="1574.28"/>
  </r>
  <r>
    <x v="41"/>
    <x v="4"/>
    <d v="2023-07-07T00:00:00"/>
    <n v="2023"/>
    <x v="2"/>
    <n v="7"/>
    <x v="3"/>
    <x v="1"/>
    <n v="325.83999999999997"/>
    <s v="Customer C1215"/>
    <x v="1"/>
    <x v="1"/>
    <n v="1"/>
    <n v="977.52"/>
  </r>
  <r>
    <x v="42"/>
    <x v="2"/>
    <d v="2023-06-24T00:00:00"/>
    <n v="2023"/>
    <x v="1"/>
    <n v="6"/>
    <x v="2"/>
    <x v="4"/>
    <n v="580.23"/>
    <s v="Customer C1216"/>
    <x v="0"/>
    <x v="2"/>
    <n v="4"/>
    <n v="580.23"/>
  </r>
  <r>
    <x v="43"/>
    <x v="4"/>
    <d v="2023-10-26T00:00:00"/>
    <n v="2023"/>
    <x v="3"/>
    <n v="10"/>
    <x v="4"/>
    <x v="6"/>
    <n v="437.66"/>
    <s v="Customer C1224"/>
    <x v="1"/>
    <x v="3"/>
    <n v="4"/>
    <n v="3063.62"/>
  </r>
  <r>
    <x v="44"/>
    <x v="0"/>
    <d v="2024-11-11T00:00:00"/>
    <n v="2024"/>
    <x v="3"/>
    <n v="11"/>
    <x v="8"/>
    <x v="2"/>
    <n v="146.72"/>
    <s v="Customer C1228"/>
    <x v="2"/>
    <x v="1"/>
    <n v="4"/>
    <n v="880.32"/>
  </r>
  <r>
    <x v="45"/>
    <x v="1"/>
    <d v="2024-06-23T00:00:00"/>
    <n v="2024"/>
    <x v="1"/>
    <n v="6"/>
    <x v="2"/>
    <x v="0"/>
    <n v="284.95"/>
    <s v="Customer C1230"/>
    <x v="2"/>
    <x v="1"/>
    <n v="2"/>
    <n v="2279.6"/>
  </r>
  <r>
    <x v="46"/>
    <x v="5"/>
    <d v="2024-03-10T00:00:00"/>
    <n v="2024"/>
    <x v="0"/>
    <n v="3"/>
    <x v="10"/>
    <x v="2"/>
    <n v="17.149999999999999"/>
    <s v="Customer C1232"/>
    <x v="0"/>
    <x v="0"/>
    <n v="4"/>
    <n v="102.9"/>
  </r>
  <r>
    <x v="47"/>
    <x v="5"/>
    <d v="2025-05-24T00:00:00"/>
    <n v="2025"/>
    <x v="1"/>
    <n v="5"/>
    <x v="1"/>
    <x v="4"/>
    <n v="362.07"/>
    <s v="Customer C1241"/>
    <x v="1"/>
    <x v="4"/>
    <n v="4"/>
    <n v="362.07"/>
  </r>
  <r>
    <x v="48"/>
    <x v="4"/>
    <d v="2023-08-24T00:00:00"/>
    <n v="2023"/>
    <x v="2"/>
    <n v="8"/>
    <x v="6"/>
    <x v="3"/>
    <n v="383.03"/>
    <s v="Customer C1248"/>
    <x v="2"/>
    <x v="3"/>
    <n v="2"/>
    <n v="1915.15"/>
  </r>
  <r>
    <x v="49"/>
    <x v="5"/>
    <d v="2025-01-12T00:00:00"/>
    <n v="2025"/>
    <x v="0"/>
    <n v="1"/>
    <x v="0"/>
    <x v="5"/>
    <n v="259.37"/>
    <s v="Customer C1254"/>
    <x v="2"/>
    <x v="0"/>
    <n v="5"/>
    <n v="518.74"/>
  </r>
  <r>
    <x v="50"/>
    <x v="3"/>
    <d v="2023-12-20T00:00:00"/>
    <n v="2023"/>
    <x v="3"/>
    <n v="12"/>
    <x v="7"/>
    <x v="3"/>
    <n v="300.8"/>
    <s v="Customer C1267"/>
    <x v="2"/>
    <x v="2"/>
    <n v="3"/>
    <n v="1504"/>
  </r>
  <r>
    <x v="51"/>
    <x v="2"/>
    <d v="2024-03-26T00:00:00"/>
    <n v="2024"/>
    <x v="0"/>
    <n v="3"/>
    <x v="10"/>
    <x v="3"/>
    <n v="32.119999999999997"/>
    <s v="Customer C1268"/>
    <x v="1"/>
    <x v="2"/>
    <n v="2"/>
    <n v="160.6"/>
  </r>
  <r>
    <x v="52"/>
    <x v="0"/>
    <d v="2024-05-18T00:00:00"/>
    <n v="2024"/>
    <x v="1"/>
    <n v="5"/>
    <x v="1"/>
    <x v="5"/>
    <n v="638.03"/>
    <s v="Customer C1271"/>
    <x v="2"/>
    <x v="0"/>
    <n v="1"/>
    <n v="1276.06"/>
  </r>
  <r>
    <x v="53"/>
    <x v="2"/>
    <d v="2023-06-06T00:00:00"/>
    <n v="2023"/>
    <x v="1"/>
    <n v="6"/>
    <x v="2"/>
    <x v="4"/>
    <n v="754.33"/>
    <s v="Customer C1280"/>
    <x v="1"/>
    <x v="1"/>
    <n v="4"/>
    <n v="754.33"/>
  </r>
  <r>
    <x v="53"/>
    <x v="0"/>
    <d v="2025-02-09T00:00:00"/>
    <n v="2025"/>
    <x v="0"/>
    <n v="2"/>
    <x v="9"/>
    <x v="2"/>
    <n v="279.06"/>
    <s v="Customer C1280"/>
    <x v="2"/>
    <x v="2"/>
    <n v="3"/>
    <n v="1674.36"/>
  </r>
  <r>
    <x v="53"/>
    <x v="1"/>
    <d v="2023-11-12T00:00:00"/>
    <n v="2023"/>
    <x v="3"/>
    <n v="11"/>
    <x v="8"/>
    <x v="2"/>
    <n v="764.64"/>
    <s v="Customer C1280"/>
    <x v="0"/>
    <x v="2"/>
    <n v="1"/>
    <n v="4587.84"/>
  </r>
  <r>
    <x v="54"/>
    <x v="6"/>
    <d v="2024-09-04T00:00:00"/>
    <n v="2024"/>
    <x v="2"/>
    <n v="9"/>
    <x v="11"/>
    <x v="0"/>
    <n v="210.44"/>
    <s v="Customer C1290"/>
    <x v="2"/>
    <x v="4"/>
    <n v="1"/>
    <n v="1683.52"/>
  </r>
  <r>
    <x v="55"/>
    <x v="3"/>
    <d v="2024-07-22T00:00:00"/>
    <n v="2024"/>
    <x v="2"/>
    <n v="7"/>
    <x v="3"/>
    <x v="7"/>
    <n v="692.94"/>
    <s v="Customer C1292"/>
    <x v="2"/>
    <x v="1"/>
    <n v="3"/>
    <n v="2771.76"/>
  </r>
  <r>
    <x v="56"/>
    <x v="2"/>
    <d v="2023-10-29T00:00:00"/>
    <n v="2023"/>
    <x v="3"/>
    <n v="10"/>
    <x v="4"/>
    <x v="7"/>
    <n v="598.12"/>
    <s v="Customer C1296"/>
    <x v="0"/>
    <x v="2"/>
    <n v="5"/>
    <n v="2392.48"/>
  </r>
  <r>
    <x v="57"/>
    <x v="6"/>
    <d v="2024-01-03T00:00:00"/>
    <n v="2024"/>
    <x v="0"/>
    <n v="1"/>
    <x v="0"/>
    <x v="6"/>
    <n v="747.04"/>
    <s v="Customer C1299"/>
    <x v="1"/>
    <x v="2"/>
    <n v="4"/>
    <n v="5229.28"/>
  </r>
  <r>
    <x v="58"/>
    <x v="4"/>
    <d v="2024-01-26T00:00:00"/>
    <n v="2024"/>
    <x v="0"/>
    <n v="1"/>
    <x v="0"/>
    <x v="0"/>
    <n v="513.16"/>
    <s v="Customer C1301"/>
    <x v="0"/>
    <x v="0"/>
    <n v="4"/>
    <n v="4105.28"/>
  </r>
  <r>
    <x v="59"/>
    <x v="4"/>
    <d v="2024-06-06T00:00:00"/>
    <n v="2024"/>
    <x v="1"/>
    <n v="6"/>
    <x v="2"/>
    <x v="0"/>
    <n v="237.68"/>
    <s v="Customer C1312"/>
    <x v="0"/>
    <x v="0"/>
    <n v="5"/>
    <n v="1901.44"/>
  </r>
  <r>
    <x v="59"/>
    <x v="6"/>
    <d v="2023-08-26T00:00:00"/>
    <n v="2023"/>
    <x v="2"/>
    <n v="8"/>
    <x v="6"/>
    <x v="2"/>
    <n v="656.86"/>
    <s v="Customer C1312"/>
    <x v="0"/>
    <x v="0"/>
    <n v="5"/>
    <n v="3941.16"/>
  </r>
  <r>
    <x v="60"/>
    <x v="5"/>
    <d v="2023-12-18T00:00:00"/>
    <n v="2023"/>
    <x v="3"/>
    <n v="12"/>
    <x v="7"/>
    <x v="0"/>
    <n v="419.04"/>
    <s v="Customer C1314"/>
    <x v="2"/>
    <x v="4"/>
    <n v="3"/>
    <n v="3352.32"/>
  </r>
  <r>
    <x v="61"/>
    <x v="4"/>
    <d v="2024-05-29T00:00:00"/>
    <n v="2024"/>
    <x v="1"/>
    <n v="5"/>
    <x v="1"/>
    <x v="5"/>
    <n v="380.34"/>
    <s v="Customer C1315"/>
    <x v="0"/>
    <x v="3"/>
    <n v="5"/>
    <n v="760.68"/>
  </r>
  <r>
    <x v="62"/>
    <x v="1"/>
    <d v="2025-04-09T00:00:00"/>
    <n v="2025"/>
    <x v="1"/>
    <n v="4"/>
    <x v="5"/>
    <x v="7"/>
    <n v="159.33000000000001"/>
    <s v="Customer C1319"/>
    <x v="1"/>
    <x v="2"/>
    <n v="3"/>
    <n v="637.32000000000005"/>
  </r>
  <r>
    <x v="63"/>
    <x v="6"/>
    <d v="2025-03-03T00:00:00"/>
    <n v="2025"/>
    <x v="0"/>
    <n v="3"/>
    <x v="10"/>
    <x v="0"/>
    <n v="294.62"/>
    <s v="Customer C1325"/>
    <x v="0"/>
    <x v="3"/>
    <n v="5"/>
    <n v="2356.96"/>
  </r>
  <r>
    <x v="64"/>
    <x v="2"/>
    <d v="2023-05-12T00:00:00"/>
    <n v="2023"/>
    <x v="1"/>
    <n v="5"/>
    <x v="1"/>
    <x v="2"/>
    <n v="542.99"/>
    <s v="Customer C1326"/>
    <x v="2"/>
    <x v="3"/>
    <n v="2"/>
    <n v="3257.94"/>
  </r>
  <r>
    <x v="65"/>
    <x v="6"/>
    <d v="2024-10-08T00:00:00"/>
    <n v="2024"/>
    <x v="3"/>
    <n v="10"/>
    <x v="4"/>
    <x v="2"/>
    <n v="724.08"/>
    <s v="Customer C1334"/>
    <x v="0"/>
    <x v="2"/>
    <n v="2"/>
    <n v="4344.4799999999996"/>
  </r>
  <r>
    <x v="66"/>
    <x v="0"/>
    <d v="2024-05-26T00:00:00"/>
    <n v="2024"/>
    <x v="1"/>
    <n v="5"/>
    <x v="1"/>
    <x v="2"/>
    <n v="420.68"/>
    <s v="Customer C1337"/>
    <x v="1"/>
    <x v="3"/>
    <n v="4"/>
    <n v="2524.08"/>
  </r>
  <r>
    <x v="67"/>
    <x v="4"/>
    <d v="2024-03-21T00:00:00"/>
    <n v="2024"/>
    <x v="0"/>
    <n v="3"/>
    <x v="10"/>
    <x v="0"/>
    <n v="70.27"/>
    <s v="Customer C1338"/>
    <x v="1"/>
    <x v="2"/>
    <n v="2"/>
    <n v="562.16"/>
  </r>
  <r>
    <x v="68"/>
    <x v="5"/>
    <d v="2023-11-30T00:00:00"/>
    <n v="2023"/>
    <x v="3"/>
    <n v="11"/>
    <x v="8"/>
    <x v="0"/>
    <n v="82.29"/>
    <s v="Customer C1340"/>
    <x v="1"/>
    <x v="1"/>
    <n v="4"/>
    <n v="658.32"/>
  </r>
  <r>
    <x v="69"/>
    <x v="1"/>
    <d v="2025-02-06T00:00:00"/>
    <n v="2025"/>
    <x v="0"/>
    <n v="2"/>
    <x v="9"/>
    <x v="6"/>
    <n v="10.14"/>
    <s v="Customer C1349"/>
    <x v="0"/>
    <x v="3"/>
    <n v="4"/>
    <n v="70.98"/>
  </r>
  <r>
    <x v="70"/>
    <x v="1"/>
    <d v="2024-09-06T00:00:00"/>
    <n v="2024"/>
    <x v="2"/>
    <n v="9"/>
    <x v="11"/>
    <x v="5"/>
    <n v="778.43"/>
    <s v="Customer C1353"/>
    <x v="2"/>
    <x v="2"/>
    <n v="4"/>
    <n v="1556.86"/>
  </r>
  <r>
    <x v="71"/>
    <x v="2"/>
    <d v="2023-01-10T00:00:00"/>
    <n v="2023"/>
    <x v="0"/>
    <n v="1"/>
    <x v="0"/>
    <x v="3"/>
    <n v="342.38"/>
    <s v="Customer C1359"/>
    <x v="0"/>
    <x v="4"/>
    <n v="1"/>
    <n v="1711.9"/>
  </r>
  <r>
    <x v="72"/>
    <x v="3"/>
    <d v="2025-02-07T00:00:00"/>
    <n v="2025"/>
    <x v="0"/>
    <n v="2"/>
    <x v="9"/>
    <x v="3"/>
    <n v="586.02"/>
    <s v="Customer C1362"/>
    <x v="2"/>
    <x v="4"/>
    <n v="5"/>
    <n v="2930.1"/>
  </r>
  <r>
    <x v="73"/>
    <x v="0"/>
    <d v="2023-05-12T00:00:00"/>
    <n v="2023"/>
    <x v="1"/>
    <n v="5"/>
    <x v="1"/>
    <x v="1"/>
    <n v="484.69"/>
    <s v="Customer C1365"/>
    <x v="0"/>
    <x v="0"/>
    <n v="3"/>
    <n v="1454.07"/>
  </r>
  <r>
    <x v="74"/>
    <x v="6"/>
    <d v="2023-09-30T00:00:00"/>
    <n v="2023"/>
    <x v="2"/>
    <n v="9"/>
    <x v="11"/>
    <x v="5"/>
    <n v="721.89"/>
    <s v="Customer C1366"/>
    <x v="0"/>
    <x v="2"/>
    <n v="5"/>
    <n v="1443.78"/>
  </r>
  <r>
    <x v="75"/>
    <x v="2"/>
    <d v="2024-12-08T00:00:00"/>
    <n v="2024"/>
    <x v="3"/>
    <n v="12"/>
    <x v="7"/>
    <x v="7"/>
    <n v="411.35"/>
    <s v="Customer C1391"/>
    <x v="1"/>
    <x v="0"/>
    <n v="2"/>
    <n v="1645.4"/>
  </r>
  <r>
    <x v="76"/>
    <x v="6"/>
    <d v="2024-12-15T00:00:00"/>
    <n v="2024"/>
    <x v="3"/>
    <n v="12"/>
    <x v="7"/>
    <x v="7"/>
    <n v="169.16"/>
    <s v="Customer C1393"/>
    <x v="1"/>
    <x v="1"/>
    <n v="1"/>
    <n v="676.64"/>
  </r>
  <r>
    <x v="77"/>
    <x v="3"/>
    <d v="2024-09-22T00:00:00"/>
    <n v="2024"/>
    <x v="2"/>
    <n v="9"/>
    <x v="11"/>
    <x v="3"/>
    <n v="786.24"/>
    <s v="Customer C1418"/>
    <x v="2"/>
    <x v="1"/>
    <n v="4"/>
    <n v="3931.2"/>
  </r>
  <r>
    <x v="78"/>
    <x v="0"/>
    <d v="2023-02-20T00:00:00"/>
    <n v="2023"/>
    <x v="0"/>
    <n v="2"/>
    <x v="9"/>
    <x v="3"/>
    <n v="287.26"/>
    <s v="Customer C1425"/>
    <x v="1"/>
    <x v="2"/>
    <n v="1"/>
    <n v="1436.3"/>
  </r>
  <r>
    <x v="79"/>
    <x v="1"/>
    <d v="2024-09-20T00:00:00"/>
    <n v="2024"/>
    <x v="2"/>
    <n v="9"/>
    <x v="11"/>
    <x v="3"/>
    <n v="651.59"/>
    <s v="Customer C1427"/>
    <x v="0"/>
    <x v="1"/>
    <n v="5"/>
    <n v="3257.95"/>
  </r>
  <r>
    <x v="80"/>
    <x v="1"/>
    <d v="2024-09-28T00:00:00"/>
    <n v="2024"/>
    <x v="2"/>
    <n v="9"/>
    <x v="11"/>
    <x v="7"/>
    <n v="64.53"/>
    <s v="Customer C1433"/>
    <x v="1"/>
    <x v="1"/>
    <n v="3"/>
    <n v="258.12"/>
  </r>
  <r>
    <x v="81"/>
    <x v="2"/>
    <d v="2024-03-30T00:00:00"/>
    <n v="2024"/>
    <x v="0"/>
    <n v="3"/>
    <x v="10"/>
    <x v="6"/>
    <n v="678.49"/>
    <s v="Customer C1435"/>
    <x v="1"/>
    <x v="1"/>
    <n v="3"/>
    <n v="4749.43"/>
  </r>
  <r>
    <x v="82"/>
    <x v="5"/>
    <d v="2024-10-06T00:00:00"/>
    <n v="2024"/>
    <x v="3"/>
    <n v="10"/>
    <x v="4"/>
    <x v="0"/>
    <n v="172.99"/>
    <s v="Customer C1446"/>
    <x v="2"/>
    <x v="3"/>
    <n v="4"/>
    <n v="1383.92"/>
  </r>
  <r>
    <x v="83"/>
    <x v="6"/>
    <d v="2023-06-30T00:00:00"/>
    <n v="2023"/>
    <x v="1"/>
    <n v="6"/>
    <x v="2"/>
    <x v="5"/>
    <n v="235.11"/>
    <s v="Customer C1452"/>
    <x v="2"/>
    <x v="4"/>
    <n v="1"/>
    <n v="470.22"/>
  </r>
  <r>
    <x v="84"/>
    <x v="3"/>
    <d v="2023-02-21T00:00:00"/>
    <n v="2023"/>
    <x v="0"/>
    <n v="2"/>
    <x v="9"/>
    <x v="1"/>
    <n v="57.35"/>
    <s v="Customer C1453"/>
    <x v="2"/>
    <x v="2"/>
    <n v="2"/>
    <n v="172.05"/>
  </r>
  <r>
    <x v="85"/>
    <x v="0"/>
    <d v="2024-05-09T00:00:00"/>
    <n v="2024"/>
    <x v="1"/>
    <n v="5"/>
    <x v="1"/>
    <x v="4"/>
    <n v="152.57"/>
    <s v="Customer C1455"/>
    <x v="2"/>
    <x v="4"/>
    <n v="3"/>
    <n v="152.57"/>
  </r>
  <r>
    <x v="86"/>
    <x v="5"/>
    <d v="2023-07-07T00:00:00"/>
    <n v="2023"/>
    <x v="2"/>
    <n v="7"/>
    <x v="3"/>
    <x v="6"/>
    <n v="445.47"/>
    <s v="Customer C1467"/>
    <x v="0"/>
    <x v="2"/>
    <n v="1"/>
    <n v="3118.29"/>
  </r>
  <r>
    <x v="87"/>
    <x v="5"/>
    <d v="2024-12-17T00:00:00"/>
    <n v="2024"/>
    <x v="3"/>
    <n v="12"/>
    <x v="7"/>
    <x v="4"/>
    <n v="40.96"/>
    <s v="Customer C1470"/>
    <x v="0"/>
    <x v="2"/>
    <n v="2"/>
    <n v="40.96"/>
  </r>
  <r>
    <x v="88"/>
    <x v="1"/>
    <d v="2023-05-11T00:00:00"/>
    <n v="2023"/>
    <x v="1"/>
    <n v="5"/>
    <x v="1"/>
    <x v="5"/>
    <n v="739.2"/>
    <s v="Customer C1472"/>
    <x v="1"/>
    <x v="1"/>
    <n v="4"/>
    <n v="1478.4"/>
  </r>
  <r>
    <x v="89"/>
    <x v="1"/>
    <d v="2023-11-20T00:00:00"/>
    <n v="2023"/>
    <x v="3"/>
    <n v="11"/>
    <x v="8"/>
    <x v="1"/>
    <n v="380.5"/>
    <s v="Customer C1482"/>
    <x v="1"/>
    <x v="2"/>
    <n v="3"/>
    <n v="1141.5"/>
  </r>
  <r>
    <x v="90"/>
    <x v="1"/>
    <d v="2025-05-02T00:00:00"/>
    <n v="2025"/>
    <x v="1"/>
    <n v="5"/>
    <x v="1"/>
    <x v="2"/>
    <n v="70.87"/>
    <s v="Customer C1483"/>
    <x v="1"/>
    <x v="4"/>
    <n v="4"/>
    <n v="425.22"/>
  </r>
  <r>
    <x v="91"/>
    <x v="3"/>
    <d v="2023-06-28T00:00:00"/>
    <n v="2023"/>
    <x v="1"/>
    <n v="6"/>
    <x v="2"/>
    <x v="4"/>
    <n v="391.35"/>
    <s v="Customer C1486"/>
    <x v="0"/>
    <x v="2"/>
    <n v="5"/>
    <n v="391.35"/>
  </r>
  <r>
    <x v="92"/>
    <x v="5"/>
    <d v="2024-05-25T00:00:00"/>
    <n v="2024"/>
    <x v="1"/>
    <n v="5"/>
    <x v="1"/>
    <x v="7"/>
    <n v="201.08"/>
    <s v="Customer C1494"/>
    <x v="0"/>
    <x v="1"/>
    <n v="3"/>
    <n v="804.32"/>
  </r>
  <r>
    <x v="93"/>
    <x v="2"/>
    <d v="2024-06-17T00:00:00"/>
    <n v="2024"/>
    <x v="1"/>
    <n v="6"/>
    <x v="2"/>
    <x v="1"/>
    <n v="188.33"/>
    <s v="Customer C1500"/>
    <x v="1"/>
    <x v="0"/>
    <n v="2"/>
    <n v="564.99"/>
  </r>
  <r>
    <x v="94"/>
    <x v="0"/>
    <d v="2024-08-21T00:00:00"/>
    <n v="2024"/>
    <x v="2"/>
    <n v="8"/>
    <x v="6"/>
    <x v="1"/>
    <n v="505.98"/>
    <s v="Customer C1503"/>
    <x v="0"/>
    <x v="2"/>
    <n v="4"/>
    <n v="1517.94"/>
  </r>
  <r>
    <x v="95"/>
    <x v="6"/>
    <d v="2024-06-05T00:00:00"/>
    <n v="2024"/>
    <x v="1"/>
    <n v="6"/>
    <x v="2"/>
    <x v="0"/>
    <n v="310.69"/>
    <s v="Customer C1509"/>
    <x v="2"/>
    <x v="4"/>
    <n v="1"/>
    <n v="2485.52"/>
  </r>
  <r>
    <x v="96"/>
    <x v="2"/>
    <d v="2024-03-03T00:00:00"/>
    <n v="2024"/>
    <x v="0"/>
    <n v="3"/>
    <x v="10"/>
    <x v="2"/>
    <n v="667.06"/>
    <s v="Customer C1517"/>
    <x v="2"/>
    <x v="1"/>
    <n v="2"/>
    <n v="4002.36"/>
  </r>
  <r>
    <x v="96"/>
    <x v="4"/>
    <d v="2024-01-31T00:00:00"/>
    <n v="2024"/>
    <x v="0"/>
    <n v="1"/>
    <x v="0"/>
    <x v="1"/>
    <n v="330.83"/>
    <s v="Customer C1517"/>
    <x v="0"/>
    <x v="1"/>
    <n v="4"/>
    <n v="992.49"/>
  </r>
  <r>
    <x v="97"/>
    <x v="2"/>
    <d v="2024-08-04T00:00:00"/>
    <n v="2024"/>
    <x v="2"/>
    <n v="8"/>
    <x v="6"/>
    <x v="4"/>
    <n v="659.76"/>
    <s v="Customer C1524"/>
    <x v="0"/>
    <x v="3"/>
    <n v="1"/>
    <n v="659.76"/>
  </r>
  <r>
    <x v="97"/>
    <x v="1"/>
    <d v="2024-07-14T00:00:00"/>
    <n v="2024"/>
    <x v="2"/>
    <n v="7"/>
    <x v="3"/>
    <x v="0"/>
    <n v="521.44000000000005"/>
    <s v="Customer C1524"/>
    <x v="2"/>
    <x v="3"/>
    <n v="5"/>
    <n v="4171.5200000000004"/>
  </r>
  <r>
    <x v="98"/>
    <x v="0"/>
    <d v="2024-04-23T00:00:00"/>
    <n v="2024"/>
    <x v="1"/>
    <n v="4"/>
    <x v="5"/>
    <x v="6"/>
    <n v="733.53"/>
    <s v="Customer C1528"/>
    <x v="1"/>
    <x v="4"/>
    <n v="3"/>
    <n v="5134.71"/>
  </r>
  <r>
    <x v="98"/>
    <x v="6"/>
    <d v="2023-01-13T00:00:00"/>
    <n v="2023"/>
    <x v="0"/>
    <n v="1"/>
    <x v="0"/>
    <x v="3"/>
    <n v="536.13"/>
    <s v="Customer C1528"/>
    <x v="0"/>
    <x v="4"/>
    <n v="2"/>
    <n v="2680.65"/>
  </r>
  <r>
    <x v="99"/>
    <x v="3"/>
    <d v="2025-01-10T00:00:00"/>
    <n v="2025"/>
    <x v="0"/>
    <n v="1"/>
    <x v="0"/>
    <x v="6"/>
    <n v="177.77"/>
    <s v="Customer C1529"/>
    <x v="2"/>
    <x v="4"/>
    <n v="1"/>
    <n v="1244.3900000000001"/>
  </r>
  <r>
    <x v="100"/>
    <x v="6"/>
    <d v="2023-11-20T00:00:00"/>
    <n v="2023"/>
    <x v="3"/>
    <n v="11"/>
    <x v="8"/>
    <x v="0"/>
    <n v="568.71"/>
    <s v="Customer C1544"/>
    <x v="1"/>
    <x v="4"/>
    <n v="1"/>
    <n v="4549.68"/>
  </r>
  <r>
    <x v="101"/>
    <x v="2"/>
    <d v="2024-05-18T00:00:00"/>
    <n v="2024"/>
    <x v="1"/>
    <n v="5"/>
    <x v="1"/>
    <x v="5"/>
    <n v="307.39"/>
    <s v="Customer C1547"/>
    <x v="1"/>
    <x v="4"/>
    <n v="3"/>
    <n v="614.78"/>
  </r>
  <r>
    <x v="102"/>
    <x v="1"/>
    <d v="2024-09-14T00:00:00"/>
    <n v="2024"/>
    <x v="2"/>
    <n v="9"/>
    <x v="11"/>
    <x v="2"/>
    <n v="580.01"/>
    <s v="Customer C1555"/>
    <x v="0"/>
    <x v="2"/>
    <n v="1"/>
    <n v="3480.06"/>
  </r>
  <r>
    <x v="103"/>
    <x v="4"/>
    <d v="2024-08-23T00:00:00"/>
    <n v="2024"/>
    <x v="2"/>
    <n v="8"/>
    <x v="6"/>
    <x v="3"/>
    <n v="324.42"/>
    <s v="Customer C1563"/>
    <x v="1"/>
    <x v="4"/>
    <n v="1"/>
    <n v="1622.1"/>
  </r>
  <r>
    <x v="104"/>
    <x v="0"/>
    <d v="2024-11-25T00:00:00"/>
    <n v="2024"/>
    <x v="3"/>
    <n v="11"/>
    <x v="8"/>
    <x v="6"/>
    <n v="352.27"/>
    <s v="Customer C1570"/>
    <x v="0"/>
    <x v="2"/>
    <n v="2"/>
    <n v="2465.89"/>
  </r>
  <r>
    <x v="105"/>
    <x v="6"/>
    <d v="2025-04-27T00:00:00"/>
    <n v="2025"/>
    <x v="1"/>
    <n v="4"/>
    <x v="5"/>
    <x v="6"/>
    <n v="71.72"/>
    <s v="Customer C1578"/>
    <x v="1"/>
    <x v="3"/>
    <n v="4"/>
    <n v="502.04"/>
  </r>
  <r>
    <x v="106"/>
    <x v="0"/>
    <d v="2024-06-14T00:00:00"/>
    <n v="2024"/>
    <x v="1"/>
    <n v="6"/>
    <x v="2"/>
    <x v="4"/>
    <n v="391.49"/>
    <s v="Customer C1579"/>
    <x v="0"/>
    <x v="2"/>
    <n v="4"/>
    <n v="391.49"/>
  </r>
  <r>
    <x v="107"/>
    <x v="2"/>
    <d v="2023-04-20T00:00:00"/>
    <n v="2023"/>
    <x v="1"/>
    <n v="4"/>
    <x v="5"/>
    <x v="7"/>
    <n v="576.35"/>
    <s v="Customer C1583"/>
    <x v="0"/>
    <x v="3"/>
    <n v="5"/>
    <n v="2305.4"/>
  </r>
  <r>
    <x v="107"/>
    <x v="1"/>
    <d v="2024-02-22T00:00:00"/>
    <n v="2024"/>
    <x v="0"/>
    <n v="2"/>
    <x v="9"/>
    <x v="2"/>
    <n v="657.93"/>
    <s v="Customer C1583"/>
    <x v="2"/>
    <x v="0"/>
    <n v="2"/>
    <n v="3947.58"/>
  </r>
  <r>
    <x v="108"/>
    <x v="3"/>
    <d v="2023-08-19T00:00:00"/>
    <n v="2023"/>
    <x v="2"/>
    <n v="8"/>
    <x v="6"/>
    <x v="1"/>
    <n v="584.74"/>
    <s v="Customer C1587"/>
    <x v="1"/>
    <x v="2"/>
    <n v="4"/>
    <n v="1754.22"/>
  </r>
  <r>
    <x v="109"/>
    <x v="4"/>
    <d v="2025-06-26T00:00:00"/>
    <n v="2025"/>
    <x v="1"/>
    <n v="6"/>
    <x v="2"/>
    <x v="5"/>
    <n v="746.79"/>
    <s v="Customer C1588"/>
    <x v="2"/>
    <x v="1"/>
    <n v="1"/>
    <n v="1493.58"/>
  </r>
  <r>
    <x v="110"/>
    <x v="6"/>
    <d v="2023-02-22T00:00:00"/>
    <n v="2023"/>
    <x v="0"/>
    <n v="2"/>
    <x v="9"/>
    <x v="1"/>
    <n v="177.94"/>
    <s v="Customer C1589"/>
    <x v="2"/>
    <x v="1"/>
    <n v="3"/>
    <n v="533.82000000000005"/>
  </r>
  <r>
    <x v="111"/>
    <x v="4"/>
    <d v="2023-09-06T00:00:00"/>
    <n v="2023"/>
    <x v="2"/>
    <n v="9"/>
    <x v="11"/>
    <x v="5"/>
    <n v="646.03"/>
    <s v="Customer C1596"/>
    <x v="1"/>
    <x v="1"/>
    <n v="5"/>
    <n v="1292.06"/>
  </r>
  <r>
    <x v="112"/>
    <x v="2"/>
    <d v="2025-04-08T00:00:00"/>
    <n v="2025"/>
    <x v="1"/>
    <n v="4"/>
    <x v="5"/>
    <x v="5"/>
    <n v="463.17"/>
    <s v="Customer C1604"/>
    <x v="1"/>
    <x v="3"/>
    <n v="2"/>
    <n v="926.34"/>
  </r>
  <r>
    <x v="113"/>
    <x v="3"/>
    <d v="2024-09-03T00:00:00"/>
    <n v="2024"/>
    <x v="2"/>
    <n v="9"/>
    <x v="11"/>
    <x v="2"/>
    <n v="117.79"/>
    <s v="Customer C1617"/>
    <x v="1"/>
    <x v="1"/>
    <n v="2"/>
    <n v="706.74"/>
  </r>
  <r>
    <x v="113"/>
    <x v="6"/>
    <d v="2023-07-03T00:00:00"/>
    <n v="2023"/>
    <x v="2"/>
    <n v="7"/>
    <x v="3"/>
    <x v="7"/>
    <n v="386.84"/>
    <s v="Customer C1617"/>
    <x v="0"/>
    <x v="0"/>
    <n v="1"/>
    <n v="1547.36"/>
  </r>
  <r>
    <x v="114"/>
    <x v="4"/>
    <d v="2024-03-20T00:00:00"/>
    <n v="2024"/>
    <x v="0"/>
    <n v="3"/>
    <x v="10"/>
    <x v="1"/>
    <n v="224.35"/>
    <s v="Customer C1619"/>
    <x v="0"/>
    <x v="1"/>
    <n v="2"/>
    <n v="673.05"/>
  </r>
  <r>
    <x v="115"/>
    <x v="6"/>
    <d v="2023-05-25T00:00:00"/>
    <n v="2023"/>
    <x v="1"/>
    <n v="5"/>
    <x v="1"/>
    <x v="2"/>
    <n v="411.88"/>
    <s v="Customer C1623"/>
    <x v="0"/>
    <x v="4"/>
    <n v="3"/>
    <n v="2471.2800000000002"/>
  </r>
  <r>
    <x v="116"/>
    <x v="6"/>
    <d v="2023-02-11T00:00:00"/>
    <n v="2023"/>
    <x v="0"/>
    <n v="2"/>
    <x v="9"/>
    <x v="2"/>
    <n v="646.4"/>
    <s v="Customer C1626"/>
    <x v="2"/>
    <x v="2"/>
    <n v="4"/>
    <n v="3878.4"/>
  </r>
  <r>
    <x v="117"/>
    <x v="0"/>
    <d v="2024-12-22T00:00:00"/>
    <n v="2024"/>
    <x v="3"/>
    <n v="12"/>
    <x v="7"/>
    <x v="6"/>
    <n v="247.21"/>
    <s v="Customer C1631"/>
    <x v="1"/>
    <x v="3"/>
    <n v="2"/>
    <n v="1730.47"/>
  </r>
  <r>
    <x v="118"/>
    <x v="3"/>
    <d v="2025-04-10T00:00:00"/>
    <n v="2025"/>
    <x v="1"/>
    <n v="4"/>
    <x v="5"/>
    <x v="0"/>
    <n v="714.63"/>
    <s v="Customer C1634"/>
    <x v="2"/>
    <x v="3"/>
    <n v="5"/>
    <n v="5717.04"/>
  </r>
  <r>
    <x v="119"/>
    <x v="3"/>
    <d v="2023-06-09T00:00:00"/>
    <n v="2023"/>
    <x v="1"/>
    <n v="6"/>
    <x v="2"/>
    <x v="0"/>
    <n v="677.68"/>
    <s v="Customer C1645"/>
    <x v="0"/>
    <x v="2"/>
    <n v="2"/>
    <n v="5421.44"/>
  </r>
  <r>
    <x v="120"/>
    <x v="0"/>
    <d v="2023-04-27T00:00:00"/>
    <n v="2023"/>
    <x v="1"/>
    <n v="4"/>
    <x v="5"/>
    <x v="1"/>
    <n v="611.55999999999995"/>
    <s v="Customer C1652"/>
    <x v="2"/>
    <x v="2"/>
    <n v="2"/>
    <n v="1834.68"/>
  </r>
  <r>
    <x v="121"/>
    <x v="1"/>
    <d v="2023-10-15T00:00:00"/>
    <n v="2023"/>
    <x v="3"/>
    <n v="10"/>
    <x v="4"/>
    <x v="0"/>
    <n v="383.65"/>
    <s v="Customer C1657"/>
    <x v="1"/>
    <x v="1"/>
    <n v="3"/>
    <n v="3069.2"/>
  </r>
  <r>
    <x v="122"/>
    <x v="3"/>
    <d v="2025-02-01T00:00:00"/>
    <n v="2025"/>
    <x v="0"/>
    <n v="2"/>
    <x v="9"/>
    <x v="3"/>
    <n v="575.52"/>
    <s v="Customer C1661"/>
    <x v="1"/>
    <x v="3"/>
    <n v="1"/>
    <n v="2877.6"/>
  </r>
  <r>
    <x v="122"/>
    <x v="6"/>
    <d v="2023-12-29T00:00:00"/>
    <n v="2023"/>
    <x v="3"/>
    <n v="12"/>
    <x v="7"/>
    <x v="4"/>
    <n v="157.44999999999999"/>
    <s v="Customer C1661"/>
    <x v="2"/>
    <x v="2"/>
    <n v="2"/>
    <n v="157.44999999999999"/>
  </r>
  <r>
    <x v="123"/>
    <x v="0"/>
    <d v="2024-05-04T00:00:00"/>
    <n v="2024"/>
    <x v="1"/>
    <n v="5"/>
    <x v="1"/>
    <x v="1"/>
    <n v="503.73"/>
    <s v="Customer C1667"/>
    <x v="2"/>
    <x v="4"/>
    <n v="2"/>
    <n v="1511.19"/>
  </r>
  <r>
    <x v="124"/>
    <x v="6"/>
    <d v="2023-03-28T00:00:00"/>
    <n v="2023"/>
    <x v="0"/>
    <n v="3"/>
    <x v="10"/>
    <x v="5"/>
    <n v="332.97"/>
    <s v="Customer C1671"/>
    <x v="1"/>
    <x v="3"/>
    <n v="2"/>
    <n v="665.94"/>
  </r>
  <r>
    <x v="125"/>
    <x v="2"/>
    <d v="2023-12-22T00:00:00"/>
    <n v="2023"/>
    <x v="3"/>
    <n v="12"/>
    <x v="7"/>
    <x v="6"/>
    <n v="655.23"/>
    <s v="Customer C1675"/>
    <x v="0"/>
    <x v="3"/>
    <n v="2"/>
    <n v="4586.6099999999997"/>
  </r>
  <r>
    <x v="126"/>
    <x v="3"/>
    <d v="2023-10-22T00:00:00"/>
    <n v="2023"/>
    <x v="3"/>
    <n v="10"/>
    <x v="4"/>
    <x v="4"/>
    <n v="626.98"/>
    <s v="Customer C1683"/>
    <x v="0"/>
    <x v="1"/>
    <n v="3"/>
    <n v="626.98"/>
  </r>
  <r>
    <x v="127"/>
    <x v="5"/>
    <d v="2023-12-02T00:00:00"/>
    <n v="2023"/>
    <x v="3"/>
    <n v="12"/>
    <x v="7"/>
    <x v="6"/>
    <n v="523.87"/>
    <s v="Customer C1688"/>
    <x v="2"/>
    <x v="4"/>
    <n v="5"/>
    <n v="3667.09"/>
  </r>
  <r>
    <x v="127"/>
    <x v="3"/>
    <d v="2023-05-06T00:00:00"/>
    <n v="2023"/>
    <x v="1"/>
    <n v="5"/>
    <x v="1"/>
    <x v="3"/>
    <n v="726.07"/>
    <s v="Customer C1688"/>
    <x v="0"/>
    <x v="1"/>
    <n v="2"/>
    <n v="3630.35"/>
  </r>
  <r>
    <x v="128"/>
    <x v="5"/>
    <d v="2025-06-17T00:00:00"/>
    <n v="2025"/>
    <x v="1"/>
    <n v="6"/>
    <x v="2"/>
    <x v="2"/>
    <n v="250.37"/>
    <s v="Customer C1690"/>
    <x v="0"/>
    <x v="2"/>
    <n v="5"/>
    <n v="1502.22"/>
  </r>
  <r>
    <x v="129"/>
    <x v="2"/>
    <d v="2025-01-12T00:00:00"/>
    <n v="2025"/>
    <x v="0"/>
    <n v="1"/>
    <x v="0"/>
    <x v="0"/>
    <n v="675.81"/>
    <s v="Customer C1694"/>
    <x v="0"/>
    <x v="3"/>
    <n v="2"/>
    <n v="5406.48"/>
  </r>
  <r>
    <x v="130"/>
    <x v="6"/>
    <d v="2023-10-23T00:00:00"/>
    <n v="2023"/>
    <x v="3"/>
    <n v="10"/>
    <x v="4"/>
    <x v="2"/>
    <n v="289.86"/>
    <s v="Customer C1699"/>
    <x v="0"/>
    <x v="4"/>
    <n v="4"/>
    <n v="1739.16"/>
  </r>
  <r>
    <x v="131"/>
    <x v="5"/>
    <d v="2023-08-24T00:00:00"/>
    <n v="2023"/>
    <x v="2"/>
    <n v="8"/>
    <x v="6"/>
    <x v="0"/>
    <n v="113.31"/>
    <s v="Customer C1706"/>
    <x v="1"/>
    <x v="1"/>
    <n v="5"/>
    <n v="906.48"/>
  </r>
  <r>
    <x v="132"/>
    <x v="1"/>
    <d v="2023-11-15T00:00:00"/>
    <n v="2023"/>
    <x v="3"/>
    <n v="11"/>
    <x v="8"/>
    <x v="1"/>
    <n v="242.71"/>
    <s v="Customer C1708"/>
    <x v="1"/>
    <x v="2"/>
    <n v="5"/>
    <n v="728.13"/>
  </r>
  <r>
    <x v="133"/>
    <x v="1"/>
    <d v="2023-06-26T00:00:00"/>
    <n v="2023"/>
    <x v="1"/>
    <n v="6"/>
    <x v="2"/>
    <x v="6"/>
    <n v="367.19"/>
    <s v="Customer C1717"/>
    <x v="2"/>
    <x v="0"/>
    <n v="4"/>
    <n v="2570.33"/>
  </r>
  <r>
    <x v="134"/>
    <x v="2"/>
    <d v="2023-02-28T00:00:00"/>
    <n v="2023"/>
    <x v="0"/>
    <n v="2"/>
    <x v="9"/>
    <x v="0"/>
    <n v="110.05"/>
    <s v="Customer C1728"/>
    <x v="2"/>
    <x v="1"/>
    <n v="1"/>
    <n v="880.4"/>
  </r>
  <r>
    <x v="135"/>
    <x v="5"/>
    <d v="2025-06-20T00:00:00"/>
    <n v="2025"/>
    <x v="1"/>
    <n v="6"/>
    <x v="2"/>
    <x v="7"/>
    <n v="219.75"/>
    <s v="Customer C1736"/>
    <x v="0"/>
    <x v="0"/>
    <n v="3"/>
    <n v="879"/>
  </r>
  <r>
    <x v="136"/>
    <x v="5"/>
    <d v="2024-12-30T00:00:00"/>
    <n v="2024"/>
    <x v="3"/>
    <n v="12"/>
    <x v="7"/>
    <x v="6"/>
    <n v="188.89"/>
    <s v="Customer C1742"/>
    <x v="2"/>
    <x v="0"/>
    <n v="3"/>
    <n v="1322.23"/>
  </r>
  <r>
    <x v="137"/>
    <x v="1"/>
    <d v="2023-02-12T00:00:00"/>
    <n v="2023"/>
    <x v="0"/>
    <n v="2"/>
    <x v="9"/>
    <x v="7"/>
    <n v="213.16"/>
    <s v="Customer C1754"/>
    <x v="2"/>
    <x v="2"/>
    <n v="2"/>
    <n v="852.64"/>
  </r>
  <r>
    <x v="138"/>
    <x v="4"/>
    <d v="2025-01-02T00:00:00"/>
    <n v="2025"/>
    <x v="0"/>
    <n v="1"/>
    <x v="0"/>
    <x v="6"/>
    <n v="387.04"/>
    <s v="Customer C1757"/>
    <x v="1"/>
    <x v="0"/>
    <n v="2"/>
    <n v="2709.28"/>
  </r>
  <r>
    <x v="139"/>
    <x v="0"/>
    <d v="2023-05-26T00:00:00"/>
    <n v="2023"/>
    <x v="1"/>
    <n v="5"/>
    <x v="1"/>
    <x v="2"/>
    <n v="171.16"/>
    <s v="Customer C1763"/>
    <x v="2"/>
    <x v="4"/>
    <n v="5"/>
    <n v="1026.96"/>
  </r>
  <r>
    <x v="140"/>
    <x v="2"/>
    <d v="2024-12-18T00:00:00"/>
    <n v="2024"/>
    <x v="3"/>
    <n v="12"/>
    <x v="7"/>
    <x v="1"/>
    <n v="549.78"/>
    <s v="Customer C1765"/>
    <x v="0"/>
    <x v="1"/>
    <n v="3"/>
    <n v="1649.34"/>
  </r>
  <r>
    <x v="141"/>
    <x v="5"/>
    <d v="2025-02-16T00:00:00"/>
    <n v="2025"/>
    <x v="0"/>
    <n v="2"/>
    <x v="9"/>
    <x v="6"/>
    <n v="227.84"/>
    <s v="Customer C1770"/>
    <x v="2"/>
    <x v="0"/>
    <n v="4"/>
    <n v="1594.88"/>
  </r>
  <r>
    <x v="142"/>
    <x v="5"/>
    <d v="2025-01-19T00:00:00"/>
    <n v="2025"/>
    <x v="0"/>
    <n v="1"/>
    <x v="0"/>
    <x v="6"/>
    <n v="445.37"/>
    <s v="Customer C1772"/>
    <x v="1"/>
    <x v="4"/>
    <n v="5"/>
    <n v="3117.59"/>
  </r>
  <r>
    <x v="143"/>
    <x v="2"/>
    <d v="2025-04-14T00:00:00"/>
    <n v="2025"/>
    <x v="1"/>
    <n v="4"/>
    <x v="5"/>
    <x v="1"/>
    <n v="25.9"/>
    <s v="Customer C1785"/>
    <x v="2"/>
    <x v="4"/>
    <n v="5"/>
    <n v="77.7"/>
  </r>
  <r>
    <x v="144"/>
    <x v="5"/>
    <d v="2025-05-04T00:00:00"/>
    <n v="2025"/>
    <x v="1"/>
    <n v="5"/>
    <x v="1"/>
    <x v="4"/>
    <n v="572.53"/>
    <s v="Customer C1786"/>
    <x v="0"/>
    <x v="3"/>
    <n v="1"/>
    <n v="572.53"/>
  </r>
  <r>
    <x v="145"/>
    <x v="0"/>
    <d v="2023-03-19T00:00:00"/>
    <n v="2023"/>
    <x v="0"/>
    <n v="3"/>
    <x v="10"/>
    <x v="0"/>
    <n v="193.52"/>
    <s v="Customer C1813"/>
    <x v="2"/>
    <x v="0"/>
    <n v="4"/>
    <n v="1548.16"/>
  </r>
  <r>
    <x v="146"/>
    <x v="4"/>
    <d v="2023-12-02T00:00:00"/>
    <n v="2023"/>
    <x v="3"/>
    <n v="12"/>
    <x v="7"/>
    <x v="5"/>
    <n v="113.13"/>
    <s v="Customer C1814"/>
    <x v="1"/>
    <x v="0"/>
    <n v="3"/>
    <n v="226.26"/>
  </r>
  <r>
    <x v="147"/>
    <x v="6"/>
    <d v="2023-11-06T00:00:00"/>
    <n v="2023"/>
    <x v="3"/>
    <n v="11"/>
    <x v="8"/>
    <x v="7"/>
    <n v="674.33"/>
    <s v="Customer C1819"/>
    <x v="0"/>
    <x v="3"/>
    <n v="3"/>
    <n v="2697.32"/>
  </r>
  <r>
    <x v="148"/>
    <x v="1"/>
    <d v="2023-10-25T00:00:00"/>
    <n v="2023"/>
    <x v="3"/>
    <n v="10"/>
    <x v="4"/>
    <x v="7"/>
    <n v="449.17"/>
    <s v="Customer C1822"/>
    <x v="1"/>
    <x v="0"/>
    <n v="2"/>
    <n v="1796.68"/>
  </r>
  <r>
    <x v="149"/>
    <x v="1"/>
    <d v="2024-05-09T00:00:00"/>
    <n v="2024"/>
    <x v="1"/>
    <n v="5"/>
    <x v="1"/>
    <x v="7"/>
    <n v="402.58"/>
    <s v="Customer C1828"/>
    <x v="1"/>
    <x v="0"/>
    <n v="3"/>
    <n v="1610.32"/>
  </r>
  <r>
    <x v="150"/>
    <x v="6"/>
    <d v="2023-03-16T00:00:00"/>
    <n v="2023"/>
    <x v="0"/>
    <n v="3"/>
    <x v="10"/>
    <x v="5"/>
    <n v="327.63"/>
    <s v="Customer C1835"/>
    <x v="1"/>
    <x v="4"/>
    <n v="3"/>
    <n v="655.26"/>
  </r>
  <r>
    <x v="151"/>
    <x v="2"/>
    <d v="2023-01-01T00:00:00"/>
    <n v="2023"/>
    <x v="0"/>
    <n v="1"/>
    <x v="0"/>
    <x v="1"/>
    <n v="366.1"/>
    <s v="Customer C1837"/>
    <x v="0"/>
    <x v="4"/>
    <n v="2"/>
    <n v="1098.3"/>
  </r>
  <r>
    <x v="152"/>
    <x v="6"/>
    <d v="2023-03-18T00:00:00"/>
    <n v="2023"/>
    <x v="0"/>
    <n v="3"/>
    <x v="10"/>
    <x v="6"/>
    <n v="253.64"/>
    <s v="Customer C1840"/>
    <x v="0"/>
    <x v="1"/>
    <n v="1"/>
    <n v="1775.48"/>
  </r>
  <r>
    <x v="153"/>
    <x v="6"/>
    <d v="2025-02-09T00:00:00"/>
    <n v="2025"/>
    <x v="0"/>
    <n v="2"/>
    <x v="9"/>
    <x v="0"/>
    <n v="53.9"/>
    <s v="Customer C1844"/>
    <x v="0"/>
    <x v="3"/>
    <n v="4"/>
    <n v="431.2"/>
  </r>
  <r>
    <x v="154"/>
    <x v="5"/>
    <d v="2023-08-12T00:00:00"/>
    <n v="2023"/>
    <x v="2"/>
    <n v="8"/>
    <x v="6"/>
    <x v="5"/>
    <n v="226.03"/>
    <s v="Customer C1854"/>
    <x v="1"/>
    <x v="0"/>
    <n v="5"/>
    <n v="452.06"/>
  </r>
  <r>
    <x v="154"/>
    <x v="6"/>
    <d v="2025-02-05T00:00:00"/>
    <n v="2025"/>
    <x v="0"/>
    <n v="2"/>
    <x v="9"/>
    <x v="6"/>
    <n v="751.2"/>
    <s v="Customer C1854"/>
    <x v="0"/>
    <x v="0"/>
    <n v="5"/>
    <n v="5258.4"/>
  </r>
  <r>
    <x v="155"/>
    <x v="0"/>
    <d v="2024-04-21T00:00:00"/>
    <n v="2024"/>
    <x v="1"/>
    <n v="4"/>
    <x v="5"/>
    <x v="2"/>
    <n v="625.48"/>
    <s v="Customer C1857"/>
    <x v="1"/>
    <x v="4"/>
    <n v="1"/>
    <n v="3752.88"/>
  </r>
  <r>
    <x v="156"/>
    <x v="5"/>
    <d v="2023-05-13T00:00:00"/>
    <n v="2023"/>
    <x v="1"/>
    <n v="5"/>
    <x v="1"/>
    <x v="7"/>
    <n v="651.67999999999995"/>
    <s v="Customer C1862"/>
    <x v="1"/>
    <x v="3"/>
    <n v="2"/>
    <n v="2606.7199999999998"/>
  </r>
  <r>
    <x v="157"/>
    <x v="2"/>
    <d v="2024-08-17T00:00:00"/>
    <n v="2024"/>
    <x v="2"/>
    <n v="8"/>
    <x v="6"/>
    <x v="2"/>
    <n v="223.32"/>
    <s v="Customer C1873"/>
    <x v="0"/>
    <x v="0"/>
    <n v="2"/>
    <n v="1339.92"/>
  </r>
  <r>
    <x v="158"/>
    <x v="6"/>
    <d v="2023-11-23T00:00:00"/>
    <n v="2023"/>
    <x v="3"/>
    <n v="11"/>
    <x v="8"/>
    <x v="2"/>
    <n v="101.6"/>
    <s v="Customer C1882"/>
    <x v="0"/>
    <x v="0"/>
    <n v="5"/>
    <n v="609.6"/>
  </r>
  <r>
    <x v="159"/>
    <x v="3"/>
    <d v="2025-05-29T00:00:00"/>
    <n v="2025"/>
    <x v="1"/>
    <n v="5"/>
    <x v="1"/>
    <x v="4"/>
    <n v="83.94"/>
    <s v="Customer C1885"/>
    <x v="0"/>
    <x v="2"/>
    <n v="5"/>
    <n v="83.94"/>
  </r>
  <r>
    <x v="160"/>
    <x v="6"/>
    <d v="2025-06-29T00:00:00"/>
    <n v="2025"/>
    <x v="1"/>
    <n v="6"/>
    <x v="2"/>
    <x v="0"/>
    <n v="387.55"/>
    <s v="Customer C1886"/>
    <x v="2"/>
    <x v="2"/>
    <n v="1"/>
    <n v="3100.4"/>
  </r>
  <r>
    <x v="161"/>
    <x v="5"/>
    <d v="2023-12-17T00:00:00"/>
    <n v="2023"/>
    <x v="3"/>
    <n v="12"/>
    <x v="7"/>
    <x v="0"/>
    <n v="600.54999999999995"/>
    <s v="Customer C1887"/>
    <x v="1"/>
    <x v="0"/>
    <n v="4"/>
    <n v="4804.3999999999996"/>
  </r>
  <r>
    <x v="162"/>
    <x v="3"/>
    <d v="2023-07-29T00:00:00"/>
    <n v="2023"/>
    <x v="2"/>
    <n v="7"/>
    <x v="3"/>
    <x v="2"/>
    <n v="412.16"/>
    <s v="Customer C1889"/>
    <x v="2"/>
    <x v="2"/>
    <n v="3"/>
    <n v="2472.96"/>
  </r>
  <r>
    <x v="163"/>
    <x v="3"/>
    <d v="2023-05-11T00:00:00"/>
    <n v="2023"/>
    <x v="1"/>
    <n v="5"/>
    <x v="1"/>
    <x v="2"/>
    <n v="769.43"/>
    <s v="Customer C1895"/>
    <x v="0"/>
    <x v="3"/>
    <n v="2"/>
    <n v="4616.58"/>
  </r>
  <r>
    <x v="163"/>
    <x v="6"/>
    <d v="2023-06-25T00:00:00"/>
    <n v="2023"/>
    <x v="1"/>
    <n v="6"/>
    <x v="2"/>
    <x v="6"/>
    <n v="440.79"/>
    <s v="Customer C1895"/>
    <x v="1"/>
    <x v="1"/>
    <n v="5"/>
    <n v="3085.53"/>
  </r>
  <r>
    <x v="164"/>
    <x v="0"/>
    <d v="2023-01-20T00:00:00"/>
    <n v="2023"/>
    <x v="0"/>
    <n v="1"/>
    <x v="0"/>
    <x v="7"/>
    <n v="189.94"/>
    <s v="Customer C1898"/>
    <x v="0"/>
    <x v="3"/>
    <n v="1"/>
    <n v="759.76"/>
  </r>
  <r>
    <x v="165"/>
    <x v="2"/>
    <d v="2023-11-05T00:00:00"/>
    <n v="2023"/>
    <x v="3"/>
    <n v="11"/>
    <x v="8"/>
    <x v="4"/>
    <n v="475.81"/>
    <s v="Customer C1909"/>
    <x v="1"/>
    <x v="0"/>
    <n v="3"/>
    <n v="475.81"/>
  </r>
  <r>
    <x v="165"/>
    <x v="5"/>
    <d v="2023-03-12T00:00:00"/>
    <n v="2023"/>
    <x v="0"/>
    <n v="3"/>
    <x v="10"/>
    <x v="6"/>
    <n v="197.08"/>
    <s v="Customer C1909"/>
    <x v="2"/>
    <x v="0"/>
    <n v="4"/>
    <n v="1379.56"/>
  </r>
  <r>
    <x v="166"/>
    <x v="6"/>
    <d v="2023-06-04T00:00:00"/>
    <n v="2023"/>
    <x v="1"/>
    <n v="6"/>
    <x v="2"/>
    <x v="3"/>
    <n v="434.71"/>
    <s v="Customer C1927"/>
    <x v="0"/>
    <x v="3"/>
    <n v="5"/>
    <n v="2173.5500000000002"/>
  </r>
  <r>
    <x v="167"/>
    <x v="0"/>
    <d v="2024-12-20T00:00:00"/>
    <n v="2024"/>
    <x v="3"/>
    <n v="12"/>
    <x v="7"/>
    <x v="1"/>
    <n v="159.38"/>
    <s v="Customer C1936"/>
    <x v="1"/>
    <x v="3"/>
    <n v="5"/>
    <n v="478.14"/>
  </r>
  <r>
    <x v="168"/>
    <x v="2"/>
    <d v="2025-06-30T00:00:00"/>
    <n v="2025"/>
    <x v="1"/>
    <n v="6"/>
    <x v="2"/>
    <x v="1"/>
    <n v="141.28"/>
    <s v="Customer C1946"/>
    <x v="2"/>
    <x v="3"/>
    <n v="5"/>
    <n v="423.84"/>
  </r>
  <r>
    <x v="169"/>
    <x v="5"/>
    <d v="2024-08-26T00:00:00"/>
    <n v="2024"/>
    <x v="2"/>
    <n v="8"/>
    <x v="6"/>
    <x v="0"/>
    <n v="347.15"/>
    <s v="Customer C1949"/>
    <x v="2"/>
    <x v="0"/>
    <n v="5"/>
    <n v="2777.2"/>
  </r>
  <r>
    <x v="170"/>
    <x v="5"/>
    <d v="2023-12-18T00:00:00"/>
    <n v="2023"/>
    <x v="3"/>
    <n v="12"/>
    <x v="7"/>
    <x v="2"/>
    <n v="296.52999999999997"/>
    <s v="Customer C1956"/>
    <x v="2"/>
    <x v="3"/>
    <n v="3"/>
    <n v="1779.18"/>
  </r>
  <r>
    <x v="171"/>
    <x v="2"/>
    <d v="2023-11-13T00:00:00"/>
    <n v="2023"/>
    <x v="3"/>
    <n v="11"/>
    <x v="8"/>
    <x v="2"/>
    <n v="660.84"/>
    <s v="Customer C1957"/>
    <x v="0"/>
    <x v="4"/>
    <n v="3"/>
    <n v="3965.04"/>
  </r>
  <r>
    <x v="172"/>
    <x v="1"/>
    <d v="2023-07-24T00:00:00"/>
    <n v="2023"/>
    <x v="2"/>
    <n v="7"/>
    <x v="3"/>
    <x v="4"/>
    <n v="717.94"/>
    <s v="Customer C1972"/>
    <x v="2"/>
    <x v="4"/>
    <n v="1"/>
    <n v="717.94"/>
  </r>
  <r>
    <x v="173"/>
    <x v="6"/>
    <d v="2024-03-17T00:00:00"/>
    <n v="2024"/>
    <x v="0"/>
    <n v="3"/>
    <x v="10"/>
    <x v="0"/>
    <n v="457.43"/>
    <s v="Customer C1978"/>
    <x v="1"/>
    <x v="1"/>
    <n v="5"/>
    <n v="3659.44"/>
  </r>
  <r>
    <x v="174"/>
    <x v="1"/>
    <d v="2023-11-17T00:00:00"/>
    <n v="2023"/>
    <x v="3"/>
    <n v="11"/>
    <x v="8"/>
    <x v="4"/>
    <n v="729.26"/>
    <s v="Customer C1982"/>
    <x v="0"/>
    <x v="4"/>
    <n v="4"/>
    <n v="729.26"/>
  </r>
  <r>
    <x v="175"/>
    <x v="0"/>
    <d v="2025-02-02T00:00:00"/>
    <n v="2025"/>
    <x v="0"/>
    <n v="2"/>
    <x v="9"/>
    <x v="1"/>
    <n v="142.91"/>
    <s v="Customer C1984"/>
    <x v="2"/>
    <x v="3"/>
    <n v="2"/>
    <n v="428.73"/>
  </r>
  <r>
    <x v="176"/>
    <x v="1"/>
    <d v="2023-12-27T00:00:00"/>
    <n v="2023"/>
    <x v="3"/>
    <n v="12"/>
    <x v="7"/>
    <x v="7"/>
    <n v="384.27"/>
    <s v="Customer C1988"/>
    <x v="0"/>
    <x v="2"/>
    <n v="1"/>
    <n v="1537.08"/>
  </r>
  <r>
    <x v="177"/>
    <x v="0"/>
    <d v="2025-01-03T00:00:00"/>
    <n v="2025"/>
    <x v="0"/>
    <n v="1"/>
    <x v="0"/>
    <x v="4"/>
    <n v="320.24"/>
    <s v="Customer C1989"/>
    <x v="0"/>
    <x v="1"/>
    <n v="1"/>
    <n v="320.24"/>
  </r>
  <r>
    <x v="178"/>
    <x v="6"/>
    <d v="2023-01-21T00:00:00"/>
    <n v="2023"/>
    <x v="0"/>
    <n v="1"/>
    <x v="0"/>
    <x v="0"/>
    <n v="564.16"/>
    <s v="Customer C1999"/>
    <x v="2"/>
    <x v="3"/>
    <n v="1"/>
    <n v="4513.28"/>
  </r>
  <r>
    <x v="179"/>
    <x v="4"/>
    <d v="2023-09-11T00:00:00"/>
    <n v="2023"/>
    <x v="2"/>
    <n v="9"/>
    <x v="11"/>
    <x v="6"/>
    <n v="693.17"/>
    <s v="Customer C2008"/>
    <x v="2"/>
    <x v="1"/>
    <n v="5"/>
    <n v="4852.1899999999996"/>
  </r>
  <r>
    <x v="180"/>
    <x v="3"/>
    <d v="2025-06-06T00:00:00"/>
    <n v="2025"/>
    <x v="1"/>
    <n v="6"/>
    <x v="2"/>
    <x v="4"/>
    <n v="580.53"/>
    <s v="Customer C2011"/>
    <x v="1"/>
    <x v="2"/>
    <n v="2"/>
    <n v="580.53"/>
  </r>
  <r>
    <x v="180"/>
    <x v="6"/>
    <d v="2025-01-19T00:00:00"/>
    <n v="2025"/>
    <x v="0"/>
    <n v="1"/>
    <x v="0"/>
    <x v="1"/>
    <n v="75.62"/>
    <s v="Customer C2011"/>
    <x v="2"/>
    <x v="0"/>
    <n v="4"/>
    <n v="226.86"/>
  </r>
  <r>
    <x v="181"/>
    <x v="3"/>
    <d v="2023-05-05T00:00:00"/>
    <n v="2023"/>
    <x v="1"/>
    <n v="5"/>
    <x v="1"/>
    <x v="2"/>
    <n v="541.99"/>
    <s v="Customer C2013"/>
    <x v="1"/>
    <x v="4"/>
    <n v="4"/>
    <n v="3251.94"/>
  </r>
  <r>
    <x v="182"/>
    <x v="4"/>
    <d v="2023-10-15T00:00:00"/>
    <n v="2023"/>
    <x v="3"/>
    <n v="10"/>
    <x v="4"/>
    <x v="6"/>
    <n v="692.66"/>
    <s v="Customer C2018"/>
    <x v="0"/>
    <x v="4"/>
    <n v="5"/>
    <n v="4848.62"/>
  </r>
  <r>
    <x v="183"/>
    <x v="0"/>
    <d v="2023-11-11T00:00:00"/>
    <n v="2023"/>
    <x v="3"/>
    <n v="11"/>
    <x v="8"/>
    <x v="2"/>
    <n v="313.62"/>
    <s v="Customer C2023"/>
    <x v="2"/>
    <x v="4"/>
    <n v="4"/>
    <n v="1881.72"/>
  </r>
  <r>
    <x v="184"/>
    <x v="2"/>
    <d v="2024-06-07T00:00:00"/>
    <n v="2024"/>
    <x v="1"/>
    <n v="6"/>
    <x v="2"/>
    <x v="5"/>
    <n v="143.87"/>
    <s v="Customer C2026"/>
    <x v="1"/>
    <x v="1"/>
    <n v="1"/>
    <n v="287.74"/>
  </r>
  <r>
    <x v="185"/>
    <x v="2"/>
    <d v="2023-01-01T00:00:00"/>
    <n v="2023"/>
    <x v="0"/>
    <n v="1"/>
    <x v="0"/>
    <x v="3"/>
    <n v="336.17"/>
    <s v="Customer C2029"/>
    <x v="2"/>
    <x v="1"/>
    <n v="1"/>
    <n v="1680.85"/>
  </r>
  <r>
    <x v="186"/>
    <x v="4"/>
    <d v="2024-06-05T00:00:00"/>
    <n v="2024"/>
    <x v="1"/>
    <n v="6"/>
    <x v="2"/>
    <x v="7"/>
    <n v="170.91"/>
    <s v="Customer C2037"/>
    <x v="1"/>
    <x v="4"/>
    <n v="2"/>
    <n v="683.64"/>
  </r>
  <r>
    <x v="187"/>
    <x v="6"/>
    <d v="2025-01-12T00:00:00"/>
    <n v="2025"/>
    <x v="0"/>
    <n v="1"/>
    <x v="0"/>
    <x v="6"/>
    <n v="742.81"/>
    <s v="Customer C2039"/>
    <x v="1"/>
    <x v="1"/>
    <n v="2"/>
    <n v="5199.67"/>
  </r>
  <r>
    <x v="188"/>
    <x v="6"/>
    <d v="2024-08-08T00:00:00"/>
    <n v="2024"/>
    <x v="2"/>
    <n v="8"/>
    <x v="6"/>
    <x v="5"/>
    <n v="320.49"/>
    <s v="Customer C2043"/>
    <x v="0"/>
    <x v="0"/>
    <n v="3"/>
    <n v="640.98"/>
  </r>
  <r>
    <x v="189"/>
    <x v="1"/>
    <d v="2023-09-12T00:00:00"/>
    <n v="2023"/>
    <x v="2"/>
    <n v="9"/>
    <x v="11"/>
    <x v="1"/>
    <n v="688.48"/>
    <s v="Customer C2057"/>
    <x v="2"/>
    <x v="1"/>
    <n v="1"/>
    <n v="2065.44"/>
  </r>
  <r>
    <x v="190"/>
    <x v="1"/>
    <d v="2023-08-14T00:00:00"/>
    <n v="2023"/>
    <x v="2"/>
    <n v="8"/>
    <x v="6"/>
    <x v="0"/>
    <n v="223.96"/>
    <s v="Customer C2062"/>
    <x v="2"/>
    <x v="2"/>
    <n v="4"/>
    <n v="1791.68"/>
  </r>
  <r>
    <x v="191"/>
    <x v="2"/>
    <d v="2023-08-02T00:00:00"/>
    <n v="2023"/>
    <x v="2"/>
    <n v="8"/>
    <x v="6"/>
    <x v="5"/>
    <n v="183.53"/>
    <s v="Customer C2063"/>
    <x v="0"/>
    <x v="0"/>
    <n v="5"/>
    <n v="367.06"/>
  </r>
  <r>
    <x v="191"/>
    <x v="3"/>
    <d v="2024-08-16T00:00:00"/>
    <n v="2024"/>
    <x v="2"/>
    <n v="8"/>
    <x v="6"/>
    <x v="7"/>
    <n v="234.89"/>
    <s v="Customer C2063"/>
    <x v="0"/>
    <x v="0"/>
    <n v="1"/>
    <n v="939.56"/>
  </r>
  <r>
    <x v="192"/>
    <x v="0"/>
    <d v="2024-06-30T00:00:00"/>
    <n v="2024"/>
    <x v="1"/>
    <n v="6"/>
    <x v="2"/>
    <x v="5"/>
    <n v="272.08"/>
    <s v="Customer C2073"/>
    <x v="1"/>
    <x v="1"/>
    <n v="3"/>
    <n v="544.16"/>
  </r>
  <r>
    <x v="193"/>
    <x v="3"/>
    <d v="2024-01-12T00:00:00"/>
    <n v="2024"/>
    <x v="0"/>
    <n v="1"/>
    <x v="0"/>
    <x v="7"/>
    <n v="245.19"/>
    <s v="Customer C2077"/>
    <x v="1"/>
    <x v="4"/>
    <n v="4"/>
    <n v="980.76"/>
  </r>
  <r>
    <x v="194"/>
    <x v="2"/>
    <d v="2024-07-01T00:00:00"/>
    <n v="2024"/>
    <x v="2"/>
    <n v="7"/>
    <x v="3"/>
    <x v="7"/>
    <n v="698.9"/>
    <s v="Customer C2081"/>
    <x v="2"/>
    <x v="1"/>
    <n v="4"/>
    <n v="2795.6"/>
  </r>
  <r>
    <x v="195"/>
    <x v="3"/>
    <d v="2024-08-14T00:00:00"/>
    <n v="2024"/>
    <x v="2"/>
    <n v="8"/>
    <x v="6"/>
    <x v="3"/>
    <n v="388.14"/>
    <s v="Customer C2089"/>
    <x v="2"/>
    <x v="4"/>
    <n v="2"/>
    <n v="1940.7"/>
  </r>
  <r>
    <x v="196"/>
    <x v="5"/>
    <d v="2024-03-23T00:00:00"/>
    <n v="2024"/>
    <x v="0"/>
    <n v="3"/>
    <x v="10"/>
    <x v="5"/>
    <n v="352.65"/>
    <s v="Customer C2090"/>
    <x v="2"/>
    <x v="3"/>
    <n v="2"/>
    <n v="705.3"/>
  </r>
  <r>
    <x v="197"/>
    <x v="6"/>
    <d v="2025-01-05T00:00:00"/>
    <n v="2025"/>
    <x v="0"/>
    <n v="1"/>
    <x v="0"/>
    <x v="1"/>
    <n v="55.83"/>
    <s v="Customer C2091"/>
    <x v="1"/>
    <x v="1"/>
    <n v="2"/>
    <n v="167.49"/>
  </r>
  <r>
    <x v="198"/>
    <x v="1"/>
    <d v="2023-12-01T00:00:00"/>
    <n v="2023"/>
    <x v="3"/>
    <n v="12"/>
    <x v="7"/>
    <x v="4"/>
    <n v="414.6"/>
    <s v="Customer C2095"/>
    <x v="2"/>
    <x v="2"/>
    <n v="1"/>
    <n v="414.6"/>
  </r>
  <r>
    <x v="199"/>
    <x v="4"/>
    <d v="2024-03-25T00:00:00"/>
    <n v="2024"/>
    <x v="0"/>
    <n v="3"/>
    <x v="10"/>
    <x v="2"/>
    <n v="168.05"/>
    <s v="Customer C2101"/>
    <x v="0"/>
    <x v="4"/>
    <n v="4"/>
    <n v="1008.3"/>
  </r>
  <r>
    <x v="200"/>
    <x v="2"/>
    <d v="2024-03-19T00:00:00"/>
    <n v="2024"/>
    <x v="0"/>
    <n v="3"/>
    <x v="10"/>
    <x v="4"/>
    <n v="237.2"/>
    <s v="Customer C2102"/>
    <x v="1"/>
    <x v="1"/>
    <n v="5"/>
    <n v="237.2"/>
  </r>
  <r>
    <x v="201"/>
    <x v="2"/>
    <d v="2023-02-16T00:00:00"/>
    <n v="2023"/>
    <x v="0"/>
    <n v="2"/>
    <x v="9"/>
    <x v="7"/>
    <n v="631.44000000000005"/>
    <s v="Customer C2105"/>
    <x v="1"/>
    <x v="4"/>
    <n v="1"/>
    <n v="2525.7600000000002"/>
  </r>
  <r>
    <x v="202"/>
    <x v="2"/>
    <d v="2024-07-22T00:00:00"/>
    <n v="2024"/>
    <x v="2"/>
    <n v="7"/>
    <x v="3"/>
    <x v="4"/>
    <n v="638.11"/>
    <s v="Customer C2109"/>
    <x v="1"/>
    <x v="0"/>
    <n v="1"/>
    <n v="638.11"/>
  </r>
  <r>
    <x v="203"/>
    <x v="1"/>
    <d v="2023-07-23T00:00:00"/>
    <n v="2023"/>
    <x v="2"/>
    <n v="7"/>
    <x v="3"/>
    <x v="2"/>
    <n v="383.87"/>
    <s v="Customer C2125"/>
    <x v="0"/>
    <x v="3"/>
    <n v="5"/>
    <n v="2303.2199999999998"/>
  </r>
  <r>
    <x v="204"/>
    <x v="5"/>
    <d v="2024-04-12T00:00:00"/>
    <n v="2024"/>
    <x v="1"/>
    <n v="4"/>
    <x v="5"/>
    <x v="1"/>
    <n v="444.27"/>
    <s v="Customer C2130"/>
    <x v="2"/>
    <x v="4"/>
    <n v="2"/>
    <n v="1332.81"/>
  </r>
  <r>
    <x v="205"/>
    <x v="6"/>
    <d v="2024-01-01T00:00:00"/>
    <n v="2024"/>
    <x v="0"/>
    <n v="1"/>
    <x v="0"/>
    <x v="2"/>
    <n v="577.75"/>
    <s v="Customer C2137"/>
    <x v="2"/>
    <x v="3"/>
    <n v="1"/>
    <n v="3466.5"/>
  </r>
  <r>
    <x v="206"/>
    <x v="5"/>
    <d v="2024-10-31T00:00:00"/>
    <n v="2024"/>
    <x v="3"/>
    <n v="10"/>
    <x v="4"/>
    <x v="6"/>
    <n v="653.64"/>
    <s v="Customer C2143"/>
    <x v="1"/>
    <x v="0"/>
    <n v="5"/>
    <n v="4575.4799999999996"/>
  </r>
  <r>
    <x v="207"/>
    <x v="1"/>
    <d v="2023-02-24T00:00:00"/>
    <n v="2023"/>
    <x v="0"/>
    <n v="2"/>
    <x v="9"/>
    <x v="3"/>
    <n v="112"/>
    <s v="Customer C2148"/>
    <x v="0"/>
    <x v="4"/>
    <n v="1"/>
    <n v="560"/>
  </r>
  <r>
    <x v="208"/>
    <x v="3"/>
    <d v="2023-10-08T00:00:00"/>
    <n v="2023"/>
    <x v="3"/>
    <n v="10"/>
    <x v="4"/>
    <x v="1"/>
    <n v="179.24"/>
    <s v="Customer C2155"/>
    <x v="1"/>
    <x v="0"/>
    <n v="2"/>
    <n v="537.72"/>
  </r>
  <r>
    <x v="208"/>
    <x v="3"/>
    <d v="2023-02-20T00:00:00"/>
    <n v="2023"/>
    <x v="0"/>
    <n v="2"/>
    <x v="9"/>
    <x v="5"/>
    <n v="697.82"/>
    <s v="Customer C2155"/>
    <x v="1"/>
    <x v="4"/>
    <n v="4"/>
    <n v="1395.64"/>
  </r>
  <r>
    <x v="209"/>
    <x v="0"/>
    <d v="2024-08-04T00:00:00"/>
    <n v="2024"/>
    <x v="2"/>
    <n v="8"/>
    <x v="6"/>
    <x v="6"/>
    <n v="287.95"/>
    <s v="Customer C2161"/>
    <x v="2"/>
    <x v="1"/>
    <n v="5"/>
    <n v="2015.65"/>
  </r>
  <r>
    <x v="210"/>
    <x v="2"/>
    <d v="2023-04-07T00:00:00"/>
    <n v="2023"/>
    <x v="1"/>
    <n v="4"/>
    <x v="5"/>
    <x v="6"/>
    <n v="137.94"/>
    <s v="Customer C2162"/>
    <x v="0"/>
    <x v="2"/>
    <n v="5"/>
    <n v="965.58"/>
  </r>
  <r>
    <x v="211"/>
    <x v="3"/>
    <d v="2024-06-13T00:00:00"/>
    <n v="2024"/>
    <x v="1"/>
    <n v="6"/>
    <x v="2"/>
    <x v="4"/>
    <n v="434.97"/>
    <s v="Customer C2168"/>
    <x v="2"/>
    <x v="3"/>
    <n v="5"/>
    <n v="434.97"/>
  </r>
  <r>
    <x v="212"/>
    <x v="3"/>
    <d v="2024-12-17T00:00:00"/>
    <n v="2024"/>
    <x v="3"/>
    <n v="12"/>
    <x v="7"/>
    <x v="7"/>
    <n v="16.48"/>
    <s v="Customer C2172"/>
    <x v="0"/>
    <x v="2"/>
    <n v="5"/>
    <n v="65.92"/>
  </r>
  <r>
    <x v="213"/>
    <x v="4"/>
    <d v="2023-09-23T00:00:00"/>
    <n v="2023"/>
    <x v="2"/>
    <n v="9"/>
    <x v="11"/>
    <x v="5"/>
    <n v="69.97"/>
    <s v="Customer C2179"/>
    <x v="1"/>
    <x v="3"/>
    <n v="5"/>
    <n v="139.94"/>
  </r>
  <r>
    <x v="213"/>
    <x v="5"/>
    <d v="2025-06-29T00:00:00"/>
    <n v="2025"/>
    <x v="1"/>
    <n v="6"/>
    <x v="2"/>
    <x v="6"/>
    <n v="513.51"/>
    <s v="Customer C2179"/>
    <x v="0"/>
    <x v="2"/>
    <n v="1"/>
    <n v="3594.57"/>
  </r>
  <r>
    <x v="214"/>
    <x v="2"/>
    <d v="2024-02-06T00:00:00"/>
    <n v="2024"/>
    <x v="0"/>
    <n v="2"/>
    <x v="9"/>
    <x v="1"/>
    <n v="107.73"/>
    <s v="Customer C2188"/>
    <x v="2"/>
    <x v="3"/>
    <n v="5"/>
    <n v="323.19"/>
  </r>
  <r>
    <x v="215"/>
    <x v="2"/>
    <d v="2024-12-16T00:00:00"/>
    <n v="2024"/>
    <x v="3"/>
    <n v="12"/>
    <x v="7"/>
    <x v="2"/>
    <n v="396.06"/>
    <s v="Customer C2191"/>
    <x v="1"/>
    <x v="1"/>
    <n v="3"/>
    <n v="2376.36"/>
  </r>
  <r>
    <x v="216"/>
    <x v="6"/>
    <d v="2023-04-12T00:00:00"/>
    <n v="2023"/>
    <x v="1"/>
    <n v="4"/>
    <x v="5"/>
    <x v="1"/>
    <n v="684.22"/>
    <s v="Customer C2193"/>
    <x v="0"/>
    <x v="0"/>
    <n v="2"/>
    <n v="2052.66"/>
  </r>
  <r>
    <x v="217"/>
    <x v="0"/>
    <d v="2025-06-05T00:00:00"/>
    <n v="2025"/>
    <x v="1"/>
    <n v="6"/>
    <x v="2"/>
    <x v="3"/>
    <n v="159"/>
    <s v="Customer C2194"/>
    <x v="1"/>
    <x v="0"/>
    <n v="5"/>
    <n v="795"/>
  </r>
  <r>
    <x v="218"/>
    <x v="4"/>
    <d v="2025-01-04T00:00:00"/>
    <n v="2025"/>
    <x v="0"/>
    <n v="1"/>
    <x v="0"/>
    <x v="5"/>
    <n v="728.1"/>
    <s v="Customer C2195"/>
    <x v="0"/>
    <x v="4"/>
    <n v="5"/>
    <n v="1456.2"/>
  </r>
  <r>
    <x v="219"/>
    <x v="0"/>
    <d v="2024-12-24T00:00:00"/>
    <n v="2024"/>
    <x v="3"/>
    <n v="12"/>
    <x v="7"/>
    <x v="2"/>
    <n v="643.14"/>
    <s v="Customer C2203"/>
    <x v="2"/>
    <x v="2"/>
    <n v="1"/>
    <n v="3858.84"/>
  </r>
  <r>
    <x v="220"/>
    <x v="0"/>
    <d v="2023-11-27T00:00:00"/>
    <n v="2023"/>
    <x v="3"/>
    <n v="11"/>
    <x v="8"/>
    <x v="0"/>
    <n v="290.91000000000003"/>
    <s v="Customer C2211"/>
    <x v="0"/>
    <x v="4"/>
    <n v="4"/>
    <n v="2327.2800000000002"/>
  </r>
  <r>
    <x v="221"/>
    <x v="1"/>
    <d v="2024-10-01T00:00:00"/>
    <n v="2024"/>
    <x v="3"/>
    <n v="10"/>
    <x v="4"/>
    <x v="4"/>
    <n v="559.53"/>
    <s v="Customer C2215"/>
    <x v="2"/>
    <x v="1"/>
    <n v="3"/>
    <n v="559.53"/>
  </r>
  <r>
    <x v="222"/>
    <x v="0"/>
    <d v="2023-05-06T00:00:00"/>
    <n v="2023"/>
    <x v="1"/>
    <n v="5"/>
    <x v="1"/>
    <x v="6"/>
    <n v="763.93"/>
    <s v="Customer C2225"/>
    <x v="0"/>
    <x v="2"/>
    <n v="3"/>
    <n v="5347.51"/>
  </r>
  <r>
    <x v="223"/>
    <x v="1"/>
    <d v="2024-10-15T00:00:00"/>
    <n v="2024"/>
    <x v="3"/>
    <n v="10"/>
    <x v="4"/>
    <x v="6"/>
    <n v="449.79"/>
    <s v="Customer C2227"/>
    <x v="2"/>
    <x v="3"/>
    <n v="1"/>
    <n v="3148.53"/>
  </r>
  <r>
    <x v="223"/>
    <x v="6"/>
    <d v="2023-11-21T00:00:00"/>
    <n v="2023"/>
    <x v="3"/>
    <n v="11"/>
    <x v="8"/>
    <x v="4"/>
    <n v="142.85"/>
    <s v="Customer C2227"/>
    <x v="1"/>
    <x v="3"/>
    <n v="1"/>
    <n v="142.85"/>
  </r>
  <r>
    <x v="224"/>
    <x v="6"/>
    <d v="2025-02-27T00:00:00"/>
    <n v="2025"/>
    <x v="0"/>
    <n v="2"/>
    <x v="9"/>
    <x v="0"/>
    <n v="388.83"/>
    <s v="Customer C2228"/>
    <x v="1"/>
    <x v="1"/>
    <n v="5"/>
    <n v="3110.64"/>
  </r>
  <r>
    <x v="225"/>
    <x v="4"/>
    <d v="2024-03-02T00:00:00"/>
    <n v="2024"/>
    <x v="0"/>
    <n v="3"/>
    <x v="10"/>
    <x v="3"/>
    <n v="698.24"/>
    <s v="Customer C2231"/>
    <x v="0"/>
    <x v="4"/>
    <n v="4"/>
    <n v="3491.2"/>
  </r>
  <r>
    <x v="226"/>
    <x v="0"/>
    <d v="2023-10-03T00:00:00"/>
    <n v="2023"/>
    <x v="3"/>
    <n v="10"/>
    <x v="4"/>
    <x v="0"/>
    <n v="618.30999999999995"/>
    <s v="Customer C2232"/>
    <x v="0"/>
    <x v="0"/>
    <n v="1"/>
    <n v="4946.4799999999996"/>
  </r>
  <r>
    <x v="227"/>
    <x v="1"/>
    <d v="2024-08-21T00:00:00"/>
    <n v="2024"/>
    <x v="2"/>
    <n v="8"/>
    <x v="6"/>
    <x v="0"/>
    <n v="340"/>
    <s v="Customer C2241"/>
    <x v="0"/>
    <x v="3"/>
    <n v="5"/>
    <n v="2720"/>
  </r>
  <r>
    <x v="228"/>
    <x v="1"/>
    <d v="2024-08-12T00:00:00"/>
    <n v="2024"/>
    <x v="2"/>
    <n v="8"/>
    <x v="6"/>
    <x v="0"/>
    <n v="407.6"/>
    <s v="Customer C2255"/>
    <x v="2"/>
    <x v="2"/>
    <n v="4"/>
    <n v="3260.8"/>
  </r>
  <r>
    <x v="229"/>
    <x v="6"/>
    <d v="2025-06-25T00:00:00"/>
    <n v="2025"/>
    <x v="1"/>
    <n v="6"/>
    <x v="2"/>
    <x v="0"/>
    <n v="293.06"/>
    <s v="Customer C2263"/>
    <x v="2"/>
    <x v="4"/>
    <n v="1"/>
    <n v="2344.48"/>
  </r>
  <r>
    <x v="230"/>
    <x v="1"/>
    <d v="2023-03-27T00:00:00"/>
    <n v="2023"/>
    <x v="0"/>
    <n v="3"/>
    <x v="10"/>
    <x v="3"/>
    <n v="453.66"/>
    <s v="Customer C2268"/>
    <x v="2"/>
    <x v="3"/>
    <n v="4"/>
    <n v="2268.3000000000002"/>
  </r>
  <r>
    <x v="231"/>
    <x v="3"/>
    <d v="2024-01-24T00:00:00"/>
    <n v="2024"/>
    <x v="0"/>
    <n v="1"/>
    <x v="0"/>
    <x v="5"/>
    <n v="433.59"/>
    <s v="Customer C2279"/>
    <x v="1"/>
    <x v="4"/>
    <n v="2"/>
    <n v="867.18"/>
  </r>
  <r>
    <x v="232"/>
    <x v="5"/>
    <d v="2024-12-30T00:00:00"/>
    <n v="2024"/>
    <x v="3"/>
    <n v="12"/>
    <x v="7"/>
    <x v="4"/>
    <n v="585.36"/>
    <s v="Customer C2280"/>
    <x v="1"/>
    <x v="3"/>
    <n v="3"/>
    <n v="585.36"/>
  </r>
  <r>
    <x v="233"/>
    <x v="1"/>
    <d v="2023-06-17T00:00:00"/>
    <n v="2023"/>
    <x v="1"/>
    <n v="6"/>
    <x v="2"/>
    <x v="3"/>
    <n v="532.44000000000005"/>
    <s v="Customer C2295"/>
    <x v="0"/>
    <x v="2"/>
    <n v="1"/>
    <n v="2662.2"/>
  </r>
  <r>
    <x v="234"/>
    <x v="6"/>
    <d v="2025-05-13T00:00:00"/>
    <n v="2025"/>
    <x v="1"/>
    <n v="5"/>
    <x v="1"/>
    <x v="6"/>
    <n v="614.28"/>
    <s v="Customer C2307"/>
    <x v="1"/>
    <x v="2"/>
    <n v="1"/>
    <n v="4299.96"/>
  </r>
  <r>
    <x v="235"/>
    <x v="5"/>
    <d v="2023-12-04T00:00:00"/>
    <n v="2023"/>
    <x v="3"/>
    <n v="12"/>
    <x v="7"/>
    <x v="2"/>
    <n v="462"/>
    <s v="Customer C2312"/>
    <x v="2"/>
    <x v="0"/>
    <n v="3"/>
    <n v="2772"/>
  </r>
  <r>
    <x v="236"/>
    <x v="0"/>
    <d v="2024-02-15T00:00:00"/>
    <n v="2024"/>
    <x v="0"/>
    <n v="2"/>
    <x v="9"/>
    <x v="4"/>
    <n v="516.73"/>
    <s v="Customer C2313"/>
    <x v="0"/>
    <x v="3"/>
    <n v="1"/>
    <n v="516.73"/>
  </r>
  <r>
    <x v="236"/>
    <x v="0"/>
    <d v="2024-09-18T00:00:00"/>
    <n v="2024"/>
    <x v="2"/>
    <n v="9"/>
    <x v="11"/>
    <x v="6"/>
    <n v="133.05000000000001"/>
    <s v="Customer C2313"/>
    <x v="0"/>
    <x v="1"/>
    <n v="2"/>
    <n v="931.35"/>
  </r>
  <r>
    <x v="237"/>
    <x v="1"/>
    <d v="2025-05-21T00:00:00"/>
    <n v="2025"/>
    <x v="1"/>
    <n v="5"/>
    <x v="1"/>
    <x v="4"/>
    <n v="52.91"/>
    <s v="Customer C2317"/>
    <x v="1"/>
    <x v="3"/>
    <n v="3"/>
    <n v="52.91"/>
  </r>
  <r>
    <x v="238"/>
    <x v="5"/>
    <d v="2025-03-15T00:00:00"/>
    <n v="2025"/>
    <x v="0"/>
    <n v="3"/>
    <x v="10"/>
    <x v="2"/>
    <n v="78.52"/>
    <s v="Customer C2319"/>
    <x v="2"/>
    <x v="1"/>
    <n v="2"/>
    <n v="471.12"/>
  </r>
  <r>
    <x v="239"/>
    <x v="3"/>
    <d v="2024-04-26T00:00:00"/>
    <n v="2024"/>
    <x v="1"/>
    <n v="4"/>
    <x v="5"/>
    <x v="3"/>
    <n v="28.12"/>
    <s v="Customer C2320"/>
    <x v="1"/>
    <x v="0"/>
    <n v="4"/>
    <n v="140.6"/>
  </r>
  <r>
    <x v="240"/>
    <x v="1"/>
    <d v="2024-04-25T00:00:00"/>
    <n v="2024"/>
    <x v="1"/>
    <n v="4"/>
    <x v="5"/>
    <x v="7"/>
    <n v="9.0299999999999994"/>
    <s v="Customer C2323"/>
    <x v="1"/>
    <x v="4"/>
    <n v="2"/>
    <n v="36.119999999999997"/>
  </r>
  <r>
    <x v="241"/>
    <x v="6"/>
    <d v="2024-05-06T00:00:00"/>
    <n v="2024"/>
    <x v="1"/>
    <n v="5"/>
    <x v="1"/>
    <x v="2"/>
    <n v="539.32000000000005"/>
    <s v="Customer C2326"/>
    <x v="1"/>
    <x v="0"/>
    <n v="4"/>
    <n v="3235.92"/>
  </r>
  <r>
    <x v="242"/>
    <x v="3"/>
    <d v="2024-10-21T00:00:00"/>
    <n v="2024"/>
    <x v="3"/>
    <n v="10"/>
    <x v="4"/>
    <x v="6"/>
    <n v="501.04"/>
    <s v="Customer C2327"/>
    <x v="2"/>
    <x v="1"/>
    <n v="1"/>
    <n v="3507.28"/>
  </r>
  <r>
    <x v="243"/>
    <x v="5"/>
    <d v="2023-03-28T00:00:00"/>
    <n v="2023"/>
    <x v="0"/>
    <n v="3"/>
    <x v="10"/>
    <x v="4"/>
    <n v="724.47"/>
    <s v="Customer C2330"/>
    <x v="0"/>
    <x v="0"/>
    <n v="5"/>
    <n v="724.47"/>
  </r>
  <r>
    <x v="244"/>
    <x v="4"/>
    <d v="2025-04-14T00:00:00"/>
    <n v="2025"/>
    <x v="1"/>
    <n v="4"/>
    <x v="5"/>
    <x v="3"/>
    <n v="167.11"/>
    <s v="Customer C2333"/>
    <x v="2"/>
    <x v="1"/>
    <n v="3"/>
    <n v="835.55"/>
  </r>
  <r>
    <x v="245"/>
    <x v="3"/>
    <d v="2025-01-16T00:00:00"/>
    <n v="2025"/>
    <x v="0"/>
    <n v="1"/>
    <x v="0"/>
    <x v="4"/>
    <n v="386.93"/>
    <s v="Customer C2341"/>
    <x v="2"/>
    <x v="0"/>
    <n v="4"/>
    <n v="386.93"/>
  </r>
  <r>
    <x v="246"/>
    <x v="4"/>
    <d v="2024-02-04T00:00:00"/>
    <n v="2024"/>
    <x v="0"/>
    <n v="2"/>
    <x v="9"/>
    <x v="1"/>
    <n v="365.21"/>
    <s v="Customer C2346"/>
    <x v="2"/>
    <x v="3"/>
    <n v="2"/>
    <n v="1095.6300000000001"/>
  </r>
  <r>
    <x v="246"/>
    <x v="5"/>
    <d v="2023-08-31T00:00:00"/>
    <n v="2023"/>
    <x v="2"/>
    <n v="8"/>
    <x v="6"/>
    <x v="4"/>
    <n v="267.7"/>
    <s v="Customer C2346"/>
    <x v="1"/>
    <x v="0"/>
    <n v="5"/>
    <n v="267.7"/>
  </r>
  <r>
    <x v="247"/>
    <x v="0"/>
    <d v="2023-09-18T00:00:00"/>
    <n v="2023"/>
    <x v="2"/>
    <n v="9"/>
    <x v="11"/>
    <x v="1"/>
    <n v="388.05"/>
    <s v="Customer C2352"/>
    <x v="2"/>
    <x v="3"/>
    <n v="2"/>
    <n v="1164.1500000000001"/>
  </r>
  <r>
    <x v="248"/>
    <x v="2"/>
    <d v="2023-11-08T00:00:00"/>
    <n v="2023"/>
    <x v="3"/>
    <n v="11"/>
    <x v="8"/>
    <x v="5"/>
    <n v="449.21"/>
    <s v="Customer C2357"/>
    <x v="2"/>
    <x v="4"/>
    <n v="4"/>
    <n v="898.42"/>
  </r>
  <r>
    <x v="249"/>
    <x v="4"/>
    <d v="2024-08-12T00:00:00"/>
    <n v="2024"/>
    <x v="2"/>
    <n v="8"/>
    <x v="6"/>
    <x v="1"/>
    <n v="729.13"/>
    <s v="Customer C2364"/>
    <x v="0"/>
    <x v="2"/>
    <n v="2"/>
    <n v="2187.39"/>
  </r>
  <r>
    <x v="250"/>
    <x v="5"/>
    <d v="2023-06-17T00:00:00"/>
    <n v="2023"/>
    <x v="1"/>
    <n v="6"/>
    <x v="2"/>
    <x v="5"/>
    <n v="679.03"/>
    <s v="Customer C2378"/>
    <x v="2"/>
    <x v="2"/>
    <n v="1"/>
    <n v="1358.06"/>
  </r>
  <r>
    <x v="250"/>
    <x v="3"/>
    <d v="2023-08-10T00:00:00"/>
    <n v="2023"/>
    <x v="2"/>
    <n v="8"/>
    <x v="6"/>
    <x v="3"/>
    <n v="389.16"/>
    <s v="Customer C2378"/>
    <x v="2"/>
    <x v="3"/>
    <n v="3"/>
    <n v="1945.8"/>
  </r>
  <r>
    <x v="251"/>
    <x v="5"/>
    <d v="2024-06-26T00:00:00"/>
    <n v="2024"/>
    <x v="1"/>
    <n v="6"/>
    <x v="2"/>
    <x v="4"/>
    <n v="211.3"/>
    <s v="Customer C2379"/>
    <x v="0"/>
    <x v="0"/>
    <n v="5"/>
    <n v="211.3"/>
  </r>
  <r>
    <x v="252"/>
    <x v="0"/>
    <d v="2024-08-18T00:00:00"/>
    <n v="2024"/>
    <x v="2"/>
    <n v="8"/>
    <x v="6"/>
    <x v="6"/>
    <n v="705.72"/>
    <s v="Customer C2387"/>
    <x v="2"/>
    <x v="1"/>
    <n v="4"/>
    <n v="4940.04"/>
  </r>
  <r>
    <x v="253"/>
    <x v="4"/>
    <d v="2024-02-04T00:00:00"/>
    <n v="2024"/>
    <x v="0"/>
    <n v="2"/>
    <x v="9"/>
    <x v="5"/>
    <n v="291.63"/>
    <s v="Customer C2392"/>
    <x v="2"/>
    <x v="2"/>
    <n v="5"/>
    <n v="583.26"/>
  </r>
  <r>
    <x v="254"/>
    <x v="3"/>
    <d v="2025-04-13T00:00:00"/>
    <n v="2025"/>
    <x v="1"/>
    <n v="4"/>
    <x v="5"/>
    <x v="0"/>
    <n v="191.88"/>
    <s v="Customer C2393"/>
    <x v="1"/>
    <x v="4"/>
    <n v="5"/>
    <n v="1535.04"/>
  </r>
  <r>
    <x v="255"/>
    <x v="5"/>
    <d v="2025-04-13T00:00:00"/>
    <n v="2025"/>
    <x v="1"/>
    <n v="4"/>
    <x v="5"/>
    <x v="3"/>
    <n v="206.8"/>
    <s v="Customer C2401"/>
    <x v="1"/>
    <x v="4"/>
    <n v="4"/>
    <n v="1034"/>
  </r>
  <r>
    <x v="256"/>
    <x v="6"/>
    <d v="2024-02-26T00:00:00"/>
    <n v="2024"/>
    <x v="0"/>
    <n v="2"/>
    <x v="9"/>
    <x v="2"/>
    <n v="314.52999999999997"/>
    <s v="Customer C2406"/>
    <x v="0"/>
    <x v="4"/>
    <n v="2"/>
    <n v="1887.18"/>
  </r>
  <r>
    <x v="257"/>
    <x v="0"/>
    <d v="2023-06-29T00:00:00"/>
    <n v="2023"/>
    <x v="1"/>
    <n v="6"/>
    <x v="2"/>
    <x v="5"/>
    <n v="504.1"/>
    <s v="Customer C2409"/>
    <x v="1"/>
    <x v="1"/>
    <n v="2"/>
    <n v="1008.2"/>
  </r>
  <r>
    <x v="258"/>
    <x v="3"/>
    <d v="2023-11-18T00:00:00"/>
    <n v="2023"/>
    <x v="3"/>
    <n v="11"/>
    <x v="8"/>
    <x v="3"/>
    <n v="185.82"/>
    <s v="Customer C2411"/>
    <x v="0"/>
    <x v="0"/>
    <n v="1"/>
    <n v="929.1"/>
  </r>
  <r>
    <x v="259"/>
    <x v="5"/>
    <d v="2024-09-02T00:00:00"/>
    <n v="2024"/>
    <x v="2"/>
    <n v="9"/>
    <x v="11"/>
    <x v="6"/>
    <n v="716.84"/>
    <s v="Customer C2422"/>
    <x v="0"/>
    <x v="0"/>
    <n v="2"/>
    <n v="5017.88"/>
  </r>
  <r>
    <x v="260"/>
    <x v="5"/>
    <d v="2024-07-17T00:00:00"/>
    <n v="2024"/>
    <x v="2"/>
    <n v="7"/>
    <x v="3"/>
    <x v="3"/>
    <n v="736.19"/>
    <s v="Customer C2424"/>
    <x v="2"/>
    <x v="3"/>
    <n v="3"/>
    <n v="3680.95"/>
  </r>
  <r>
    <x v="261"/>
    <x v="3"/>
    <d v="2023-04-29T00:00:00"/>
    <n v="2023"/>
    <x v="1"/>
    <n v="4"/>
    <x v="5"/>
    <x v="0"/>
    <n v="719.65"/>
    <s v="Customer C2426"/>
    <x v="0"/>
    <x v="2"/>
    <n v="5"/>
    <n v="5757.2"/>
  </r>
  <r>
    <x v="262"/>
    <x v="4"/>
    <d v="2024-07-25T00:00:00"/>
    <n v="2024"/>
    <x v="2"/>
    <n v="7"/>
    <x v="3"/>
    <x v="7"/>
    <n v="34.97"/>
    <s v="Customer C2431"/>
    <x v="2"/>
    <x v="0"/>
    <n v="1"/>
    <n v="139.88"/>
  </r>
  <r>
    <x v="263"/>
    <x v="0"/>
    <d v="2023-12-15T00:00:00"/>
    <n v="2023"/>
    <x v="3"/>
    <n v="12"/>
    <x v="7"/>
    <x v="6"/>
    <n v="20.350000000000001"/>
    <s v="Customer C2436"/>
    <x v="1"/>
    <x v="4"/>
    <n v="2"/>
    <n v="142.44999999999999"/>
  </r>
  <r>
    <x v="264"/>
    <x v="6"/>
    <d v="2024-08-03T00:00:00"/>
    <n v="2024"/>
    <x v="2"/>
    <n v="8"/>
    <x v="6"/>
    <x v="0"/>
    <n v="752.21"/>
    <s v="Customer C2443"/>
    <x v="1"/>
    <x v="0"/>
    <n v="2"/>
    <n v="6017.68"/>
  </r>
  <r>
    <x v="265"/>
    <x v="2"/>
    <d v="2024-07-16T00:00:00"/>
    <n v="2024"/>
    <x v="2"/>
    <n v="7"/>
    <x v="3"/>
    <x v="3"/>
    <n v="449.91"/>
    <s v="Customer C2461"/>
    <x v="2"/>
    <x v="4"/>
    <n v="4"/>
    <n v="2249.5500000000002"/>
  </r>
  <r>
    <x v="266"/>
    <x v="5"/>
    <d v="2025-01-03T00:00:00"/>
    <n v="2025"/>
    <x v="0"/>
    <n v="1"/>
    <x v="0"/>
    <x v="6"/>
    <n v="383.36"/>
    <s v="Customer C2462"/>
    <x v="0"/>
    <x v="4"/>
    <n v="4"/>
    <n v="2683.52"/>
  </r>
  <r>
    <x v="267"/>
    <x v="1"/>
    <d v="2024-07-20T00:00:00"/>
    <n v="2024"/>
    <x v="2"/>
    <n v="7"/>
    <x v="3"/>
    <x v="4"/>
    <n v="551.09"/>
    <s v="Customer C2463"/>
    <x v="1"/>
    <x v="0"/>
    <n v="5"/>
    <n v="551.09"/>
  </r>
  <r>
    <x v="268"/>
    <x v="0"/>
    <d v="2023-08-09T00:00:00"/>
    <n v="2023"/>
    <x v="2"/>
    <n v="8"/>
    <x v="6"/>
    <x v="5"/>
    <n v="531.20000000000005"/>
    <s v="Customer C2464"/>
    <x v="1"/>
    <x v="1"/>
    <n v="5"/>
    <n v="1062.4000000000001"/>
  </r>
  <r>
    <x v="269"/>
    <x v="4"/>
    <d v="2024-09-05T00:00:00"/>
    <n v="2024"/>
    <x v="2"/>
    <n v="9"/>
    <x v="11"/>
    <x v="0"/>
    <n v="659.25"/>
    <s v="Customer C2471"/>
    <x v="2"/>
    <x v="4"/>
    <n v="3"/>
    <n v="5274"/>
  </r>
  <r>
    <x v="270"/>
    <x v="1"/>
    <d v="2025-05-14T00:00:00"/>
    <n v="2025"/>
    <x v="1"/>
    <n v="5"/>
    <x v="1"/>
    <x v="2"/>
    <n v="474.95"/>
    <s v="Customer C2482"/>
    <x v="2"/>
    <x v="4"/>
    <n v="1"/>
    <n v="2849.7"/>
  </r>
  <r>
    <x v="271"/>
    <x v="4"/>
    <d v="2024-07-03T00:00:00"/>
    <n v="2024"/>
    <x v="2"/>
    <n v="7"/>
    <x v="3"/>
    <x v="1"/>
    <n v="495.51"/>
    <s v="Customer C2483"/>
    <x v="1"/>
    <x v="3"/>
    <n v="5"/>
    <n v="1486.53"/>
  </r>
  <r>
    <x v="272"/>
    <x v="4"/>
    <d v="2025-02-03T00:00:00"/>
    <n v="2025"/>
    <x v="0"/>
    <n v="2"/>
    <x v="9"/>
    <x v="6"/>
    <n v="7.19"/>
    <s v="Customer C2487"/>
    <x v="2"/>
    <x v="2"/>
    <n v="1"/>
    <n v="50.33"/>
  </r>
  <r>
    <x v="273"/>
    <x v="4"/>
    <d v="2024-12-17T00:00:00"/>
    <n v="2024"/>
    <x v="3"/>
    <n v="12"/>
    <x v="7"/>
    <x v="2"/>
    <n v="492.01"/>
    <s v="Customer C2491"/>
    <x v="1"/>
    <x v="0"/>
    <n v="3"/>
    <n v="2952.06"/>
  </r>
  <r>
    <x v="274"/>
    <x v="1"/>
    <d v="2023-01-24T00:00:00"/>
    <n v="2023"/>
    <x v="0"/>
    <n v="1"/>
    <x v="0"/>
    <x v="6"/>
    <n v="482.97"/>
    <s v="Customer C2499"/>
    <x v="1"/>
    <x v="1"/>
    <n v="4"/>
    <n v="3380.79"/>
  </r>
  <r>
    <x v="275"/>
    <x v="0"/>
    <d v="2025-02-22T00:00:00"/>
    <n v="2025"/>
    <x v="0"/>
    <n v="2"/>
    <x v="9"/>
    <x v="0"/>
    <n v="371.46"/>
    <s v="Customer C2501"/>
    <x v="0"/>
    <x v="2"/>
    <n v="4"/>
    <n v="2971.68"/>
  </r>
  <r>
    <x v="276"/>
    <x v="6"/>
    <d v="2024-10-12T00:00:00"/>
    <n v="2024"/>
    <x v="3"/>
    <n v="10"/>
    <x v="4"/>
    <x v="2"/>
    <n v="437.5"/>
    <s v="Customer C2503"/>
    <x v="1"/>
    <x v="0"/>
    <n v="2"/>
    <n v="2625"/>
  </r>
  <r>
    <x v="277"/>
    <x v="6"/>
    <d v="2023-07-24T00:00:00"/>
    <n v="2023"/>
    <x v="2"/>
    <n v="7"/>
    <x v="3"/>
    <x v="3"/>
    <n v="462.31"/>
    <s v="Customer C2509"/>
    <x v="0"/>
    <x v="4"/>
    <n v="4"/>
    <n v="2311.5500000000002"/>
  </r>
  <r>
    <x v="278"/>
    <x v="1"/>
    <d v="2023-04-24T00:00:00"/>
    <n v="2023"/>
    <x v="1"/>
    <n v="4"/>
    <x v="5"/>
    <x v="5"/>
    <n v="279.12"/>
    <s v="Customer C2512"/>
    <x v="2"/>
    <x v="4"/>
    <n v="2"/>
    <n v="558.24"/>
  </r>
  <r>
    <x v="279"/>
    <x v="5"/>
    <d v="2024-10-17T00:00:00"/>
    <n v="2024"/>
    <x v="3"/>
    <n v="10"/>
    <x v="4"/>
    <x v="3"/>
    <n v="389.98"/>
    <s v="Customer C2550"/>
    <x v="2"/>
    <x v="2"/>
    <n v="3"/>
    <n v="1949.9"/>
  </r>
  <r>
    <x v="280"/>
    <x v="3"/>
    <d v="2023-02-14T00:00:00"/>
    <n v="2023"/>
    <x v="0"/>
    <n v="2"/>
    <x v="9"/>
    <x v="5"/>
    <n v="354.76"/>
    <s v="Customer C2553"/>
    <x v="0"/>
    <x v="4"/>
    <n v="3"/>
    <n v="709.52"/>
  </r>
  <r>
    <x v="281"/>
    <x v="4"/>
    <d v="2025-04-27T00:00:00"/>
    <n v="2025"/>
    <x v="1"/>
    <n v="4"/>
    <x v="5"/>
    <x v="2"/>
    <n v="529.47"/>
    <s v="Customer C2562"/>
    <x v="0"/>
    <x v="2"/>
    <n v="1"/>
    <n v="3176.82"/>
  </r>
  <r>
    <x v="281"/>
    <x v="6"/>
    <d v="2023-10-12T00:00:00"/>
    <n v="2023"/>
    <x v="3"/>
    <n v="10"/>
    <x v="4"/>
    <x v="2"/>
    <n v="685.4"/>
    <s v="Customer C2562"/>
    <x v="2"/>
    <x v="4"/>
    <n v="3"/>
    <n v="4112.3999999999996"/>
  </r>
  <r>
    <x v="282"/>
    <x v="2"/>
    <d v="2024-10-01T00:00:00"/>
    <n v="2024"/>
    <x v="3"/>
    <n v="10"/>
    <x v="4"/>
    <x v="7"/>
    <n v="406.85"/>
    <s v="Customer C2564"/>
    <x v="2"/>
    <x v="1"/>
    <n v="5"/>
    <n v="1627.4"/>
  </r>
  <r>
    <x v="283"/>
    <x v="4"/>
    <d v="2024-08-25T00:00:00"/>
    <n v="2024"/>
    <x v="2"/>
    <n v="8"/>
    <x v="6"/>
    <x v="3"/>
    <n v="773.35"/>
    <s v="Customer C2565"/>
    <x v="0"/>
    <x v="2"/>
    <n v="4"/>
    <n v="3866.75"/>
  </r>
  <r>
    <x v="284"/>
    <x v="3"/>
    <d v="2024-10-14T00:00:00"/>
    <n v="2024"/>
    <x v="3"/>
    <n v="10"/>
    <x v="4"/>
    <x v="5"/>
    <n v="322.20999999999998"/>
    <s v="Customer C2573"/>
    <x v="1"/>
    <x v="4"/>
    <n v="2"/>
    <n v="644.41999999999996"/>
  </r>
  <r>
    <x v="285"/>
    <x v="4"/>
    <d v="2024-08-20T00:00:00"/>
    <n v="2024"/>
    <x v="2"/>
    <n v="8"/>
    <x v="6"/>
    <x v="4"/>
    <n v="297.06"/>
    <s v="Customer C2576"/>
    <x v="0"/>
    <x v="3"/>
    <n v="2"/>
    <n v="297.06"/>
  </r>
  <r>
    <x v="286"/>
    <x v="3"/>
    <d v="2023-05-10T00:00:00"/>
    <n v="2023"/>
    <x v="1"/>
    <n v="5"/>
    <x v="1"/>
    <x v="3"/>
    <n v="86.63"/>
    <s v="Customer C2580"/>
    <x v="2"/>
    <x v="4"/>
    <n v="1"/>
    <n v="433.15"/>
  </r>
  <r>
    <x v="287"/>
    <x v="3"/>
    <d v="2025-04-16T00:00:00"/>
    <n v="2025"/>
    <x v="1"/>
    <n v="4"/>
    <x v="5"/>
    <x v="6"/>
    <n v="709.55"/>
    <s v="Customer C2593"/>
    <x v="1"/>
    <x v="3"/>
    <n v="2"/>
    <n v="4966.8500000000004"/>
  </r>
  <r>
    <x v="288"/>
    <x v="4"/>
    <d v="2023-03-09T00:00:00"/>
    <n v="2023"/>
    <x v="0"/>
    <n v="3"/>
    <x v="10"/>
    <x v="4"/>
    <n v="716.32"/>
    <s v="Customer C2608"/>
    <x v="1"/>
    <x v="1"/>
    <n v="4"/>
    <n v="716.32"/>
  </r>
  <r>
    <x v="289"/>
    <x v="6"/>
    <d v="2024-11-16T00:00:00"/>
    <n v="2024"/>
    <x v="3"/>
    <n v="11"/>
    <x v="8"/>
    <x v="3"/>
    <n v="115.02"/>
    <s v="Customer C2613"/>
    <x v="0"/>
    <x v="1"/>
    <n v="4"/>
    <n v="575.1"/>
  </r>
  <r>
    <x v="290"/>
    <x v="2"/>
    <d v="2025-02-01T00:00:00"/>
    <n v="2025"/>
    <x v="0"/>
    <n v="2"/>
    <x v="9"/>
    <x v="5"/>
    <n v="740.52"/>
    <s v="Customer C2621"/>
    <x v="0"/>
    <x v="3"/>
    <n v="5"/>
    <n v="1481.04"/>
  </r>
  <r>
    <x v="291"/>
    <x v="5"/>
    <d v="2024-03-18T00:00:00"/>
    <n v="2024"/>
    <x v="0"/>
    <n v="3"/>
    <x v="10"/>
    <x v="7"/>
    <n v="168.32"/>
    <s v="Customer C2626"/>
    <x v="0"/>
    <x v="2"/>
    <n v="5"/>
    <n v="673.28"/>
  </r>
  <r>
    <x v="292"/>
    <x v="5"/>
    <d v="2023-09-25T00:00:00"/>
    <n v="2023"/>
    <x v="2"/>
    <n v="9"/>
    <x v="11"/>
    <x v="1"/>
    <n v="406.42"/>
    <s v="Customer C2636"/>
    <x v="2"/>
    <x v="2"/>
    <n v="5"/>
    <n v="1219.26"/>
  </r>
  <r>
    <x v="293"/>
    <x v="6"/>
    <d v="2023-12-21T00:00:00"/>
    <n v="2023"/>
    <x v="3"/>
    <n v="12"/>
    <x v="7"/>
    <x v="2"/>
    <n v="684.42"/>
    <s v="Customer C2642"/>
    <x v="1"/>
    <x v="0"/>
    <n v="3"/>
    <n v="4106.5200000000004"/>
  </r>
  <r>
    <x v="294"/>
    <x v="3"/>
    <d v="2024-12-07T00:00:00"/>
    <n v="2024"/>
    <x v="3"/>
    <n v="12"/>
    <x v="7"/>
    <x v="0"/>
    <n v="470.4"/>
    <s v="Customer C2645"/>
    <x v="1"/>
    <x v="1"/>
    <n v="2"/>
    <n v="3763.2"/>
  </r>
  <r>
    <x v="295"/>
    <x v="6"/>
    <d v="2025-04-11T00:00:00"/>
    <n v="2025"/>
    <x v="1"/>
    <n v="4"/>
    <x v="5"/>
    <x v="1"/>
    <n v="367.65"/>
    <s v="Customer C2651"/>
    <x v="1"/>
    <x v="0"/>
    <n v="5"/>
    <n v="1102.95"/>
  </r>
  <r>
    <x v="296"/>
    <x v="5"/>
    <d v="2024-02-08T00:00:00"/>
    <n v="2024"/>
    <x v="0"/>
    <n v="2"/>
    <x v="9"/>
    <x v="6"/>
    <n v="122.16"/>
    <s v="Customer C2652"/>
    <x v="0"/>
    <x v="2"/>
    <n v="5"/>
    <n v="855.12"/>
  </r>
  <r>
    <x v="297"/>
    <x v="1"/>
    <d v="2025-03-12T00:00:00"/>
    <n v="2025"/>
    <x v="0"/>
    <n v="3"/>
    <x v="10"/>
    <x v="1"/>
    <n v="533.37"/>
    <s v="Customer C2653"/>
    <x v="2"/>
    <x v="1"/>
    <n v="1"/>
    <n v="1600.11"/>
  </r>
  <r>
    <x v="298"/>
    <x v="5"/>
    <d v="2023-08-03T00:00:00"/>
    <n v="2023"/>
    <x v="2"/>
    <n v="8"/>
    <x v="6"/>
    <x v="4"/>
    <n v="563.53"/>
    <s v="Customer C2659"/>
    <x v="2"/>
    <x v="3"/>
    <n v="2"/>
    <n v="563.53"/>
  </r>
  <r>
    <x v="299"/>
    <x v="4"/>
    <d v="2024-01-04T00:00:00"/>
    <n v="2024"/>
    <x v="0"/>
    <n v="1"/>
    <x v="0"/>
    <x v="0"/>
    <n v="538.29"/>
    <s v="Customer C2680"/>
    <x v="1"/>
    <x v="3"/>
    <n v="1"/>
    <n v="4306.32"/>
  </r>
  <r>
    <x v="300"/>
    <x v="1"/>
    <d v="2025-02-14T00:00:00"/>
    <n v="2025"/>
    <x v="0"/>
    <n v="2"/>
    <x v="9"/>
    <x v="5"/>
    <n v="201.7"/>
    <s v="Customer C2687"/>
    <x v="1"/>
    <x v="4"/>
    <n v="1"/>
    <n v="403.4"/>
  </r>
  <r>
    <x v="301"/>
    <x v="6"/>
    <d v="2025-03-12T00:00:00"/>
    <n v="2025"/>
    <x v="0"/>
    <n v="3"/>
    <x v="10"/>
    <x v="4"/>
    <n v="261.17"/>
    <s v="Customer C2690"/>
    <x v="0"/>
    <x v="2"/>
    <n v="1"/>
    <n v="261.17"/>
  </r>
  <r>
    <x v="302"/>
    <x v="4"/>
    <d v="2023-04-20T00:00:00"/>
    <n v="2023"/>
    <x v="1"/>
    <n v="4"/>
    <x v="5"/>
    <x v="3"/>
    <n v="507.6"/>
    <s v="Customer C2696"/>
    <x v="2"/>
    <x v="1"/>
    <n v="1"/>
    <n v="2538"/>
  </r>
  <r>
    <x v="303"/>
    <x v="2"/>
    <d v="2024-01-02T00:00:00"/>
    <n v="2024"/>
    <x v="0"/>
    <n v="1"/>
    <x v="0"/>
    <x v="7"/>
    <n v="709.14"/>
    <s v="Customer C2697"/>
    <x v="0"/>
    <x v="4"/>
    <n v="2"/>
    <n v="2836.56"/>
  </r>
  <r>
    <x v="304"/>
    <x v="6"/>
    <d v="2025-01-11T00:00:00"/>
    <n v="2025"/>
    <x v="0"/>
    <n v="1"/>
    <x v="0"/>
    <x v="2"/>
    <n v="234.84"/>
    <s v="Customer C2704"/>
    <x v="0"/>
    <x v="0"/>
    <n v="5"/>
    <n v="1409.04"/>
  </r>
  <r>
    <x v="305"/>
    <x v="6"/>
    <d v="2025-05-13T00:00:00"/>
    <n v="2025"/>
    <x v="1"/>
    <n v="5"/>
    <x v="1"/>
    <x v="3"/>
    <n v="528.01"/>
    <s v="Customer C2706"/>
    <x v="1"/>
    <x v="3"/>
    <n v="2"/>
    <n v="2640.05"/>
  </r>
  <r>
    <x v="306"/>
    <x v="6"/>
    <d v="2024-02-06T00:00:00"/>
    <n v="2024"/>
    <x v="0"/>
    <n v="2"/>
    <x v="9"/>
    <x v="2"/>
    <n v="329.82"/>
    <s v="Customer C2708"/>
    <x v="2"/>
    <x v="4"/>
    <n v="3"/>
    <n v="1978.92"/>
  </r>
  <r>
    <x v="307"/>
    <x v="3"/>
    <d v="2024-06-08T00:00:00"/>
    <n v="2024"/>
    <x v="1"/>
    <n v="6"/>
    <x v="2"/>
    <x v="6"/>
    <n v="60.21"/>
    <s v="Customer C2718"/>
    <x v="2"/>
    <x v="0"/>
    <n v="3"/>
    <n v="421.47"/>
  </r>
  <r>
    <x v="308"/>
    <x v="3"/>
    <d v="2023-11-03T00:00:00"/>
    <n v="2023"/>
    <x v="3"/>
    <n v="11"/>
    <x v="8"/>
    <x v="1"/>
    <n v="773.11"/>
    <s v="Customer C2719"/>
    <x v="2"/>
    <x v="4"/>
    <n v="4"/>
    <n v="2319.33"/>
  </r>
  <r>
    <x v="309"/>
    <x v="0"/>
    <d v="2023-07-23T00:00:00"/>
    <n v="2023"/>
    <x v="2"/>
    <n v="7"/>
    <x v="3"/>
    <x v="4"/>
    <n v="503.37"/>
    <s v="Customer C2727"/>
    <x v="2"/>
    <x v="0"/>
    <n v="3"/>
    <n v="503.37"/>
  </r>
  <r>
    <x v="310"/>
    <x v="2"/>
    <d v="2025-03-06T00:00:00"/>
    <n v="2025"/>
    <x v="0"/>
    <n v="3"/>
    <x v="10"/>
    <x v="7"/>
    <n v="536.23"/>
    <s v="Customer C2728"/>
    <x v="1"/>
    <x v="1"/>
    <n v="4"/>
    <n v="2144.92"/>
  </r>
  <r>
    <x v="311"/>
    <x v="4"/>
    <d v="2023-12-10T00:00:00"/>
    <n v="2023"/>
    <x v="3"/>
    <n v="12"/>
    <x v="7"/>
    <x v="0"/>
    <n v="9.3800000000000008"/>
    <s v="Customer C2733"/>
    <x v="0"/>
    <x v="0"/>
    <n v="4"/>
    <n v="75.040000000000006"/>
  </r>
  <r>
    <x v="312"/>
    <x v="1"/>
    <d v="2024-01-24T00:00:00"/>
    <n v="2024"/>
    <x v="0"/>
    <n v="1"/>
    <x v="0"/>
    <x v="2"/>
    <n v="183.17"/>
    <s v="Customer C2734"/>
    <x v="2"/>
    <x v="1"/>
    <n v="3"/>
    <n v="1099.02"/>
  </r>
  <r>
    <x v="313"/>
    <x v="2"/>
    <d v="2025-06-18T00:00:00"/>
    <n v="2025"/>
    <x v="1"/>
    <n v="6"/>
    <x v="2"/>
    <x v="2"/>
    <n v="533.1"/>
    <s v="Customer C2747"/>
    <x v="1"/>
    <x v="4"/>
    <n v="1"/>
    <n v="3198.6"/>
  </r>
  <r>
    <x v="313"/>
    <x v="0"/>
    <d v="2024-06-15T00:00:00"/>
    <n v="2024"/>
    <x v="1"/>
    <n v="6"/>
    <x v="2"/>
    <x v="5"/>
    <n v="456.19"/>
    <s v="Customer C2747"/>
    <x v="1"/>
    <x v="2"/>
    <n v="5"/>
    <n v="912.38"/>
  </r>
  <r>
    <x v="314"/>
    <x v="4"/>
    <d v="2025-01-09T00:00:00"/>
    <n v="2025"/>
    <x v="0"/>
    <n v="1"/>
    <x v="0"/>
    <x v="4"/>
    <n v="677.08"/>
    <s v="Customer C2751"/>
    <x v="2"/>
    <x v="4"/>
    <n v="4"/>
    <n v="677.08"/>
  </r>
  <r>
    <x v="314"/>
    <x v="0"/>
    <d v="2025-01-28T00:00:00"/>
    <n v="2025"/>
    <x v="0"/>
    <n v="1"/>
    <x v="0"/>
    <x v="3"/>
    <n v="433.22"/>
    <s v="Customer C2751"/>
    <x v="1"/>
    <x v="3"/>
    <n v="3"/>
    <n v="2166.1"/>
  </r>
  <r>
    <x v="315"/>
    <x v="4"/>
    <d v="2024-12-01T00:00:00"/>
    <n v="2024"/>
    <x v="3"/>
    <n v="12"/>
    <x v="7"/>
    <x v="6"/>
    <n v="419.9"/>
    <s v="Customer C2764"/>
    <x v="0"/>
    <x v="1"/>
    <n v="4"/>
    <n v="2939.3"/>
  </r>
  <r>
    <x v="316"/>
    <x v="0"/>
    <d v="2023-11-15T00:00:00"/>
    <n v="2023"/>
    <x v="3"/>
    <n v="11"/>
    <x v="8"/>
    <x v="3"/>
    <n v="702.21"/>
    <s v="Customer C2768"/>
    <x v="0"/>
    <x v="1"/>
    <n v="2"/>
    <n v="3511.05"/>
  </r>
  <r>
    <x v="317"/>
    <x v="0"/>
    <d v="2025-04-24T00:00:00"/>
    <n v="2025"/>
    <x v="1"/>
    <n v="4"/>
    <x v="5"/>
    <x v="3"/>
    <n v="17.350000000000001"/>
    <s v="Customer C2772"/>
    <x v="2"/>
    <x v="0"/>
    <n v="1"/>
    <n v="86.75"/>
  </r>
  <r>
    <x v="318"/>
    <x v="1"/>
    <d v="2025-02-03T00:00:00"/>
    <n v="2025"/>
    <x v="0"/>
    <n v="2"/>
    <x v="9"/>
    <x v="6"/>
    <n v="354.53"/>
    <s v="Customer C2776"/>
    <x v="0"/>
    <x v="4"/>
    <n v="3"/>
    <n v="2481.71"/>
  </r>
  <r>
    <x v="319"/>
    <x v="6"/>
    <d v="2023-11-03T00:00:00"/>
    <n v="2023"/>
    <x v="3"/>
    <n v="11"/>
    <x v="8"/>
    <x v="4"/>
    <n v="192.81"/>
    <s v="Customer C2777"/>
    <x v="2"/>
    <x v="1"/>
    <n v="4"/>
    <n v="192.81"/>
  </r>
  <r>
    <x v="320"/>
    <x v="3"/>
    <d v="2023-07-05T00:00:00"/>
    <n v="2023"/>
    <x v="2"/>
    <n v="7"/>
    <x v="3"/>
    <x v="3"/>
    <n v="761.72"/>
    <s v="Customer C2782"/>
    <x v="1"/>
    <x v="1"/>
    <n v="4"/>
    <n v="3808.6"/>
  </r>
  <r>
    <x v="320"/>
    <x v="3"/>
    <d v="2025-06-05T00:00:00"/>
    <n v="2025"/>
    <x v="1"/>
    <n v="6"/>
    <x v="2"/>
    <x v="4"/>
    <n v="522.42999999999995"/>
    <s v="Customer C2782"/>
    <x v="1"/>
    <x v="3"/>
    <n v="3"/>
    <n v="522.42999999999995"/>
  </r>
  <r>
    <x v="321"/>
    <x v="1"/>
    <d v="2024-06-30T00:00:00"/>
    <n v="2024"/>
    <x v="1"/>
    <n v="6"/>
    <x v="2"/>
    <x v="3"/>
    <n v="796.69"/>
    <s v="Customer C2792"/>
    <x v="0"/>
    <x v="0"/>
    <n v="5"/>
    <n v="3983.45"/>
  </r>
  <r>
    <x v="322"/>
    <x v="3"/>
    <d v="2023-01-09T00:00:00"/>
    <n v="2023"/>
    <x v="0"/>
    <n v="1"/>
    <x v="0"/>
    <x v="5"/>
    <n v="683.9"/>
    <s v="Customer C2801"/>
    <x v="1"/>
    <x v="4"/>
    <n v="3"/>
    <n v="1367.8"/>
  </r>
  <r>
    <x v="323"/>
    <x v="6"/>
    <d v="2023-08-10T00:00:00"/>
    <n v="2023"/>
    <x v="2"/>
    <n v="8"/>
    <x v="6"/>
    <x v="5"/>
    <n v="408.62"/>
    <s v="Customer C2802"/>
    <x v="1"/>
    <x v="2"/>
    <n v="5"/>
    <n v="817.24"/>
  </r>
  <r>
    <x v="324"/>
    <x v="0"/>
    <d v="2024-01-04T00:00:00"/>
    <n v="2024"/>
    <x v="0"/>
    <n v="1"/>
    <x v="0"/>
    <x v="4"/>
    <n v="561.33000000000004"/>
    <s v="Customer C2823"/>
    <x v="0"/>
    <x v="2"/>
    <n v="3"/>
    <n v="561.33000000000004"/>
  </r>
  <r>
    <x v="325"/>
    <x v="6"/>
    <d v="2023-07-19T00:00:00"/>
    <n v="2023"/>
    <x v="2"/>
    <n v="7"/>
    <x v="3"/>
    <x v="0"/>
    <n v="518.52"/>
    <s v="Customer C2830"/>
    <x v="1"/>
    <x v="2"/>
    <n v="5"/>
    <n v="4148.16"/>
  </r>
  <r>
    <x v="326"/>
    <x v="6"/>
    <d v="2024-03-20T00:00:00"/>
    <n v="2024"/>
    <x v="0"/>
    <n v="3"/>
    <x v="10"/>
    <x v="6"/>
    <n v="584.78"/>
    <s v="Customer C2838"/>
    <x v="1"/>
    <x v="3"/>
    <n v="1"/>
    <n v="4093.46"/>
  </r>
  <r>
    <x v="327"/>
    <x v="6"/>
    <d v="2024-05-03T00:00:00"/>
    <n v="2024"/>
    <x v="1"/>
    <n v="5"/>
    <x v="1"/>
    <x v="7"/>
    <n v="100.33"/>
    <s v="Customer C2841"/>
    <x v="2"/>
    <x v="2"/>
    <n v="5"/>
    <n v="401.32"/>
  </r>
  <r>
    <x v="328"/>
    <x v="5"/>
    <d v="2023-04-16T00:00:00"/>
    <n v="2023"/>
    <x v="1"/>
    <n v="4"/>
    <x v="5"/>
    <x v="3"/>
    <n v="653.01"/>
    <s v="Customer C2847"/>
    <x v="2"/>
    <x v="1"/>
    <n v="3"/>
    <n v="3265.05"/>
  </r>
  <r>
    <x v="329"/>
    <x v="5"/>
    <d v="2023-04-18T00:00:00"/>
    <n v="2023"/>
    <x v="1"/>
    <n v="4"/>
    <x v="5"/>
    <x v="0"/>
    <n v="243.93"/>
    <s v="Customer C2860"/>
    <x v="2"/>
    <x v="0"/>
    <n v="2"/>
    <n v="1951.44"/>
  </r>
  <r>
    <x v="330"/>
    <x v="1"/>
    <d v="2025-05-06T00:00:00"/>
    <n v="2025"/>
    <x v="1"/>
    <n v="5"/>
    <x v="1"/>
    <x v="7"/>
    <n v="533.61"/>
    <s v="Customer C2865"/>
    <x v="2"/>
    <x v="1"/>
    <n v="1"/>
    <n v="2134.44"/>
  </r>
  <r>
    <x v="331"/>
    <x v="2"/>
    <d v="2023-01-15T00:00:00"/>
    <n v="2023"/>
    <x v="0"/>
    <n v="1"/>
    <x v="0"/>
    <x v="2"/>
    <n v="604.42999999999995"/>
    <s v="Customer C2867"/>
    <x v="2"/>
    <x v="1"/>
    <n v="1"/>
    <n v="3626.58"/>
  </r>
  <r>
    <x v="331"/>
    <x v="0"/>
    <d v="2023-05-06T00:00:00"/>
    <n v="2023"/>
    <x v="1"/>
    <n v="5"/>
    <x v="1"/>
    <x v="4"/>
    <n v="336.3"/>
    <s v="Customer C2867"/>
    <x v="2"/>
    <x v="3"/>
    <n v="3"/>
    <n v="336.3"/>
  </r>
  <r>
    <x v="332"/>
    <x v="0"/>
    <d v="2024-04-29T00:00:00"/>
    <n v="2024"/>
    <x v="1"/>
    <n v="4"/>
    <x v="5"/>
    <x v="7"/>
    <n v="31.12"/>
    <s v="Customer C2872"/>
    <x v="2"/>
    <x v="0"/>
    <n v="4"/>
    <n v="124.48"/>
  </r>
  <r>
    <x v="333"/>
    <x v="3"/>
    <d v="2025-04-01T00:00:00"/>
    <n v="2025"/>
    <x v="1"/>
    <n v="4"/>
    <x v="5"/>
    <x v="6"/>
    <n v="167.82"/>
    <s v="Customer C2873"/>
    <x v="1"/>
    <x v="3"/>
    <n v="1"/>
    <n v="1174.74"/>
  </r>
  <r>
    <x v="334"/>
    <x v="0"/>
    <d v="2025-05-16T00:00:00"/>
    <n v="2025"/>
    <x v="1"/>
    <n v="5"/>
    <x v="1"/>
    <x v="0"/>
    <n v="99.49"/>
    <s v="Customer C2881"/>
    <x v="2"/>
    <x v="1"/>
    <n v="2"/>
    <n v="795.92"/>
  </r>
  <r>
    <x v="335"/>
    <x v="0"/>
    <d v="2025-04-13T00:00:00"/>
    <n v="2025"/>
    <x v="1"/>
    <n v="4"/>
    <x v="5"/>
    <x v="2"/>
    <n v="19.09"/>
    <s v="Customer C2882"/>
    <x v="2"/>
    <x v="3"/>
    <n v="3"/>
    <n v="114.54"/>
  </r>
  <r>
    <x v="336"/>
    <x v="2"/>
    <d v="2024-04-07T00:00:00"/>
    <n v="2024"/>
    <x v="1"/>
    <n v="4"/>
    <x v="5"/>
    <x v="7"/>
    <n v="363.31"/>
    <s v="Customer C2904"/>
    <x v="2"/>
    <x v="3"/>
    <n v="4"/>
    <n v="1453.24"/>
  </r>
  <r>
    <x v="337"/>
    <x v="1"/>
    <d v="2023-04-17T00:00:00"/>
    <n v="2023"/>
    <x v="1"/>
    <n v="4"/>
    <x v="5"/>
    <x v="7"/>
    <n v="448.03"/>
    <s v="Customer C2910"/>
    <x v="0"/>
    <x v="2"/>
    <n v="2"/>
    <n v="1792.12"/>
  </r>
  <r>
    <x v="338"/>
    <x v="1"/>
    <d v="2023-09-30T00:00:00"/>
    <n v="2023"/>
    <x v="2"/>
    <n v="9"/>
    <x v="11"/>
    <x v="1"/>
    <n v="508.63"/>
    <s v="Customer C2923"/>
    <x v="0"/>
    <x v="2"/>
    <n v="1"/>
    <n v="1525.89"/>
  </r>
  <r>
    <x v="339"/>
    <x v="2"/>
    <d v="2024-09-07T00:00:00"/>
    <n v="2024"/>
    <x v="2"/>
    <n v="9"/>
    <x v="11"/>
    <x v="0"/>
    <n v="564.54999999999995"/>
    <s v="Customer C2929"/>
    <x v="0"/>
    <x v="1"/>
    <n v="2"/>
    <n v="4516.3999999999996"/>
  </r>
  <r>
    <x v="339"/>
    <x v="5"/>
    <d v="2023-05-23T00:00:00"/>
    <n v="2023"/>
    <x v="1"/>
    <n v="5"/>
    <x v="1"/>
    <x v="7"/>
    <n v="718.49"/>
    <s v="Customer C2929"/>
    <x v="0"/>
    <x v="1"/>
    <n v="2"/>
    <n v="2873.96"/>
  </r>
  <r>
    <x v="340"/>
    <x v="4"/>
    <d v="2024-11-29T00:00:00"/>
    <n v="2024"/>
    <x v="3"/>
    <n v="11"/>
    <x v="8"/>
    <x v="1"/>
    <n v="224.97"/>
    <s v="Customer C2930"/>
    <x v="1"/>
    <x v="1"/>
    <n v="2"/>
    <n v="674.91"/>
  </r>
  <r>
    <x v="341"/>
    <x v="1"/>
    <d v="2024-03-12T00:00:00"/>
    <n v="2024"/>
    <x v="0"/>
    <n v="3"/>
    <x v="10"/>
    <x v="1"/>
    <n v="429.9"/>
    <s v="Customer C2931"/>
    <x v="1"/>
    <x v="2"/>
    <n v="5"/>
    <n v="1289.7"/>
  </r>
  <r>
    <x v="342"/>
    <x v="0"/>
    <d v="2023-07-23T00:00:00"/>
    <n v="2023"/>
    <x v="2"/>
    <n v="7"/>
    <x v="3"/>
    <x v="7"/>
    <n v="149.13999999999999"/>
    <s v="Customer C2932"/>
    <x v="0"/>
    <x v="4"/>
    <n v="4"/>
    <n v="596.55999999999995"/>
  </r>
  <r>
    <x v="343"/>
    <x v="6"/>
    <d v="2025-06-27T00:00:00"/>
    <n v="2025"/>
    <x v="1"/>
    <n v="6"/>
    <x v="2"/>
    <x v="3"/>
    <n v="299.64"/>
    <s v="Customer C2933"/>
    <x v="1"/>
    <x v="0"/>
    <n v="5"/>
    <n v="1498.2"/>
  </r>
  <r>
    <x v="344"/>
    <x v="5"/>
    <d v="2023-08-09T00:00:00"/>
    <n v="2023"/>
    <x v="2"/>
    <n v="8"/>
    <x v="6"/>
    <x v="1"/>
    <n v="646.65"/>
    <s v="Customer C2935"/>
    <x v="0"/>
    <x v="0"/>
    <n v="4"/>
    <n v="1939.95"/>
  </r>
  <r>
    <x v="345"/>
    <x v="6"/>
    <d v="2023-06-08T00:00:00"/>
    <n v="2023"/>
    <x v="1"/>
    <n v="6"/>
    <x v="2"/>
    <x v="6"/>
    <n v="430.84"/>
    <s v="Customer C2945"/>
    <x v="2"/>
    <x v="3"/>
    <n v="4"/>
    <n v="3015.88"/>
  </r>
  <r>
    <x v="346"/>
    <x v="4"/>
    <d v="2023-03-20T00:00:00"/>
    <n v="2023"/>
    <x v="0"/>
    <n v="3"/>
    <x v="10"/>
    <x v="5"/>
    <n v="173.91"/>
    <s v="Customer C2946"/>
    <x v="2"/>
    <x v="2"/>
    <n v="2"/>
    <n v="347.82"/>
  </r>
  <r>
    <x v="347"/>
    <x v="2"/>
    <d v="2023-11-17T00:00:00"/>
    <n v="2023"/>
    <x v="3"/>
    <n v="11"/>
    <x v="8"/>
    <x v="4"/>
    <n v="757.24"/>
    <s v="Customer C2950"/>
    <x v="0"/>
    <x v="1"/>
    <n v="2"/>
    <n v="757.24"/>
  </r>
  <r>
    <x v="348"/>
    <x v="4"/>
    <d v="2024-06-28T00:00:00"/>
    <n v="2024"/>
    <x v="1"/>
    <n v="6"/>
    <x v="2"/>
    <x v="2"/>
    <n v="505.37"/>
    <s v="Customer C2958"/>
    <x v="1"/>
    <x v="4"/>
    <n v="2"/>
    <n v="3032.22"/>
  </r>
  <r>
    <x v="349"/>
    <x v="3"/>
    <d v="2023-11-16T00:00:00"/>
    <n v="2023"/>
    <x v="3"/>
    <n v="11"/>
    <x v="8"/>
    <x v="0"/>
    <n v="283.94"/>
    <s v="Customer C2966"/>
    <x v="1"/>
    <x v="0"/>
    <n v="1"/>
    <n v="2271.52"/>
  </r>
  <r>
    <x v="350"/>
    <x v="5"/>
    <d v="2023-02-28T00:00:00"/>
    <n v="2023"/>
    <x v="0"/>
    <n v="2"/>
    <x v="9"/>
    <x v="0"/>
    <n v="147.6"/>
    <s v="Customer C2967"/>
    <x v="1"/>
    <x v="0"/>
    <n v="4"/>
    <n v="1180.8"/>
  </r>
  <r>
    <x v="351"/>
    <x v="0"/>
    <d v="2025-02-08T00:00:00"/>
    <n v="2025"/>
    <x v="0"/>
    <n v="2"/>
    <x v="9"/>
    <x v="5"/>
    <n v="21.24"/>
    <s v="Customer C2969"/>
    <x v="0"/>
    <x v="3"/>
    <n v="2"/>
    <n v="42.48"/>
  </r>
  <r>
    <x v="352"/>
    <x v="0"/>
    <d v="2023-11-17T00:00:00"/>
    <n v="2023"/>
    <x v="3"/>
    <n v="11"/>
    <x v="8"/>
    <x v="0"/>
    <n v="52.24"/>
    <s v="Customer C2970"/>
    <x v="0"/>
    <x v="4"/>
    <n v="2"/>
    <n v="417.92"/>
  </r>
  <r>
    <x v="353"/>
    <x v="3"/>
    <d v="2023-03-20T00:00:00"/>
    <n v="2023"/>
    <x v="0"/>
    <n v="3"/>
    <x v="10"/>
    <x v="2"/>
    <n v="536.97"/>
    <s v="Customer C2973"/>
    <x v="0"/>
    <x v="3"/>
    <n v="3"/>
    <n v="3221.82"/>
  </r>
  <r>
    <x v="354"/>
    <x v="1"/>
    <d v="2023-03-05T00:00:00"/>
    <n v="2023"/>
    <x v="0"/>
    <n v="3"/>
    <x v="10"/>
    <x v="5"/>
    <n v="523.38"/>
    <s v="Customer C2980"/>
    <x v="2"/>
    <x v="1"/>
    <n v="3"/>
    <n v="1046.76"/>
  </r>
  <r>
    <x v="355"/>
    <x v="5"/>
    <d v="2024-04-28T00:00:00"/>
    <n v="2024"/>
    <x v="1"/>
    <n v="4"/>
    <x v="5"/>
    <x v="2"/>
    <n v="767.89"/>
    <s v="Customer C2981"/>
    <x v="0"/>
    <x v="0"/>
    <n v="3"/>
    <n v="4607.34"/>
  </r>
  <r>
    <x v="355"/>
    <x v="3"/>
    <d v="2025-02-16T00:00:00"/>
    <n v="2025"/>
    <x v="0"/>
    <n v="2"/>
    <x v="9"/>
    <x v="4"/>
    <n v="205.77"/>
    <s v="Customer C2981"/>
    <x v="1"/>
    <x v="0"/>
    <n v="1"/>
    <n v="205.77"/>
  </r>
  <r>
    <x v="356"/>
    <x v="5"/>
    <d v="2023-08-24T00:00:00"/>
    <n v="2023"/>
    <x v="2"/>
    <n v="8"/>
    <x v="6"/>
    <x v="5"/>
    <n v="771.13"/>
    <s v="Customer C2984"/>
    <x v="0"/>
    <x v="4"/>
    <n v="2"/>
    <n v="1542.26"/>
  </r>
  <r>
    <x v="357"/>
    <x v="0"/>
    <d v="2024-03-07T00:00:00"/>
    <n v="2024"/>
    <x v="0"/>
    <n v="3"/>
    <x v="10"/>
    <x v="2"/>
    <n v="216.18"/>
    <s v="Customer C2985"/>
    <x v="2"/>
    <x v="4"/>
    <n v="1"/>
    <n v="1297.08"/>
  </r>
  <r>
    <x v="357"/>
    <x v="5"/>
    <d v="2023-06-04T00:00:00"/>
    <n v="2023"/>
    <x v="1"/>
    <n v="6"/>
    <x v="2"/>
    <x v="6"/>
    <n v="785.29"/>
    <s v="Customer C2985"/>
    <x v="0"/>
    <x v="1"/>
    <n v="4"/>
    <n v="5497.03"/>
  </r>
  <r>
    <x v="358"/>
    <x v="0"/>
    <d v="2025-05-04T00:00:00"/>
    <n v="2025"/>
    <x v="1"/>
    <n v="5"/>
    <x v="1"/>
    <x v="1"/>
    <n v="671.86"/>
    <s v="Customer C3006"/>
    <x v="1"/>
    <x v="3"/>
    <n v="1"/>
    <n v="2015.58"/>
  </r>
  <r>
    <x v="359"/>
    <x v="0"/>
    <d v="2025-03-30T00:00:00"/>
    <n v="2025"/>
    <x v="0"/>
    <n v="3"/>
    <x v="10"/>
    <x v="2"/>
    <n v="277.83"/>
    <s v="Customer C3010"/>
    <x v="1"/>
    <x v="4"/>
    <n v="4"/>
    <n v="1666.98"/>
  </r>
  <r>
    <x v="360"/>
    <x v="4"/>
    <d v="2024-04-25T00:00:00"/>
    <n v="2024"/>
    <x v="1"/>
    <n v="4"/>
    <x v="5"/>
    <x v="4"/>
    <n v="256.49"/>
    <s v="Customer C3026"/>
    <x v="1"/>
    <x v="0"/>
    <n v="1"/>
    <n v="256.49"/>
  </r>
  <r>
    <x v="361"/>
    <x v="0"/>
    <d v="2025-02-21T00:00:00"/>
    <n v="2025"/>
    <x v="0"/>
    <n v="2"/>
    <x v="9"/>
    <x v="1"/>
    <n v="142.41"/>
    <s v="Customer C3032"/>
    <x v="0"/>
    <x v="2"/>
    <n v="1"/>
    <n v="427.23"/>
  </r>
  <r>
    <x v="362"/>
    <x v="1"/>
    <d v="2023-02-04T00:00:00"/>
    <n v="2023"/>
    <x v="0"/>
    <n v="2"/>
    <x v="9"/>
    <x v="2"/>
    <n v="733.87"/>
    <s v="Customer C3039"/>
    <x v="2"/>
    <x v="3"/>
    <n v="5"/>
    <n v="4403.22"/>
  </r>
  <r>
    <x v="363"/>
    <x v="5"/>
    <d v="2025-05-14T00:00:00"/>
    <n v="2025"/>
    <x v="1"/>
    <n v="5"/>
    <x v="1"/>
    <x v="7"/>
    <n v="271.45"/>
    <s v="Customer C3054"/>
    <x v="1"/>
    <x v="4"/>
    <n v="4"/>
    <n v="1085.8"/>
  </r>
  <r>
    <x v="364"/>
    <x v="4"/>
    <d v="2024-07-09T00:00:00"/>
    <n v="2024"/>
    <x v="2"/>
    <n v="7"/>
    <x v="3"/>
    <x v="4"/>
    <n v="184.5"/>
    <s v="Customer C3056"/>
    <x v="0"/>
    <x v="4"/>
    <n v="1"/>
    <n v="184.5"/>
  </r>
  <r>
    <x v="365"/>
    <x v="2"/>
    <d v="2024-09-29T00:00:00"/>
    <n v="2024"/>
    <x v="2"/>
    <n v="9"/>
    <x v="11"/>
    <x v="5"/>
    <n v="339.11"/>
    <s v="Customer C3059"/>
    <x v="1"/>
    <x v="4"/>
    <n v="5"/>
    <n v="678.22"/>
  </r>
  <r>
    <x v="366"/>
    <x v="5"/>
    <d v="2024-09-12T00:00:00"/>
    <n v="2024"/>
    <x v="2"/>
    <n v="9"/>
    <x v="11"/>
    <x v="4"/>
    <n v="634.04999999999995"/>
    <s v="Customer C3073"/>
    <x v="2"/>
    <x v="0"/>
    <n v="2"/>
    <n v="634.04999999999995"/>
  </r>
  <r>
    <x v="367"/>
    <x v="3"/>
    <d v="2024-01-06T00:00:00"/>
    <n v="2024"/>
    <x v="0"/>
    <n v="1"/>
    <x v="0"/>
    <x v="3"/>
    <n v="771.5"/>
    <s v="Customer C3076"/>
    <x v="1"/>
    <x v="0"/>
    <n v="4"/>
    <n v="3857.5"/>
  </r>
  <r>
    <x v="368"/>
    <x v="2"/>
    <d v="2023-04-02T00:00:00"/>
    <n v="2023"/>
    <x v="1"/>
    <n v="4"/>
    <x v="5"/>
    <x v="2"/>
    <n v="54.35"/>
    <s v="Customer C3078"/>
    <x v="0"/>
    <x v="2"/>
    <n v="3"/>
    <n v="326.10000000000002"/>
  </r>
  <r>
    <x v="369"/>
    <x v="0"/>
    <d v="2025-03-16T00:00:00"/>
    <n v="2025"/>
    <x v="0"/>
    <n v="3"/>
    <x v="10"/>
    <x v="1"/>
    <n v="253.17"/>
    <s v="Customer C3081"/>
    <x v="1"/>
    <x v="3"/>
    <n v="2"/>
    <n v="759.51"/>
  </r>
  <r>
    <x v="370"/>
    <x v="4"/>
    <d v="2024-04-13T00:00:00"/>
    <n v="2024"/>
    <x v="1"/>
    <n v="4"/>
    <x v="5"/>
    <x v="5"/>
    <n v="650.49"/>
    <s v="Customer C3096"/>
    <x v="0"/>
    <x v="3"/>
    <n v="3"/>
    <n v="1300.98"/>
  </r>
  <r>
    <x v="371"/>
    <x v="1"/>
    <d v="2025-02-14T00:00:00"/>
    <n v="2025"/>
    <x v="0"/>
    <n v="2"/>
    <x v="9"/>
    <x v="6"/>
    <n v="402"/>
    <s v="Customer C3103"/>
    <x v="2"/>
    <x v="0"/>
    <n v="1"/>
    <n v="2814"/>
  </r>
  <r>
    <x v="372"/>
    <x v="2"/>
    <d v="2023-09-13T00:00:00"/>
    <n v="2023"/>
    <x v="2"/>
    <n v="9"/>
    <x v="11"/>
    <x v="6"/>
    <n v="56.28"/>
    <s v="Customer C3104"/>
    <x v="1"/>
    <x v="0"/>
    <n v="4"/>
    <n v="393.96"/>
  </r>
  <r>
    <x v="373"/>
    <x v="0"/>
    <d v="2023-10-17T00:00:00"/>
    <n v="2023"/>
    <x v="3"/>
    <n v="10"/>
    <x v="4"/>
    <x v="7"/>
    <n v="234.79"/>
    <s v="Customer C3106"/>
    <x v="0"/>
    <x v="0"/>
    <n v="1"/>
    <n v="939.16"/>
  </r>
  <r>
    <x v="374"/>
    <x v="2"/>
    <d v="2023-04-21T00:00:00"/>
    <n v="2023"/>
    <x v="1"/>
    <n v="4"/>
    <x v="5"/>
    <x v="6"/>
    <n v="230.88"/>
    <s v="Customer C3111"/>
    <x v="2"/>
    <x v="0"/>
    <n v="5"/>
    <n v="1616.16"/>
  </r>
  <r>
    <x v="375"/>
    <x v="1"/>
    <d v="2023-06-23T00:00:00"/>
    <n v="2023"/>
    <x v="1"/>
    <n v="6"/>
    <x v="2"/>
    <x v="6"/>
    <n v="788.9"/>
    <s v="Customer C3118"/>
    <x v="0"/>
    <x v="3"/>
    <n v="2"/>
    <n v="5522.3"/>
  </r>
  <r>
    <x v="376"/>
    <x v="0"/>
    <d v="2023-10-19T00:00:00"/>
    <n v="2023"/>
    <x v="3"/>
    <n v="10"/>
    <x v="4"/>
    <x v="5"/>
    <n v="227.29"/>
    <s v="Customer C3124"/>
    <x v="0"/>
    <x v="2"/>
    <n v="5"/>
    <n v="454.58"/>
  </r>
  <r>
    <x v="377"/>
    <x v="4"/>
    <d v="2023-07-08T00:00:00"/>
    <n v="2023"/>
    <x v="2"/>
    <n v="7"/>
    <x v="3"/>
    <x v="4"/>
    <n v="295.56"/>
    <s v="Customer C3127"/>
    <x v="2"/>
    <x v="3"/>
    <n v="2"/>
    <n v="295.56"/>
  </r>
  <r>
    <x v="378"/>
    <x v="0"/>
    <d v="2023-03-15T00:00:00"/>
    <n v="2023"/>
    <x v="0"/>
    <n v="3"/>
    <x v="10"/>
    <x v="1"/>
    <n v="562.1"/>
    <s v="Customer C3130"/>
    <x v="0"/>
    <x v="2"/>
    <n v="1"/>
    <n v="1686.3"/>
  </r>
  <r>
    <x v="379"/>
    <x v="6"/>
    <d v="2024-02-12T00:00:00"/>
    <n v="2024"/>
    <x v="0"/>
    <n v="2"/>
    <x v="9"/>
    <x v="0"/>
    <n v="605.27"/>
    <s v="Customer C3137"/>
    <x v="0"/>
    <x v="1"/>
    <n v="5"/>
    <n v="4842.16"/>
  </r>
  <r>
    <x v="380"/>
    <x v="3"/>
    <d v="2024-03-15T00:00:00"/>
    <n v="2024"/>
    <x v="0"/>
    <n v="3"/>
    <x v="10"/>
    <x v="4"/>
    <n v="343.27"/>
    <s v="Customer C3141"/>
    <x v="0"/>
    <x v="2"/>
    <n v="3"/>
    <n v="343.27"/>
  </r>
  <r>
    <x v="381"/>
    <x v="6"/>
    <d v="2024-10-04T00:00:00"/>
    <n v="2024"/>
    <x v="3"/>
    <n v="10"/>
    <x v="4"/>
    <x v="5"/>
    <n v="350.19"/>
    <s v="Customer C3144"/>
    <x v="1"/>
    <x v="0"/>
    <n v="2"/>
    <n v="700.38"/>
  </r>
  <r>
    <x v="382"/>
    <x v="2"/>
    <d v="2025-05-09T00:00:00"/>
    <n v="2025"/>
    <x v="1"/>
    <n v="5"/>
    <x v="1"/>
    <x v="0"/>
    <n v="788.91"/>
    <s v="Customer C3152"/>
    <x v="2"/>
    <x v="0"/>
    <n v="1"/>
    <n v="6311.28"/>
  </r>
  <r>
    <x v="383"/>
    <x v="0"/>
    <d v="2024-08-27T00:00:00"/>
    <n v="2024"/>
    <x v="2"/>
    <n v="8"/>
    <x v="6"/>
    <x v="6"/>
    <n v="695.02"/>
    <s v="Customer C3160"/>
    <x v="1"/>
    <x v="3"/>
    <n v="3"/>
    <n v="4865.1400000000003"/>
  </r>
  <r>
    <x v="384"/>
    <x v="0"/>
    <d v="2024-11-20T00:00:00"/>
    <n v="2024"/>
    <x v="3"/>
    <n v="11"/>
    <x v="8"/>
    <x v="2"/>
    <n v="289.11"/>
    <s v="Customer C3161"/>
    <x v="1"/>
    <x v="2"/>
    <n v="1"/>
    <n v="1734.66"/>
  </r>
  <r>
    <x v="385"/>
    <x v="0"/>
    <d v="2025-05-06T00:00:00"/>
    <n v="2025"/>
    <x v="1"/>
    <n v="5"/>
    <x v="1"/>
    <x v="3"/>
    <n v="9.8800000000000008"/>
    <s v="Customer C3162"/>
    <x v="0"/>
    <x v="0"/>
    <n v="5"/>
    <n v="49.4"/>
  </r>
  <r>
    <x v="386"/>
    <x v="5"/>
    <d v="2024-08-18T00:00:00"/>
    <n v="2024"/>
    <x v="2"/>
    <n v="8"/>
    <x v="6"/>
    <x v="0"/>
    <n v="207.94"/>
    <s v="Customer C3180"/>
    <x v="0"/>
    <x v="4"/>
    <n v="5"/>
    <n v="1663.52"/>
  </r>
  <r>
    <x v="387"/>
    <x v="6"/>
    <d v="2025-02-19T00:00:00"/>
    <n v="2025"/>
    <x v="0"/>
    <n v="2"/>
    <x v="9"/>
    <x v="6"/>
    <n v="209.87"/>
    <s v="Customer C3182"/>
    <x v="2"/>
    <x v="3"/>
    <n v="2"/>
    <n v="1469.09"/>
  </r>
  <r>
    <x v="388"/>
    <x v="2"/>
    <d v="2024-08-13T00:00:00"/>
    <n v="2024"/>
    <x v="2"/>
    <n v="8"/>
    <x v="6"/>
    <x v="6"/>
    <n v="19.420000000000002"/>
    <s v="Customer C3190"/>
    <x v="1"/>
    <x v="2"/>
    <n v="2"/>
    <n v="135.94"/>
  </r>
  <r>
    <x v="389"/>
    <x v="6"/>
    <d v="2025-03-25T00:00:00"/>
    <n v="2025"/>
    <x v="0"/>
    <n v="3"/>
    <x v="10"/>
    <x v="5"/>
    <n v="560.77"/>
    <s v="Customer C3201"/>
    <x v="1"/>
    <x v="2"/>
    <n v="5"/>
    <n v="1121.54"/>
  </r>
  <r>
    <x v="390"/>
    <x v="2"/>
    <d v="2023-11-19T00:00:00"/>
    <n v="2023"/>
    <x v="3"/>
    <n v="11"/>
    <x v="8"/>
    <x v="5"/>
    <n v="616.6"/>
    <s v="Customer C3205"/>
    <x v="0"/>
    <x v="1"/>
    <n v="5"/>
    <n v="1233.2"/>
  </r>
  <r>
    <x v="391"/>
    <x v="2"/>
    <d v="2024-02-23T00:00:00"/>
    <n v="2024"/>
    <x v="0"/>
    <n v="2"/>
    <x v="9"/>
    <x v="6"/>
    <n v="608.99"/>
    <s v="Customer C3207"/>
    <x v="0"/>
    <x v="4"/>
    <n v="5"/>
    <n v="4262.93"/>
  </r>
  <r>
    <x v="392"/>
    <x v="5"/>
    <d v="2023-03-01T00:00:00"/>
    <n v="2023"/>
    <x v="0"/>
    <n v="3"/>
    <x v="10"/>
    <x v="1"/>
    <n v="449.93"/>
    <s v="Customer C3214"/>
    <x v="1"/>
    <x v="0"/>
    <n v="4"/>
    <n v="1349.79"/>
  </r>
  <r>
    <x v="392"/>
    <x v="3"/>
    <d v="2025-01-16T00:00:00"/>
    <n v="2025"/>
    <x v="0"/>
    <n v="1"/>
    <x v="0"/>
    <x v="3"/>
    <n v="29.75"/>
    <s v="Customer C3214"/>
    <x v="1"/>
    <x v="0"/>
    <n v="4"/>
    <n v="148.75"/>
  </r>
  <r>
    <x v="393"/>
    <x v="5"/>
    <d v="2024-09-04T00:00:00"/>
    <n v="2024"/>
    <x v="2"/>
    <n v="9"/>
    <x v="11"/>
    <x v="4"/>
    <n v="308.02"/>
    <s v="Customer C3216"/>
    <x v="0"/>
    <x v="1"/>
    <n v="1"/>
    <n v="308.02"/>
  </r>
  <r>
    <x v="394"/>
    <x v="3"/>
    <d v="2023-07-30T00:00:00"/>
    <n v="2023"/>
    <x v="2"/>
    <n v="7"/>
    <x v="3"/>
    <x v="6"/>
    <n v="756.85"/>
    <s v="Customer C3217"/>
    <x v="2"/>
    <x v="1"/>
    <n v="2"/>
    <n v="5297.95"/>
  </r>
  <r>
    <x v="395"/>
    <x v="3"/>
    <d v="2023-07-21T00:00:00"/>
    <n v="2023"/>
    <x v="2"/>
    <n v="7"/>
    <x v="3"/>
    <x v="0"/>
    <n v="159.84"/>
    <s v="Customer C3218"/>
    <x v="2"/>
    <x v="4"/>
    <n v="3"/>
    <n v="1278.72"/>
  </r>
  <r>
    <x v="396"/>
    <x v="0"/>
    <d v="2024-09-19T00:00:00"/>
    <n v="2024"/>
    <x v="2"/>
    <n v="9"/>
    <x v="11"/>
    <x v="0"/>
    <n v="72.209999999999994"/>
    <s v="Customer C3222"/>
    <x v="1"/>
    <x v="4"/>
    <n v="4"/>
    <n v="577.67999999999995"/>
  </r>
  <r>
    <x v="397"/>
    <x v="2"/>
    <d v="2024-07-20T00:00:00"/>
    <n v="2024"/>
    <x v="2"/>
    <n v="7"/>
    <x v="3"/>
    <x v="3"/>
    <n v="114.92"/>
    <s v="Customer C3231"/>
    <x v="1"/>
    <x v="4"/>
    <n v="1"/>
    <n v="574.6"/>
  </r>
  <r>
    <x v="397"/>
    <x v="5"/>
    <d v="2025-06-19T00:00:00"/>
    <n v="2025"/>
    <x v="1"/>
    <n v="6"/>
    <x v="2"/>
    <x v="4"/>
    <n v="359.68"/>
    <s v="Customer C3231"/>
    <x v="0"/>
    <x v="1"/>
    <n v="4"/>
    <n v="359.68"/>
  </r>
  <r>
    <x v="398"/>
    <x v="3"/>
    <d v="2025-05-15T00:00:00"/>
    <n v="2025"/>
    <x v="1"/>
    <n v="5"/>
    <x v="1"/>
    <x v="4"/>
    <n v="51.54"/>
    <s v="Customer C3236"/>
    <x v="2"/>
    <x v="4"/>
    <n v="5"/>
    <n v="51.54"/>
  </r>
  <r>
    <x v="399"/>
    <x v="6"/>
    <d v="2024-05-30T00:00:00"/>
    <n v="2024"/>
    <x v="1"/>
    <n v="5"/>
    <x v="1"/>
    <x v="2"/>
    <n v="645.22"/>
    <s v="Customer C3239"/>
    <x v="0"/>
    <x v="0"/>
    <n v="1"/>
    <n v="3871.32"/>
  </r>
  <r>
    <x v="400"/>
    <x v="1"/>
    <d v="2023-12-16T00:00:00"/>
    <n v="2023"/>
    <x v="3"/>
    <n v="12"/>
    <x v="7"/>
    <x v="5"/>
    <n v="179.71"/>
    <s v="Customer C3242"/>
    <x v="0"/>
    <x v="3"/>
    <n v="5"/>
    <n v="359.42"/>
  </r>
  <r>
    <x v="401"/>
    <x v="6"/>
    <d v="2024-05-27T00:00:00"/>
    <n v="2024"/>
    <x v="1"/>
    <n v="5"/>
    <x v="1"/>
    <x v="5"/>
    <n v="322.94"/>
    <s v="Customer C3244"/>
    <x v="2"/>
    <x v="4"/>
    <n v="3"/>
    <n v="645.88"/>
  </r>
  <r>
    <x v="402"/>
    <x v="2"/>
    <d v="2024-04-15T00:00:00"/>
    <n v="2024"/>
    <x v="1"/>
    <n v="4"/>
    <x v="5"/>
    <x v="6"/>
    <n v="161.44999999999999"/>
    <s v="Customer C3251"/>
    <x v="2"/>
    <x v="2"/>
    <n v="4"/>
    <n v="1130.1500000000001"/>
  </r>
  <r>
    <x v="403"/>
    <x v="3"/>
    <d v="2023-07-04T00:00:00"/>
    <n v="2023"/>
    <x v="2"/>
    <n v="7"/>
    <x v="3"/>
    <x v="3"/>
    <n v="416.36"/>
    <s v="Customer C3253"/>
    <x v="2"/>
    <x v="4"/>
    <n v="5"/>
    <n v="2081.8000000000002"/>
  </r>
  <r>
    <x v="404"/>
    <x v="4"/>
    <d v="2023-05-23T00:00:00"/>
    <n v="2023"/>
    <x v="1"/>
    <n v="5"/>
    <x v="1"/>
    <x v="2"/>
    <n v="639.59"/>
    <s v="Customer C3254"/>
    <x v="1"/>
    <x v="1"/>
    <n v="2"/>
    <n v="3837.54"/>
  </r>
  <r>
    <x v="405"/>
    <x v="6"/>
    <d v="2023-06-09T00:00:00"/>
    <n v="2023"/>
    <x v="1"/>
    <n v="6"/>
    <x v="2"/>
    <x v="2"/>
    <n v="187.11"/>
    <s v="Customer C3257"/>
    <x v="1"/>
    <x v="4"/>
    <n v="1"/>
    <n v="1122.6600000000001"/>
  </r>
  <r>
    <x v="405"/>
    <x v="6"/>
    <d v="2023-08-30T00:00:00"/>
    <n v="2023"/>
    <x v="2"/>
    <n v="8"/>
    <x v="6"/>
    <x v="1"/>
    <n v="274.81"/>
    <s v="Customer C3257"/>
    <x v="1"/>
    <x v="0"/>
    <n v="4"/>
    <n v="824.43"/>
  </r>
  <r>
    <x v="406"/>
    <x v="5"/>
    <d v="2023-09-25T00:00:00"/>
    <n v="2023"/>
    <x v="2"/>
    <n v="9"/>
    <x v="11"/>
    <x v="4"/>
    <n v="661.06"/>
    <s v="Customer C3265"/>
    <x v="2"/>
    <x v="4"/>
    <n v="4"/>
    <n v="661.06"/>
  </r>
  <r>
    <x v="407"/>
    <x v="0"/>
    <d v="2024-08-24T00:00:00"/>
    <n v="2024"/>
    <x v="2"/>
    <n v="8"/>
    <x v="6"/>
    <x v="3"/>
    <n v="499.05"/>
    <s v="Customer C3267"/>
    <x v="0"/>
    <x v="3"/>
    <n v="5"/>
    <n v="2495.25"/>
  </r>
  <r>
    <x v="408"/>
    <x v="4"/>
    <d v="2025-04-25T00:00:00"/>
    <n v="2025"/>
    <x v="1"/>
    <n v="4"/>
    <x v="5"/>
    <x v="6"/>
    <n v="528.22"/>
    <s v="Customer C3269"/>
    <x v="2"/>
    <x v="4"/>
    <n v="4"/>
    <n v="3697.54"/>
  </r>
  <r>
    <x v="408"/>
    <x v="6"/>
    <d v="2024-02-01T00:00:00"/>
    <n v="2024"/>
    <x v="0"/>
    <n v="2"/>
    <x v="9"/>
    <x v="2"/>
    <n v="562.65"/>
    <s v="Customer C3269"/>
    <x v="2"/>
    <x v="4"/>
    <n v="5"/>
    <n v="3375.9"/>
  </r>
  <r>
    <x v="408"/>
    <x v="6"/>
    <d v="2024-05-07T00:00:00"/>
    <n v="2024"/>
    <x v="1"/>
    <n v="5"/>
    <x v="1"/>
    <x v="0"/>
    <n v="637.41999999999996"/>
    <s v="Customer C3269"/>
    <x v="2"/>
    <x v="3"/>
    <n v="5"/>
    <n v="5099.3599999999997"/>
  </r>
  <r>
    <x v="409"/>
    <x v="6"/>
    <d v="2023-03-12T00:00:00"/>
    <n v="2023"/>
    <x v="0"/>
    <n v="3"/>
    <x v="10"/>
    <x v="7"/>
    <n v="108.63"/>
    <s v="Customer C3280"/>
    <x v="0"/>
    <x v="2"/>
    <n v="3"/>
    <n v="434.52"/>
  </r>
  <r>
    <x v="410"/>
    <x v="2"/>
    <d v="2025-05-21T00:00:00"/>
    <n v="2025"/>
    <x v="1"/>
    <n v="5"/>
    <x v="1"/>
    <x v="7"/>
    <n v="465.97"/>
    <s v="Customer C3285"/>
    <x v="0"/>
    <x v="1"/>
    <n v="5"/>
    <n v="1863.88"/>
  </r>
  <r>
    <x v="411"/>
    <x v="3"/>
    <d v="2025-01-15T00:00:00"/>
    <n v="2025"/>
    <x v="0"/>
    <n v="1"/>
    <x v="0"/>
    <x v="7"/>
    <n v="174.83"/>
    <s v="Customer C3288"/>
    <x v="2"/>
    <x v="2"/>
    <n v="1"/>
    <n v="699.32"/>
  </r>
  <r>
    <x v="412"/>
    <x v="2"/>
    <d v="2024-04-22T00:00:00"/>
    <n v="2024"/>
    <x v="1"/>
    <n v="4"/>
    <x v="5"/>
    <x v="4"/>
    <n v="214.93"/>
    <s v="Customer C3308"/>
    <x v="1"/>
    <x v="2"/>
    <n v="2"/>
    <n v="214.93"/>
  </r>
  <r>
    <x v="413"/>
    <x v="6"/>
    <d v="2023-08-25T00:00:00"/>
    <n v="2023"/>
    <x v="2"/>
    <n v="8"/>
    <x v="6"/>
    <x v="6"/>
    <n v="743.68"/>
    <s v="Customer C3311"/>
    <x v="1"/>
    <x v="4"/>
    <n v="1"/>
    <n v="5205.76"/>
  </r>
  <r>
    <x v="414"/>
    <x v="6"/>
    <d v="2024-12-09T00:00:00"/>
    <n v="2024"/>
    <x v="3"/>
    <n v="12"/>
    <x v="7"/>
    <x v="6"/>
    <n v="733.48"/>
    <s v="Customer C3312"/>
    <x v="0"/>
    <x v="2"/>
    <n v="3"/>
    <n v="5134.3599999999997"/>
  </r>
  <r>
    <x v="415"/>
    <x v="0"/>
    <d v="2025-05-22T00:00:00"/>
    <n v="2025"/>
    <x v="1"/>
    <n v="5"/>
    <x v="1"/>
    <x v="7"/>
    <n v="508.49"/>
    <s v="Customer C3313"/>
    <x v="2"/>
    <x v="3"/>
    <n v="1"/>
    <n v="2033.96"/>
  </r>
  <r>
    <x v="416"/>
    <x v="5"/>
    <d v="2023-07-29T00:00:00"/>
    <n v="2023"/>
    <x v="2"/>
    <n v="7"/>
    <x v="3"/>
    <x v="6"/>
    <n v="683.26"/>
    <s v="Customer C3316"/>
    <x v="2"/>
    <x v="1"/>
    <n v="1"/>
    <n v="4782.82"/>
  </r>
  <r>
    <x v="417"/>
    <x v="4"/>
    <d v="2023-03-18T00:00:00"/>
    <n v="2023"/>
    <x v="0"/>
    <n v="3"/>
    <x v="10"/>
    <x v="4"/>
    <n v="742.11"/>
    <s v="Customer C3331"/>
    <x v="0"/>
    <x v="4"/>
    <n v="4"/>
    <n v="742.11"/>
  </r>
  <r>
    <x v="418"/>
    <x v="6"/>
    <d v="2024-05-13T00:00:00"/>
    <n v="2024"/>
    <x v="1"/>
    <n v="5"/>
    <x v="1"/>
    <x v="6"/>
    <n v="656.21"/>
    <s v="Customer C3333"/>
    <x v="1"/>
    <x v="0"/>
    <n v="5"/>
    <n v="4593.47"/>
  </r>
  <r>
    <x v="419"/>
    <x v="4"/>
    <d v="2025-05-18T00:00:00"/>
    <n v="2025"/>
    <x v="1"/>
    <n v="5"/>
    <x v="1"/>
    <x v="7"/>
    <n v="69.53"/>
    <s v="Customer C3334"/>
    <x v="2"/>
    <x v="4"/>
    <n v="3"/>
    <n v="278.12"/>
  </r>
  <r>
    <x v="419"/>
    <x v="1"/>
    <d v="2024-02-03T00:00:00"/>
    <n v="2024"/>
    <x v="0"/>
    <n v="2"/>
    <x v="9"/>
    <x v="1"/>
    <n v="493.15"/>
    <s v="Customer C3334"/>
    <x v="2"/>
    <x v="1"/>
    <n v="5"/>
    <n v="1479.45"/>
  </r>
  <r>
    <x v="420"/>
    <x v="0"/>
    <d v="2025-05-20T00:00:00"/>
    <n v="2025"/>
    <x v="1"/>
    <n v="5"/>
    <x v="1"/>
    <x v="3"/>
    <n v="282.24"/>
    <s v="Customer C3335"/>
    <x v="2"/>
    <x v="0"/>
    <n v="1"/>
    <n v="1411.2"/>
  </r>
  <r>
    <x v="421"/>
    <x v="6"/>
    <d v="2023-06-15T00:00:00"/>
    <n v="2023"/>
    <x v="1"/>
    <n v="6"/>
    <x v="2"/>
    <x v="2"/>
    <n v="477.93"/>
    <s v="Customer C3336"/>
    <x v="2"/>
    <x v="0"/>
    <n v="3"/>
    <n v="2867.58"/>
  </r>
  <r>
    <x v="421"/>
    <x v="6"/>
    <d v="2024-02-25T00:00:00"/>
    <n v="2024"/>
    <x v="0"/>
    <n v="2"/>
    <x v="9"/>
    <x v="4"/>
    <n v="146"/>
    <s v="Customer C3336"/>
    <x v="0"/>
    <x v="4"/>
    <n v="5"/>
    <n v="146"/>
  </r>
  <r>
    <x v="422"/>
    <x v="4"/>
    <d v="2025-06-14T00:00:00"/>
    <n v="2025"/>
    <x v="1"/>
    <n v="6"/>
    <x v="2"/>
    <x v="1"/>
    <n v="194.47"/>
    <s v="Customer C3354"/>
    <x v="2"/>
    <x v="1"/>
    <n v="2"/>
    <n v="583.41"/>
  </r>
  <r>
    <x v="423"/>
    <x v="6"/>
    <d v="2024-11-02T00:00:00"/>
    <n v="2024"/>
    <x v="3"/>
    <n v="11"/>
    <x v="8"/>
    <x v="6"/>
    <n v="89.56"/>
    <s v="Customer C3356"/>
    <x v="2"/>
    <x v="0"/>
    <n v="3"/>
    <n v="626.91999999999996"/>
  </r>
  <r>
    <x v="424"/>
    <x v="3"/>
    <d v="2023-05-17T00:00:00"/>
    <n v="2023"/>
    <x v="1"/>
    <n v="5"/>
    <x v="1"/>
    <x v="0"/>
    <n v="367.53"/>
    <s v="Customer C3364"/>
    <x v="0"/>
    <x v="3"/>
    <n v="1"/>
    <n v="2940.24"/>
  </r>
  <r>
    <x v="424"/>
    <x v="1"/>
    <d v="2023-07-01T00:00:00"/>
    <n v="2023"/>
    <x v="2"/>
    <n v="7"/>
    <x v="3"/>
    <x v="5"/>
    <n v="581.6"/>
    <s v="Customer C3364"/>
    <x v="0"/>
    <x v="2"/>
    <n v="5"/>
    <n v="1163.2"/>
  </r>
  <r>
    <x v="425"/>
    <x v="5"/>
    <d v="2024-04-21T00:00:00"/>
    <n v="2024"/>
    <x v="1"/>
    <n v="4"/>
    <x v="5"/>
    <x v="6"/>
    <n v="734.16"/>
    <s v="Customer C3370"/>
    <x v="0"/>
    <x v="4"/>
    <n v="1"/>
    <n v="5139.12"/>
  </r>
  <r>
    <x v="426"/>
    <x v="6"/>
    <d v="2025-02-12T00:00:00"/>
    <n v="2025"/>
    <x v="0"/>
    <n v="2"/>
    <x v="9"/>
    <x v="0"/>
    <n v="184.05"/>
    <s v="Customer C3381"/>
    <x v="2"/>
    <x v="4"/>
    <n v="5"/>
    <n v="1472.4"/>
  </r>
  <r>
    <x v="427"/>
    <x v="2"/>
    <d v="2025-02-18T00:00:00"/>
    <n v="2025"/>
    <x v="0"/>
    <n v="2"/>
    <x v="9"/>
    <x v="3"/>
    <n v="390.97"/>
    <s v="Customer C3383"/>
    <x v="1"/>
    <x v="1"/>
    <n v="4"/>
    <n v="1954.85"/>
  </r>
  <r>
    <x v="428"/>
    <x v="6"/>
    <d v="2024-02-15T00:00:00"/>
    <n v="2024"/>
    <x v="0"/>
    <n v="2"/>
    <x v="9"/>
    <x v="6"/>
    <n v="427.25"/>
    <s v="Customer C3385"/>
    <x v="1"/>
    <x v="0"/>
    <n v="5"/>
    <n v="2990.75"/>
  </r>
  <r>
    <x v="429"/>
    <x v="0"/>
    <d v="2023-01-24T00:00:00"/>
    <n v="2023"/>
    <x v="0"/>
    <n v="1"/>
    <x v="0"/>
    <x v="4"/>
    <n v="586.44000000000005"/>
    <s v="Customer C3388"/>
    <x v="1"/>
    <x v="4"/>
    <n v="4"/>
    <n v="586.44000000000005"/>
  </r>
  <r>
    <x v="430"/>
    <x v="6"/>
    <d v="2023-12-08T00:00:00"/>
    <n v="2023"/>
    <x v="3"/>
    <n v="12"/>
    <x v="7"/>
    <x v="2"/>
    <n v="479.41"/>
    <s v="Customer C3390"/>
    <x v="2"/>
    <x v="3"/>
    <n v="5"/>
    <n v="2876.46"/>
  </r>
  <r>
    <x v="431"/>
    <x v="4"/>
    <d v="2023-03-21T00:00:00"/>
    <n v="2023"/>
    <x v="0"/>
    <n v="3"/>
    <x v="10"/>
    <x v="6"/>
    <n v="432.68"/>
    <s v="Customer C3400"/>
    <x v="2"/>
    <x v="1"/>
    <n v="4"/>
    <n v="3028.76"/>
  </r>
  <r>
    <x v="432"/>
    <x v="2"/>
    <d v="2025-01-06T00:00:00"/>
    <n v="2025"/>
    <x v="0"/>
    <n v="1"/>
    <x v="0"/>
    <x v="6"/>
    <n v="206.05"/>
    <s v="Customer C3402"/>
    <x v="1"/>
    <x v="2"/>
    <n v="1"/>
    <n v="1442.35"/>
  </r>
  <r>
    <x v="433"/>
    <x v="1"/>
    <d v="2024-03-17T00:00:00"/>
    <n v="2024"/>
    <x v="0"/>
    <n v="3"/>
    <x v="10"/>
    <x v="0"/>
    <n v="287.38"/>
    <s v="Customer C3406"/>
    <x v="2"/>
    <x v="1"/>
    <n v="1"/>
    <n v="2299.04"/>
  </r>
  <r>
    <x v="434"/>
    <x v="4"/>
    <d v="2024-01-11T00:00:00"/>
    <n v="2024"/>
    <x v="0"/>
    <n v="1"/>
    <x v="0"/>
    <x v="4"/>
    <n v="347.91"/>
    <s v="Customer C3407"/>
    <x v="2"/>
    <x v="4"/>
    <n v="2"/>
    <n v="347.91"/>
  </r>
  <r>
    <x v="435"/>
    <x v="1"/>
    <d v="2024-04-07T00:00:00"/>
    <n v="2024"/>
    <x v="1"/>
    <n v="4"/>
    <x v="5"/>
    <x v="0"/>
    <n v="588.39"/>
    <s v="Customer C3411"/>
    <x v="0"/>
    <x v="2"/>
    <n v="2"/>
    <n v="4707.12"/>
  </r>
  <r>
    <x v="436"/>
    <x v="0"/>
    <d v="2023-05-01T00:00:00"/>
    <n v="2023"/>
    <x v="1"/>
    <n v="5"/>
    <x v="1"/>
    <x v="4"/>
    <n v="462.31"/>
    <s v="Customer C3416"/>
    <x v="1"/>
    <x v="1"/>
    <n v="5"/>
    <n v="462.31"/>
  </r>
  <r>
    <x v="437"/>
    <x v="6"/>
    <d v="2024-03-17T00:00:00"/>
    <n v="2024"/>
    <x v="0"/>
    <n v="3"/>
    <x v="10"/>
    <x v="4"/>
    <n v="362.89"/>
    <s v="Customer C3417"/>
    <x v="1"/>
    <x v="4"/>
    <n v="4"/>
    <n v="362.89"/>
  </r>
  <r>
    <x v="438"/>
    <x v="4"/>
    <d v="2025-02-20T00:00:00"/>
    <n v="2025"/>
    <x v="0"/>
    <n v="2"/>
    <x v="9"/>
    <x v="0"/>
    <n v="670.57"/>
    <s v="Customer C3423"/>
    <x v="1"/>
    <x v="1"/>
    <n v="5"/>
    <n v="5364.56"/>
  </r>
  <r>
    <x v="439"/>
    <x v="1"/>
    <d v="2023-03-24T00:00:00"/>
    <n v="2023"/>
    <x v="0"/>
    <n v="3"/>
    <x v="10"/>
    <x v="1"/>
    <n v="365.61"/>
    <s v="Customer C3426"/>
    <x v="0"/>
    <x v="3"/>
    <n v="5"/>
    <n v="1096.83"/>
  </r>
  <r>
    <x v="440"/>
    <x v="5"/>
    <d v="2025-05-22T00:00:00"/>
    <n v="2025"/>
    <x v="1"/>
    <n v="5"/>
    <x v="1"/>
    <x v="2"/>
    <n v="598.59"/>
    <s v="Customer C3428"/>
    <x v="1"/>
    <x v="2"/>
    <n v="1"/>
    <n v="3591.54"/>
  </r>
  <r>
    <x v="441"/>
    <x v="2"/>
    <d v="2025-01-15T00:00:00"/>
    <n v="2025"/>
    <x v="0"/>
    <n v="1"/>
    <x v="0"/>
    <x v="4"/>
    <n v="212.45"/>
    <s v="Customer C3431"/>
    <x v="2"/>
    <x v="2"/>
    <n v="1"/>
    <n v="212.45"/>
  </r>
  <r>
    <x v="442"/>
    <x v="0"/>
    <d v="2024-04-19T00:00:00"/>
    <n v="2024"/>
    <x v="1"/>
    <n v="4"/>
    <x v="5"/>
    <x v="2"/>
    <n v="39.6"/>
    <s v="Customer C3439"/>
    <x v="2"/>
    <x v="3"/>
    <n v="3"/>
    <n v="237.6"/>
  </r>
  <r>
    <x v="443"/>
    <x v="0"/>
    <d v="2025-05-15T00:00:00"/>
    <n v="2025"/>
    <x v="1"/>
    <n v="5"/>
    <x v="1"/>
    <x v="3"/>
    <n v="619.53"/>
    <s v="Customer C3440"/>
    <x v="1"/>
    <x v="0"/>
    <n v="2"/>
    <n v="3097.65"/>
  </r>
  <r>
    <x v="444"/>
    <x v="0"/>
    <d v="2023-03-14T00:00:00"/>
    <n v="2023"/>
    <x v="0"/>
    <n v="3"/>
    <x v="10"/>
    <x v="4"/>
    <n v="261.2"/>
    <s v="Customer C3450"/>
    <x v="1"/>
    <x v="1"/>
    <n v="1"/>
    <n v="261.2"/>
  </r>
  <r>
    <x v="445"/>
    <x v="3"/>
    <d v="2023-05-18T00:00:00"/>
    <n v="2023"/>
    <x v="1"/>
    <n v="5"/>
    <x v="1"/>
    <x v="5"/>
    <n v="121.84"/>
    <s v="Customer C3454"/>
    <x v="0"/>
    <x v="4"/>
    <n v="1"/>
    <n v="243.68"/>
  </r>
  <r>
    <x v="446"/>
    <x v="2"/>
    <d v="2023-01-03T00:00:00"/>
    <n v="2023"/>
    <x v="0"/>
    <n v="1"/>
    <x v="0"/>
    <x v="0"/>
    <n v="126.85"/>
    <s v="Customer C3455"/>
    <x v="0"/>
    <x v="4"/>
    <n v="1"/>
    <n v="1014.8"/>
  </r>
  <r>
    <x v="446"/>
    <x v="4"/>
    <d v="2024-05-31T00:00:00"/>
    <n v="2024"/>
    <x v="1"/>
    <n v="5"/>
    <x v="1"/>
    <x v="5"/>
    <n v="612.89"/>
    <s v="Customer C3455"/>
    <x v="1"/>
    <x v="2"/>
    <n v="1"/>
    <n v="1225.78"/>
  </r>
  <r>
    <x v="447"/>
    <x v="2"/>
    <d v="2023-10-26T00:00:00"/>
    <n v="2023"/>
    <x v="3"/>
    <n v="10"/>
    <x v="4"/>
    <x v="7"/>
    <n v="454.98"/>
    <s v="Customer C3458"/>
    <x v="2"/>
    <x v="0"/>
    <n v="3"/>
    <n v="1819.92"/>
  </r>
  <r>
    <x v="448"/>
    <x v="5"/>
    <d v="2024-10-31T00:00:00"/>
    <n v="2024"/>
    <x v="3"/>
    <n v="10"/>
    <x v="4"/>
    <x v="7"/>
    <n v="458.7"/>
    <s v="Customer C3459"/>
    <x v="2"/>
    <x v="1"/>
    <n v="1"/>
    <n v="1834.8"/>
  </r>
  <r>
    <x v="449"/>
    <x v="5"/>
    <d v="2023-06-12T00:00:00"/>
    <n v="2023"/>
    <x v="1"/>
    <n v="6"/>
    <x v="2"/>
    <x v="0"/>
    <n v="652.61"/>
    <s v="Customer C3460"/>
    <x v="2"/>
    <x v="2"/>
    <n v="1"/>
    <n v="5220.88"/>
  </r>
  <r>
    <x v="449"/>
    <x v="3"/>
    <d v="2025-06-30T00:00:00"/>
    <n v="2025"/>
    <x v="1"/>
    <n v="6"/>
    <x v="2"/>
    <x v="6"/>
    <n v="548.54"/>
    <s v="Customer C3460"/>
    <x v="1"/>
    <x v="3"/>
    <n v="4"/>
    <n v="3839.78"/>
  </r>
  <r>
    <x v="450"/>
    <x v="4"/>
    <d v="2023-05-04T00:00:00"/>
    <n v="2023"/>
    <x v="1"/>
    <n v="5"/>
    <x v="1"/>
    <x v="5"/>
    <n v="264.97000000000003"/>
    <s v="Customer C3463"/>
    <x v="0"/>
    <x v="4"/>
    <n v="4"/>
    <n v="529.94000000000005"/>
  </r>
  <r>
    <x v="451"/>
    <x v="0"/>
    <d v="2025-05-10T00:00:00"/>
    <n v="2025"/>
    <x v="1"/>
    <n v="5"/>
    <x v="1"/>
    <x v="0"/>
    <n v="642.59"/>
    <s v="Customer C3472"/>
    <x v="2"/>
    <x v="2"/>
    <n v="5"/>
    <n v="5140.72"/>
  </r>
  <r>
    <x v="452"/>
    <x v="2"/>
    <d v="2024-11-17T00:00:00"/>
    <n v="2024"/>
    <x v="3"/>
    <n v="11"/>
    <x v="8"/>
    <x v="4"/>
    <n v="776.01"/>
    <s v="Customer C3477"/>
    <x v="1"/>
    <x v="3"/>
    <n v="2"/>
    <n v="776.01"/>
  </r>
  <r>
    <x v="452"/>
    <x v="5"/>
    <d v="2024-05-05T00:00:00"/>
    <n v="2024"/>
    <x v="1"/>
    <n v="5"/>
    <x v="1"/>
    <x v="3"/>
    <n v="186.86"/>
    <s v="Customer C3477"/>
    <x v="2"/>
    <x v="2"/>
    <n v="2"/>
    <n v="934.3"/>
  </r>
  <r>
    <x v="452"/>
    <x v="1"/>
    <d v="2023-12-28T00:00:00"/>
    <n v="2023"/>
    <x v="3"/>
    <n v="12"/>
    <x v="7"/>
    <x v="2"/>
    <n v="685.83"/>
    <s v="Customer C3477"/>
    <x v="2"/>
    <x v="0"/>
    <n v="3"/>
    <n v="4114.9799999999996"/>
  </r>
  <r>
    <x v="453"/>
    <x v="2"/>
    <d v="2025-05-14T00:00:00"/>
    <n v="2025"/>
    <x v="1"/>
    <n v="5"/>
    <x v="1"/>
    <x v="3"/>
    <n v="408.93"/>
    <s v="Customer C3479"/>
    <x v="2"/>
    <x v="0"/>
    <n v="5"/>
    <n v="2044.65"/>
  </r>
  <r>
    <x v="454"/>
    <x v="5"/>
    <d v="2023-07-14T00:00:00"/>
    <n v="2023"/>
    <x v="2"/>
    <n v="7"/>
    <x v="3"/>
    <x v="4"/>
    <n v="745.08"/>
    <s v="Customer C3487"/>
    <x v="0"/>
    <x v="4"/>
    <n v="5"/>
    <n v="745.08"/>
  </r>
  <r>
    <x v="455"/>
    <x v="5"/>
    <d v="2024-10-20T00:00:00"/>
    <n v="2024"/>
    <x v="3"/>
    <n v="10"/>
    <x v="4"/>
    <x v="7"/>
    <n v="794.6"/>
    <s v="Customer C3490"/>
    <x v="1"/>
    <x v="2"/>
    <n v="2"/>
    <n v="3178.4"/>
  </r>
  <r>
    <x v="456"/>
    <x v="5"/>
    <d v="2023-03-14T00:00:00"/>
    <n v="2023"/>
    <x v="0"/>
    <n v="3"/>
    <x v="10"/>
    <x v="3"/>
    <n v="518.94000000000005"/>
    <s v="Customer C3492"/>
    <x v="1"/>
    <x v="4"/>
    <n v="3"/>
    <n v="2594.6999999999998"/>
  </r>
  <r>
    <x v="457"/>
    <x v="1"/>
    <d v="2023-12-01T00:00:00"/>
    <n v="2023"/>
    <x v="3"/>
    <n v="12"/>
    <x v="7"/>
    <x v="7"/>
    <n v="186.25"/>
    <s v="Customer C3497"/>
    <x v="2"/>
    <x v="0"/>
    <n v="2"/>
    <n v="745"/>
  </r>
  <r>
    <x v="458"/>
    <x v="2"/>
    <d v="2024-04-28T00:00:00"/>
    <n v="2024"/>
    <x v="1"/>
    <n v="4"/>
    <x v="5"/>
    <x v="3"/>
    <n v="92.37"/>
    <s v="Customer C3498"/>
    <x v="1"/>
    <x v="0"/>
    <n v="5"/>
    <n v="461.85"/>
  </r>
  <r>
    <x v="459"/>
    <x v="5"/>
    <d v="2024-11-30T00:00:00"/>
    <n v="2024"/>
    <x v="3"/>
    <n v="11"/>
    <x v="8"/>
    <x v="4"/>
    <n v="308.3"/>
    <s v="Customer C3499"/>
    <x v="1"/>
    <x v="0"/>
    <n v="1"/>
    <n v="308.3"/>
  </r>
  <r>
    <x v="460"/>
    <x v="0"/>
    <d v="2024-11-23T00:00:00"/>
    <n v="2024"/>
    <x v="3"/>
    <n v="11"/>
    <x v="8"/>
    <x v="3"/>
    <n v="505.66"/>
    <s v="Customer C3501"/>
    <x v="2"/>
    <x v="3"/>
    <n v="3"/>
    <n v="2528.3000000000002"/>
  </r>
  <r>
    <x v="461"/>
    <x v="2"/>
    <d v="2025-01-04T00:00:00"/>
    <n v="2025"/>
    <x v="0"/>
    <n v="1"/>
    <x v="0"/>
    <x v="1"/>
    <n v="629.78"/>
    <s v="Customer C3505"/>
    <x v="1"/>
    <x v="0"/>
    <n v="4"/>
    <n v="1889.34"/>
  </r>
  <r>
    <x v="462"/>
    <x v="3"/>
    <d v="2023-10-07T00:00:00"/>
    <n v="2023"/>
    <x v="3"/>
    <n v="10"/>
    <x v="4"/>
    <x v="4"/>
    <n v="86.51"/>
    <s v="Customer C3509"/>
    <x v="2"/>
    <x v="2"/>
    <n v="2"/>
    <n v="86.51"/>
  </r>
  <r>
    <x v="463"/>
    <x v="5"/>
    <d v="2024-05-04T00:00:00"/>
    <n v="2024"/>
    <x v="1"/>
    <n v="5"/>
    <x v="1"/>
    <x v="6"/>
    <n v="631.26"/>
    <s v="Customer C3513"/>
    <x v="1"/>
    <x v="1"/>
    <n v="5"/>
    <n v="4418.82"/>
  </r>
  <r>
    <x v="464"/>
    <x v="5"/>
    <d v="2025-02-28T00:00:00"/>
    <n v="2025"/>
    <x v="0"/>
    <n v="2"/>
    <x v="9"/>
    <x v="3"/>
    <n v="720.71"/>
    <s v="Customer C3516"/>
    <x v="1"/>
    <x v="4"/>
    <n v="1"/>
    <n v="3603.55"/>
  </r>
  <r>
    <x v="465"/>
    <x v="2"/>
    <d v="2024-05-12T00:00:00"/>
    <n v="2024"/>
    <x v="1"/>
    <n v="5"/>
    <x v="1"/>
    <x v="0"/>
    <n v="537.45000000000005"/>
    <s v="Customer C3517"/>
    <x v="0"/>
    <x v="1"/>
    <n v="2"/>
    <n v="4299.6000000000004"/>
  </r>
  <r>
    <x v="466"/>
    <x v="3"/>
    <d v="2023-10-28T00:00:00"/>
    <n v="2023"/>
    <x v="3"/>
    <n v="10"/>
    <x v="4"/>
    <x v="0"/>
    <n v="250.47"/>
    <s v="Customer C3519"/>
    <x v="2"/>
    <x v="4"/>
    <n v="5"/>
    <n v="2003.76"/>
  </r>
  <r>
    <x v="467"/>
    <x v="1"/>
    <d v="2023-05-20T00:00:00"/>
    <n v="2023"/>
    <x v="1"/>
    <n v="5"/>
    <x v="1"/>
    <x v="0"/>
    <n v="11.23"/>
    <s v="Customer C3527"/>
    <x v="2"/>
    <x v="1"/>
    <n v="2"/>
    <n v="89.84"/>
  </r>
  <r>
    <x v="468"/>
    <x v="0"/>
    <d v="2024-09-24T00:00:00"/>
    <n v="2024"/>
    <x v="2"/>
    <n v="9"/>
    <x v="11"/>
    <x v="6"/>
    <n v="362.42"/>
    <s v="Customer C3528"/>
    <x v="0"/>
    <x v="3"/>
    <n v="4"/>
    <n v="2536.94"/>
  </r>
  <r>
    <x v="469"/>
    <x v="6"/>
    <d v="2023-01-24T00:00:00"/>
    <n v="2023"/>
    <x v="0"/>
    <n v="1"/>
    <x v="0"/>
    <x v="4"/>
    <n v="50.03"/>
    <s v="Customer C3533"/>
    <x v="0"/>
    <x v="2"/>
    <n v="5"/>
    <n v="50.03"/>
  </r>
  <r>
    <x v="470"/>
    <x v="1"/>
    <d v="2023-01-15T00:00:00"/>
    <n v="2023"/>
    <x v="0"/>
    <n v="1"/>
    <x v="0"/>
    <x v="4"/>
    <n v="458.55"/>
    <s v="Customer C3536"/>
    <x v="0"/>
    <x v="4"/>
    <n v="4"/>
    <n v="458.55"/>
  </r>
  <r>
    <x v="471"/>
    <x v="0"/>
    <d v="2024-11-27T00:00:00"/>
    <n v="2024"/>
    <x v="3"/>
    <n v="11"/>
    <x v="8"/>
    <x v="4"/>
    <n v="165.45"/>
    <s v="Customer C3555"/>
    <x v="2"/>
    <x v="4"/>
    <n v="5"/>
    <n v="165.45"/>
  </r>
  <r>
    <x v="472"/>
    <x v="4"/>
    <d v="2025-03-08T00:00:00"/>
    <n v="2025"/>
    <x v="0"/>
    <n v="3"/>
    <x v="10"/>
    <x v="6"/>
    <n v="283.8"/>
    <s v="Customer C3557"/>
    <x v="2"/>
    <x v="1"/>
    <n v="5"/>
    <n v="1986.6"/>
  </r>
  <r>
    <x v="473"/>
    <x v="6"/>
    <d v="2024-08-15T00:00:00"/>
    <n v="2024"/>
    <x v="2"/>
    <n v="8"/>
    <x v="6"/>
    <x v="5"/>
    <n v="533.20000000000005"/>
    <s v="Customer C3561"/>
    <x v="1"/>
    <x v="0"/>
    <n v="2"/>
    <n v="1066.4000000000001"/>
  </r>
  <r>
    <x v="474"/>
    <x v="3"/>
    <d v="2024-10-29T00:00:00"/>
    <n v="2024"/>
    <x v="3"/>
    <n v="10"/>
    <x v="4"/>
    <x v="2"/>
    <n v="18.03"/>
    <s v="Customer C3571"/>
    <x v="0"/>
    <x v="4"/>
    <n v="1"/>
    <n v="108.18"/>
  </r>
  <r>
    <x v="475"/>
    <x v="5"/>
    <d v="2024-01-02T00:00:00"/>
    <n v="2024"/>
    <x v="0"/>
    <n v="1"/>
    <x v="0"/>
    <x v="6"/>
    <n v="747.6"/>
    <s v="Customer C3577"/>
    <x v="2"/>
    <x v="0"/>
    <n v="2"/>
    <n v="5233.2"/>
  </r>
  <r>
    <x v="476"/>
    <x v="6"/>
    <d v="2023-07-26T00:00:00"/>
    <n v="2023"/>
    <x v="2"/>
    <n v="7"/>
    <x v="3"/>
    <x v="2"/>
    <n v="493.21"/>
    <s v="Customer C3578"/>
    <x v="0"/>
    <x v="0"/>
    <n v="5"/>
    <n v="2959.26"/>
  </r>
  <r>
    <x v="477"/>
    <x v="0"/>
    <d v="2025-03-19T00:00:00"/>
    <n v="2025"/>
    <x v="0"/>
    <n v="3"/>
    <x v="10"/>
    <x v="3"/>
    <n v="422.44"/>
    <s v="Customer C3579"/>
    <x v="2"/>
    <x v="0"/>
    <n v="5"/>
    <n v="2112.1999999999998"/>
  </r>
  <r>
    <x v="478"/>
    <x v="0"/>
    <d v="2023-11-29T00:00:00"/>
    <n v="2023"/>
    <x v="3"/>
    <n v="11"/>
    <x v="8"/>
    <x v="4"/>
    <n v="410.32"/>
    <s v="Customer C3589"/>
    <x v="2"/>
    <x v="4"/>
    <n v="5"/>
    <n v="410.32"/>
  </r>
  <r>
    <x v="479"/>
    <x v="4"/>
    <d v="2023-04-29T00:00:00"/>
    <n v="2023"/>
    <x v="1"/>
    <n v="4"/>
    <x v="5"/>
    <x v="0"/>
    <n v="55.62"/>
    <s v="Customer C3593"/>
    <x v="0"/>
    <x v="0"/>
    <n v="5"/>
    <n v="444.96"/>
  </r>
  <r>
    <x v="480"/>
    <x v="5"/>
    <d v="2024-06-11T00:00:00"/>
    <n v="2024"/>
    <x v="1"/>
    <n v="6"/>
    <x v="2"/>
    <x v="5"/>
    <n v="355.97"/>
    <s v="Customer C3603"/>
    <x v="0"/>
    <x v="0"/>
    <n v="3"/>
    <n v="711.94"/>
  </r>
  <r>
    <x v="481"/>
    <x v="5"/>
    <d v="2024-02-20T00:00:00"/>
    <n v="2024"/>
    <x v="0"/>
    <n v="2"/>
    <x v="9"/>
    <x v="7"/>
    <n v="606.22"/>
    <s v="Customer C3626"/>
    <x v="1"/>
    <x v="3"/>
    <n v="3"/>
    <n v="2424.88"/>
  </r>
  <r>
    <x v="482"/>
    <x v="5"/>
    <d v="2024-06-24T00:00:00"/>
    <n v="2024"/>
    <x v="1"/>
    <n v="6"/>
    <x v="2"/>
    <x v="1"/>
    <n v="194.63"/>
    <s v="Customer C3635"/>
    <x v="1"/>
    <x v="0"/>
    <n v="1"/>
    <n v="583.89"/>
  </r>
  <r>
    <x v="483"/>
    <x v="1"/>
    <d v="2023-05-25T00:00:00"/>
    <n v="2023"/>
    <x v="1"/>
    <n v="5"/>
    <x v="1"/>
    <x v="4"/>
    <n v="614.88"/>
    <s v="Customer C3636"/>
    <x v="0"/>
    <x v="4"/>
    <n v="2"/>
    <n v="614.88"/>
  </r>
  <r>
    <x v="484"/>
    <x v="1"/>
    <d v="2024-03-04T00:00:00"/>
    <n v="2024"/>
    <x v="0"/>
    <n v="3"/>
    <x v="10"/>
    <x v="4"/>
    <n v="113.78"/>
    <s v="Customer C3641"/>
    <x v="1"/>
    <x v="2"/>
    <n v="4"/>
    <n v="113.78"/>
  </r>
  <r>
    <x v="485"/>
    <x v="1"/>
    <d v="2024-11-26T00:00:00"/>
    <n v="2024"/>
    <x v="3"/>
    <n v="11"/>
    <x v="8"/>
    <x v="0"/>
    <n v="395.46"/>
    <s v="Customer C3647"/>
    <x v="2"/>
    <x v="4"/>
    <n v="1"/>
    <n v="3163.68"/>
  </r>
  <r>
    <x v="486"/>
    <x v="2"/>
    <d v="2023-05-31T00:00:00"/>
    <n v="2023"/>
    <x v="1"/>
    <n v="5"/>
    <x v="1"/>
    <x v="7"/>
    <n v="254.64"/>
    <s v="Customer C3656"/>
    <x v="0"/>
    <x v="3"/>
    <n v="5"/>
    <n v="1018.56"/>
  </r>
  <r>
    <x v="487"/>
    <x v="2"/>
    <d v="2023-12-16T00:00:00"/>
    <n v="2023"/>
    <x v="3"/>
    <n v="12"/>
    <x v="7"/>
    <x v="1"/>
    <n v="603.87"/>
    <s v="Customer C3658"/>
    <x v="1"/>
    <x v="2"/>
    <n v="4"/>
    <n v="1811.61"/>
  </r>
  <r>
    <x v="487"/>
    <x v="1"/>
    <d v="2024-02-08T00:00:00"/>
    <n v="2024"/>
    <x v="0"/>
    <n v="2"/>
    <x v="9"/>
    <x v="2"/>
    <n v="27.4"/>
    <s v="Customer C3658"/>
    <x v="0"/>
    <x v="4"/>
    <n v="1"/>
    <n v="164.4"/>
  </r>
  <r>
    <x v="488"/>
    <x v="4"/>
    <d v="2023-11-08T00:00:00"/>
    <n v="2023"/>
    <x v="3"/>
    <n v="11"/>
    <x v="8"/>
    <x v="0"/>
    <n v="664.71"/>
    <s v="Customer C3659"/>
    <x v="0"/>
    <x v="4"/>
    <n v="2"/>
    <n v="5317.68"/>
  </r>
  <r>
    <x v="489"/>
    <x v="5"/>
    <d v="2024-09-24T00:00:00"/>
    <n v="2024"/>
    <x v="2"/>
    <n v="9"/>
    <x v="11"/>
    <x v="0"/>
    <n v="87.35"/>
    <s v="Customer C3663"/>
    <x v="2"/>
    <x v="0"/>
    <n v="3"/>
    <n v="698.8"/>
  </r>
  <r>
    <x v="490"/>
    <x v="3"/>
    <d v="2025-04-06T00:00:00"/>
    <n v="2025"/>
    <x v="1"/>
    <n v="4"/>
    <x v="5"/>
    <x v="7"/>
    <n v="501.22"/>
    <s v="Customer C3666"/>
    <x v="2"/>
    <x v="0"/>
    <n v="4"/>
    <n v="2004.88"/>
  </r>
  <r>
    <x v="491"/>
    <x v="1"/>
    <d v="2023-11-20T00:00:00"/>
    <n v="2023"/>
    <x v="3"/>
    <n v="11"/>
    <x v="8"/>
    <x v="6"/>
    <n v="210.35"/>
    <s v="Customer C3669"/>
    <x v="1"/>
    <x v="0"/>
    <n v="3"/>
    <n v="1472.45"/>
  </r>
  <r>
    <x v="492"/>
    <x v="1"/>
    <d v="2024-12-22T00:00:00"/>
    <n v="2024"/>
    <x v="3"/>
    <n v="12"/>
    <x v="7"/>
    <x v="1"/>
    <n v="232.73"/>
    <s v="Customer C3674"/>
    <x v="1"/>
    <x v="3"/>
    <n v="3"/>
    <n v="698.19"/>
  </r>
  <r>
    <x v="493"/>
    <x v="6"/>
    <d v="2024-12-15T00:00:00"/>
    <n v="2024"/>
    <x v="3"/>
    <n v="12"/>
    <x v="7"/>
    <x v="3"/>
    <n v="614.32000000000005"/>
    <s v="Customer C3677"/>
    <x v="2"/>
    <x v="4"/>
    <n v="3"/>
    <n v="3071.6"/>
  </r>
  <r>
    <x v="494"/>
    <x v="2"/>
    <d v="2023-01-08T00:00:00"/>
    <n v="2023"/>
    <x v="0"/>
    <n v="1"/>
    <x v="0"/>
    <x v="7"/>
    <n v="236.91"/>
    <s v="Customer C3679"/>
    <x v="2"/>
    <x v="2"/>
    <n v="5"/>
    <n v="947.64"/>
  </r>
  <r>
    <x v="495"/>
    <x v="1"/>
    <d v="2023-03-26T00:00:00"/>
    <n v="2023"/>
    <x v="0"/>
    <n v="3"/>
    <x v="10"/>
    <x v="6"/>
    <n v="69.12"/>
    <s v="Customer C3684"/>
    <x v="2"/>
    <x v="4"/>
    <n v="3"/>
    <n v="483.84"/>
  </r>
  <r>
    <x v="496"/>
    <x v="2"/>
    <d v="2023-02-27T00:00:00"/>
    <n v="2023"/>
    <x v="0"/>
    <n v="2"/>
    <x v="9"/>
    <x v="3"/>
    <n v="127.45"/>
    <s v="Customer C3690"/>
    <x v="0"/>
    <x v="1"/>
    <n v="4"/>
    <n v="637.25"/>
  </r>
  <r>
    <x v="497"/>
    <x v="3"/>
    <d v="2025-04-09T00:00:00"/>
    <n v="2025"/>
    <x v="1"/>
    <n v="4"/>
    <x v="5"/>
    <x v="7"/>
    <n v="737.59"/>
    <s v="Customer C3695"/>
    <x v="2"/>
    <x v="1"/>
    <n v="1"/>
    <n v="2950.36"/>
  </r>
  <r>
    <x v="498"/>
    <x v="3"/>
    <d v="2023-05-18T00:00:00"/>
    <n v="2023"/>
    <x v="1"/>
    <n v="5"/>
    <x v="1"/>
    <x v="2"/>
    <n v="520.86"/>
    <s v="Customer C3696"/>
    <x v="2"/>
    <x v="3"/>
    <n v="1"/>
    <n v="3125.16"/>
  </r>
  <r>
    <x v="498"/>
    <x v="1"/>
    <d v="2024-10-22T00:00:00"/>
    <n v="2024"/>
    <x v="3"/>
    <n v="10"/>
    <x v="4"/>
    <x v="7"/>
    <n v="669.05"/>
    <s v="Customer C3696"/>
    <x v="0"/>
    <x v="4"/>
    <n v="2"/>
    <n v="2676.2"/>
  </r>
  <r>
    <x v="499"/>
    <x v="2"/>
    <d v="2023-02-07T00:00:00"/>
    <n v="2023"/>
    <x v="0"/>
    <n v="2"/>
    <x v="9"/>
    <x v="5"/>
    <n v="454.61"/>
    <s v="Customer C3699"/>
    <x v="2"/>
    <x v="3"/>
    <n v="5"/>
    <n v="909.22"/>
  </r>
  <r>
    <x v="500"/>
    <x v="4"/>
    <d v="2023-08-21T00:00:00"/>
    <n v="2023"/>
    <x v="2"/>
    <n v="8"/>
    <x v="6"/>
    <x v="3"/>
    <n v="452.08"/>
    <s v="Customer C3704"/>
    <x v="0"/>
    <x v="3"/>
    <n v="2"/>
    <n v="2260.4"/>
  </r>
  <r>
    <x v="501"/>
    <x v="4"/>
    <d v="2024-11-05T00:00:00"/>
    <n v="2024"/>
    <x v="3"/>
    <n v="11"/>
    <x v="8"/>
    <x v="6"/>
    <n v="487.31"/>
    <s v="Customer C3708"/>
    <x v="1"/>
    <x v="0"/>
    <n v="3"/>
    <n v="3411.17"/>
  </r>
  <r>
    <x v="501"/>
    <x v="0"/>
    <d v="2023-05-10T00:00:00"/>
    <n v="2023"/>
    <x v="1"/>
    <n v="5"/>
    <x v="1"/>
    <x v="2"/>
    <n v="653"/>
    <s v="Customer C3708"/>
    <x v="0"/>
    <x v="4"/>
    <n v="4"/>
    <n v="3918"/>
  </r>
  <r>
    <x v="502"/>
    <x v="0"/>
    <d v="2025-06-20T00:00:00"/>
    <n v="2025"/>
    <x v="1"/>
    <n v="6"/>
    <x v="2"/>
    <x v="0"/>
    <n v="23.14"/>
    <s v="Customer C3709"/>
    <x v="0"/>
    <x v="2"/>
    <n v="2"/>
    <n v="185.12"/>
  </r>
  <r>
    <x v="503"/>
    <x v="5"/>
    <d v="2024-05-18T00:00:00"/>
    <n v="2024"/>
    <x v="1"/>
    <n v="5"/>
    <x v="1"/>
    <x v="0"/>
    <n v="69.55"/>
    <s v="Customer C3714"/>
    <x v="0"/>
    <x v="0"/>
    <n v="3"/>
    <n v="556.4"/>
  </r>
  <r>
    <x v="504"/>
    <x v="0"/>
    <d v="2025-02-13T00:00:00"/>
    <n v="2025"/>
    <x v="0"/>
    <n v="2"/>
    <x v="9"/>
    <x v="4"/>
    <n v="286.54000000000002"/>
    <s v="Customer C3716"/>
    <x v="2"/>
    <x v="2"/>
    <n v="4"/>
    <n v="286.54000000000002"/>
  </r>
  <r>
    <x v="505"/>
    <x v="6"/>
    <d v="2024-10-12T00:00:00"/>
    <n v="2024"/>
    <x v="3"/>
    <n v="10"/>
    <x v="4"/>
    <x v="6"/>
    <n v="6.92"/>
    <s v="Customer C3719"/>
    <x v="0"/>
    <x v="2"/>
    <n v="5"/>
    <n v="48.44"/>
  </r>
  <r>
    <x v="506"/>
    <x v="4"/>
    <d v="2023-12-16T00:00:00"/>
    <n v="2023"/>
    <x v="3"/>
    <n v="12"/>
    <x v="7"/>
    <x v="6"/>
    <n v="361.11"/>
    <s v="Customer C3720"/>
    <x v="0"/>
    <x v="3"/>
    <n v="2"/>
    <n v="2527.77"/>
  </r>
  <r>
    <x v="507"/>
    <x v="1"/>
    <d v="2023-10-08T00:00:00"/>
    <n v="2023"/>
    <x v="3"/>
    <n v="10"/>
    <x v="4"/>
    <x v="4"/>
    <n v="314.94"/>
    <s v="Customer C3722"/>
    <x v="0"/>
    <x v="4"/>
    <n v="2"/>
    <n v="314.94"/>
  </r>
  <r>
    <x v="508"/>
    <x v="4"/>
    <d v="2023-10-10T00:00:00"/>
    <n v="2023"/>
    <x v="3"/>
    <n v="10"/>
    <x v="4"/>
    <x v="0"/>
    <n v="264.31"/>
    <s v="Customer C3723"/>
    <x v="2"/>
    <x v="1"/>
    <n v="3"/>
    <n v="2114.48"/>
  </r>
  <r>
    <x v="509"/>
    <x v="3"/>
    <d v="2024-05-03T00:00:00"/>
    <n v="2024"/>
    <x v="1"/>
    <n v="5"/>
    <x v="1"/>
    <x v="6"/>
    <n v="337.95"/>
    <s v="Customer C3726"/>
    <x v="0"/>
    <x v="3"/>
    <n v="2"/>
    <n v="2365.65"/>
  </r>
  <r>
    <x v="510"/>
    <x v="2"/>
    <d v="2023-09-24T00:00:00"/>
    <n v="2023"/>
    <x v="2"/>
    <n v="9"/>
    <x v="11"/>
    <x v="6"/>
    <n v="290.45"/>
    <s v="Customer C3732"/>
    <x v="0"/>
    <x v="2"/>
    <n v="1"/>
    <n v="2033.15"/>
  </r>
  <r>
    <x v="511"/>
    <x v="1"/>
    <d v="2023-01-15T00:00:00"/>
    <n v="2023"/>
    <x v="0"/>
    <n v="1"/>
    <x v="0"/>
    <x v="6"/>
    <n v="714.61"/>
    <s v="Customer C3739"/>
    <x v="1"/>
    <x v="4"/>
    <n v="2"/>
    <n v="5002.2700000000004"/>
  </r>
  <r>
    <x v="512"/>
    <x v="4"/>
    <d v="2025-02-03T00:00:00"/>
    <n v="2025"/>
    <x v="0"/>
    <n v="2"/>
    <x v="9"/>
    <x v="0"/>
    <n v="398.91"/>
    <s v="Customer C3743"/>
    <x v="0"/>
    <x v="0"/>
    <n v="1"/>
    <n v="3191.28"/>
  </r>
  <r>
    <x v="513"/>
    <x v="0"/>
    <d v="2024-07-25T00:00:00"/>
    <n v="2024"/>
    <x v="2"/>
    <n v="7"/>
    <x v="3"/>
    <x v="7"/>
    <n v="492.28"/>
    <s v="Customer C3745"/>
    <x v="0"/>
    <x v="0"/>
    <n v="4"/>
    <n v="1969.12"/>
  </r>
  <r>
    <x v="513"/>
    <x v="1"/>
    <d v="2023-11-04T00:00:00"/>
    <n v="2023"/>
    <x v="3"/>
    <n v="11"/>
    <x v="8"/>
    <x v="0"/>
    <n v="45.93"/>
    <s v="Customer C3745"/>
    <x v="0"/>
    <x v="2"/>
    <n v="5"/>
    <n v="367.44"/>
  </r>
  <r>
    <x v="514"/>
    <x v="2"/>
    <d v="2023-01-14T00:00:00"/>
    <n v="2023"/>
    <x v="0"/>
    <n v="1"/>
    <x v="0"/>
    <x v="6"/>
    <n v="768.99"/>
    <s v="Customer C3756"/>
    <x v="2"/>
    <x v="0"/>
    <n v="2"/>
    <n v="5382.93"/>
  </r>
  <r>
    <x v="515"/>
    <x v="4"/>
    <d v="2024-08-10T00:00:00"/>
    <n v="2024"/>
    <x v="2"/>
    <n v="8"/>
    <x v="6"/>
    <x v="6"/>
    <n v="604.79999999999995"/>
    <s v="Customer C3759"/>
    <x v="0"/>
    <x v="0"/>
    <n v="1"/>
    <n v="4233.6000000000004"/>
  </r>
  <r>
    <x v="516"/>
    <x v="4"/>
    <d v="2023-09-10T00:00:00"/>
    <n v="2023"/>
    <x v="2"/>
    <n v="9"/>
    <x v="11"/>
    <x v="7"/>
    <n v="134.59"/>
    <s v="Customer C3761"/>
    <x v="2"/>
    <x v="3"/>
    <n v="3"/>
    <n v="538.36"/>
  </r>
  <r>
    <x v="516"/>
    <x v="4"/>
    <d v="2024-11-10T00:00:00"/>
    <n v="2024"/>
    <x v="3"/>
    <n v="11"/>
    <x v="8"/>
    <x v="5"/>
    <n v="162.74"/>
    <s v="Customer C3761"/>
    <x v="0"/>
    <x v="0"/>
    <n v="4"/>
    <n v="325.48"/>
  </r>
  <r>
    <x v="517"/>
    <x v="0"/>
    <d v="2023-03-27T00:00:00"/>
    <n v="2023"/>
    <x v="0"/>
    <n v="3"/>
    <x v="10"/>
    <x v="2"/>
    <n v="354.48"/>
    <s v="Customer C3763"/>
    <x v="0"/>
    <x v="2"/>
    <n v="5"/>
    <n v="2126.88"/>
  </r>
  <r>
    <x v="518"/>
    <x v="3"/>
    <d v="2025-04-19T00:00:00"/>
    <n v="2025"/>
    <x v="1"/>
    <n v="4"/>
    <x v="5"/>
    <x v="5"/>
    <n v="472"/>
    <s v="Customer C3765"/>
    <x v="2"/>
    <x v="0"/>
    <n v="2"/>
    <n v="944"/>
  </r>
  <r>
    <x v="518"/>
    <x v="1"/>
    <d v="2024-11-01T00:00:00"/>
    <n v="2024"/>
    <x v="3"/>
    <n v="11"/>
    <x v="8"/>
    <x v="0"/>
    <n v="49.37"/>
    <s v="Customer C3765"/>
    <x v="1"/>
    <x v="0"/>
    <n v="5"/>
    <n v="394.96"/>
  </r>
  <r>
    <x v="519"/>
    <x v="3"/>
    <d v="2024-10-19T00:00:00"/>
    <n v="2024"/>
    <x v="3"/>
    <n v="10"/>
    <x v="4"/>
    <x v="3"/>
    <n v="628.39"/>
    <s v="Customer C3770"/>
    <x v="2"/>
    <x v="0"/>
    <n v="2"/>
    <n v="3141.95"/>
  </r>
  <r>
    <x v="520"/>
    <x v="0"/>
    <d v="2025-03-24T00:00:00"/>
    <n v="2025"/>
    <x v="0"/>
    <n v="3"/>
    <x v="10"/>
    <x v="4"/>
    <n v="198.47"/>
    <s v="Customer C3772"/>
    <x v="1"/>
    <x v="4"/>
    <n v="4"/>
    <n v="198.47"/>
  </r>
  <r>
    <x v="521"/>
    <x v="4"/>
    <d v="2024-02-22T00:00:00"/>
    <n v="2024"/>
    <x v="0"/>
    <n v="2"/>
    <x v="9"/>
    <x v="2"/>
    <n v="55.46"/>
    <s v="Customer C3773"/>
    <x v="0"/>
    <x v="4"/>
    <n v="3"/>
    <n v="332.76"/>
  </r>
  <r>
    <x v="521"/>
    <x v="0"/>
    <d v="2023-01-07T00:00:00"/>
    <n v="2023"/>
    <x v="0"/>
    <n v="1"/>
    <x v="0"/>
    <x v="4"/>
    <n v="346.77"/>
    <s v="Customer C3773"/>
    <x v="0"/>
    <x v="2"/>
    <n v="2"/>
    <n v="346.77"/>
  </r>
  <r>
    <x v="522"/>
    <x v="3"/>
    <d v="2024-06-27T00:00:00"/>
    <n v="2024"/>
    <x v="1"/>
    <n v="6"/>
    <x v="2"/>
    <x v="2"/>
    <n v="182.24"/>
    <s v="Customer C3783"/>
    <x v="0"/>
    <x v="2"/>
    <n v="2"/>
    <n v="1093.44"/>
  </r>
  <r>
    <x v="523"/>
    <x v="6"/>
    <d v="2025-04-01T00:00:00"/>
    <n v="2025"/>
    <x v="1"/>
    <n v="4"/>
    <x v="5"/>
    <x v="6"/>
    <n v="751.55"/>
    <s v="Customer C3787"/>
    <x v="0"/>
    <x v="3"/>
    <n v="5"/>
    <n v="5260.85"/>
  </r>
  <r>
    <x v="524"/>
    <x v="6"/>
    <d v="2024-12-02T00:00:00"/>
    <n v="2024"/>
    <x v="3"/>
    <n v="12"/>
    <x v="7"/>
    <x v="4"/>
    <n v="656.85"/>
    <s v="Customer C3788"/>
    <x v="1"/>
    <x v="3"/>
    <n v="1"/>
    <n v="656.85"/>
  </r>
  <r>
    <x v="525"/>
    <x v="1"/>
    <d v="2024-11-14T00:00:00"/>
    <n v="2024"/>
    <x v="3"/>
    <n v="11"/>
    <x v="8"/>
    <x v="5"/>
    <n v="506.84"/>
    <s v="Customer C3796"/>
    <x v="1"/>
    <x v="1"/>
    <n v="2"/>
    <n v="1013.68"/>
  </r>
  <r>
    <x v="526"/>
    <x v="2"/>
    <d v="2023-07-28T00:00:00"/>
    <n v="2023"/>
    <x v="2"/>
    <n v="7"/>
    <x v="3"/>
    <x v="7"/>
    <n v="322.31"/>
    <s v="Customer C3802"/>
    <x v="1"/>
    <x v="4"/>
    <n v="3"/>
    <n v="1289.24"/>
  </r>
  <r>
    <x v="527"/>
    <x v="2"/>
    <d v="2025-04-06T00:00:00"/>
    <n v="2025"/>
    <x v="1"/>
    <n v="4"/>
    <x v="5"/>
    <x v="0"/>
    <n v="651.37"/>
    <s v="Customer C3813"/>
    <x v="1"/>
    <x v="1"/>
    <n v="3"/>
    <n v="5210.96"/>
  </r>
  <r>
    <x v="528"/>
    <x v="2"/>
    <d v="2024-07-03T00:00:00"/>
    <n v="2024"/>
    <x v="2"/>
    <n v="7"/>
    <x v="3"/>
    <x v="5"/>
    <n v="238.52"/>
    <s v="Customer C3816"/>
    <x v="1"/>
    <x v="2"/>
    <n v="1"/>
    <n v="477.04"/>
  </r>
  <r>
    <x v="529"/>
    <x v="4"/>
    <d v="2024-01-09T00:00:00"/>
    <n v="2024"/>
    <x v="0"/>
    <n v="1"/>
    <x v="0"/>
    <x v="5"/>
    <n v="488.07"/>
    <s v="Customer C3817"/>
    <x v="2"/>
    <x v="0"/>
    <n v="4"/>
    <n v="976.14"/>
  </r>
  <r>
    <x v="530"/>
    <x v="0"/>
    <d v="2024-10-23T00:00:00"/>
    <n v="2024"/>
    <x v="3"/>
    <n v="10"/>
    <x v="4"/>
    <x v="3"/>
    <n v="85.4"/>
    <s v="Customer C3826"/>
    <x v="0"/>
    <x v="4"/>
    <n v="4"/>
    <n v="427"/>
  </r>
  <r>
    <x v="531"/>
    <x v="6"/>
    <d v="2023-10-06T00:00:00"/>
    <n v="2023"/>
    <x v="3"/>
    <n v="10"/>
    <x v="4"/>
    <x v="5"/>
    <n v="317.70999999999998"/>
    <s v="Customer C3828"/>
    <x v="0"/>
    <x v="2"/>
    <n v="5"/>
    <n v="635.41999999999996"/>
  </r>
  <r>
    <x v="532"/>
    <x v="6"/>
    <d v="2023-11-28T00:00:00"/>
    <n v="2023"/>
    <x v="3"/>
    <n v="11"/>
    <x v="8"/>
    <x v="1"/>
    <n v="450.18"/>
    <s v="Customer C3832"/>
    <x v="2"/>
    <x v="2"/>
    <n v="1"/>
    <n v="1350.54"/>
  </r>
  <r>
    <x v="533"/>
    <x v="6"/>
    <d v="2023-02-10T00:00:00"/>
    <n v="2023"/>
    <x v="0"/>
    <n v="2"/>
    <x v="9"/>
    <x v="4"/>
    <n v="719.55"/>
    <s v="Customer C3834"/>
    <x v="1"/>
    <x v="0"/>
    <n v="3"/>
    <n v="719.55"/>
  </r>
  <r>
    <x v="534"/>
    <x v="3"/>
    <d v="2025-06-15T00:00:00"/>
    <n v="2025"/>
    <x v="1"/>
    <n v="6"/>
    <x v="2"/>
    <x v="5"/>
    <n v="154.1"/>
    <s v="Customer C3839"/>
    <x v="1"/>
    <x v="0"/>
    <n v="3"/>
    <n v="308.2"/>
  </r>
  <r>
    <x v="535"/>
    <x v="6"/>
    <d v="2023-03-31T00:00:00"/>
    <n v="2023"/>
    <x v="0"/>
    <n v="3"/>
    <x v="10"/>
    <x v="1"/>
    <n v="33.21"/>
    <s v="Customer C3842"/>
    <x v="2"/>
    <x v="3"/>
    <n v="1"/>
    <n v="99.63"/>
  </r>
  <r>
    <x v="536"/>
    <x v="2"/>
    <d v="2023-03-25T00:00:00"/>
    <n v="2023"/>
    <x v="0"/>
    <n v="3"/>
    <x v="10"/>
    <x v="7"/>
    <n v="84.57"/>
    <s v="Customer C3845"/>
    <x v="1"/>
    <x v="2"/>
    <n v="5"/>
    <n v="338.28"/>
  </r>
  <r>
    <x v="536"/>
    <x v="5"/>
    <d v="2025-02-10T00:00:00"/>
    <n v="2025"/>
    <x v="0"/>
    <n v="2"/>
    <x v="9"/>
    <x v="3"/>
    <n v="315.82"/>
    <s v="Customer C3845"/>
    <x v="0"/>
    <x v="2"/>
    <n v="2"/>
    <n v="1579.1"/>
  </r>
  <r>
    <x v="537"/>
    <x v="5"/>
    <d v="2023-12-09T00:00:00"/>
    <n v="2023"/>
    <x v="3"/>
    <n v="12"/>
    <x v="7"/>
    <x v="3"/>
    <n v="127.17"/>
    <s v="Customer C3846"/>
    <x v="1"/>
    <x v="1"/>
    <n v="5"/>
    <n v="635.85"/>
  </r>
  <r>
    <x v="538"/>
    <x v="6"/>
    <d v="2024-03-02T00:00:00"/>
    <n v="2024"/>
    <x v="0"/>
    <n v="3"/>
    <x v="10"/>
    <x v="6"/>
    <n v="212.84"/>
    <s v="Customer C3852"/>
    <x v="2"/>
    <x v="0"/>
    <n v="2"/>
    <n v="1489.88"/>
  </r>
  <r>
    <x v="539"/>
    <x v="6"/>
    <d v="2024-08-28T00:00:00"/>
    <n v="2024"/>
    <x v="2"/>
    <n v="8"/>
    <x v="6"/>
    <x v="1"/>
    <n v="51.41"/>
    <s v="Customer C3863"/>
    <x v="2"/>
    <x v="2"/>
    <n v="2"/>
    <n v="154.22999999999999"/>
  </r>
  <r>
    <x v="540"/>
    <x v="0"/>
    <d v="2024-02-05T00:00:00"/>
    <n v="2024"/>
    <x v="0"/>
    <n v="2"/>
    <x v="9"/>
    <x v="6"/>
    <n v="231.77"/>
    <s v="Customer C3872"/>
    <x v="0"/>
    <x v="4"/>
    <n v="3"/>
    <n v="1622.39"/>
  </r>
  <r>
    <x v="541"/>
    <x v="0"/>
    <d v="2025-01-19T00:00:00"/>
    <n v="2025"/>
    <x v="0"/>
    <n v="1"/>
    <x v="0"/>
    <x v="2"/>
    <n v="655.75"/>
    <s v="Customer C3877"/>
    <x v="1"/>
    <x v="2"/>
    <n v="5"/>
    <n v="3934.5"/>
  </r>
  <r>
    <x v="542"/>
    <x v="6"/>
    <d v="2024-08-16T00:00:00"/>
    <n v="2024"/>
    <x v="2"/>
    <n v="8"/>
    <x v="6"/>
    <x v="2"/>
    <n v="360.74"/>
    <s v="Customer C3885"/>
    <x v="0"/>
    <x v="3"/>
    <n v="4"/>
    <n v="2164.44"/>
  </r>
  <r>
    <x v="543"/>
    <x v="5"/>
    <d v="2023-11-12T00:00:00"/>
    <n v="2023"/>
    <x v="3"/>
    <n v="11"/>
    <x v="8"/>
    <x v="0"/>
    <n v="397.16"/>
    <s v="Customer C3888"/>
    <x v="0"/>
    <x v="2"/>
    <n v="2"/>
    <n v="3177.28"/>
  </r>
  <r>
    <x v="544"/>
    <x v="0"/>
    <d v="2023-05-25T00:00:00"/>
    <n v="2023"/>
    <x v="1"/>
    <n v="5"/>
    <x v="1"/>
    <x v="0"/>
    <n v="131.26"/>
    <s v="Customer C3897"/>
    <x v="1"/>
    <x v="4"/>
    <n v="3"/>
    <n v="1050.08"/>
  </r>
  <r>
    <x v="545"/>
    <x v="4"/>
    <d v="2024-01-13T00:00:00"/>
    <n v="2024"/>
    <x v="0"/>
    <n v="1"/>
    <x v="0"/>
    <x v="3"/>
    <n v="751.68"/>
    <s v="Customer C3900"/>
    <x v="1"/>
    <x v="1"/>
    <n v="4"/>
    <n v="3758.4"/>
  </r>
  <r>
    <x v="546"/>
    <x v="0"/>
    <d v="2023-03-11T00:00:00"/>
    <n v="2023"/>
    <x v="0"/>
    <n v="3"/>
    <x v="10"/>
    <x v="0"/>
    <n v="641.99"/>
    <s v="Customer C3901"/>
    <x v="1"/>
    <x v="3"/>
    <n v="3"/>
    <n v="5135.92"/>
  </r>
  <r>
    <x v="547"/>
    <x v="3"/>
    <d v="2024-03-08T00:00:00"/>
    <n v="2024"/>
    <x v="0"/>
    <n v="3"/>
    <x v="10"/>
    <x v="6"/>
    <n v="688.23"/>
    <s v="Customer C3903"/>
    <x v="1"/>
    <x v="0"/>
    <n v="5"/>
    <n v="4817.6099999999997"/>
  </r>
  <r>
    <x v="548"/>
    <x v="4"/>
    <d v="2024-03-05T00:00:00"/>
    <n v="2024"/>
    <x v="0"/>
    <n v="3"/>
    <x v="10"/>
    <x v="5"/>
    <n v="757.62"/>
    <s v="Customer C3920"/>
    <x v="1"/>
    <x v="3"/>
    <n v="1"/>
    <n v="1515.24"/>
  </r>
  <r>
    <x v="549"/>
    <x v="6"/>
    <d v="2023-07-27T00:00:00"/>
    <n v="2023"/>
    <x v="2"/>
    <n v="7"/>
    <x v="3"/>
    <x v="5"/>
    <n v="504.14"/>
    <s v="Customer C3923"/>
    <x v="0"/>
    <x v="2"/>
    <n v="3"/>
    <n v="1008.28"/>
  </r>
  <r>
    <x v="550"/>
    <x v="4"/>
    <d v="2024-07-25T00:00:00"/>
    <n v="2024"/>
    <x v="2"/>
    <n v="7"/>
    <x v="3"/>
    <x v="1"/>
    <n v="24.41"/>
    <s v="Customer C3924"/>
    <x v="2"/>
    <x v="4"/>
    <n v="2"/>
    <n v="73.23"/>
  </r>
  <r>
    <x v="551"/>
    <x v="5"/>
    <d v="2024-05-16T00:00:00"/>
    <n v="2024"/>
    <x v="1"/>
    <n v="5"/>
    <x v="1"/>
    <x v="3"/>
    <n v="303.5"/>
    <s v="Customer C3925"/>
    <x v="0"/>
    <x v="4"/>
    <n v="2"/>
    <n v="1517.5"/>
  </r>
  <r>
    <x v="552"/>
    <x v="0"/>
    <d v="2024-03-05T00:00:00"/>
    <n v="2024"/>
    <x v="0"/>
    <n v="3"/>
    <x v="10"/>
    <x v="2"/>
    <n v="766.8"/>
    <s v="Customer C3926"/>
    <x v="1"/>
    <x v="4"/>
    <n v="2"/>
    <n v="4600.8"/>
  </r>
  <r>
    <x v="553"/>
    <x v="5"/>
    <d v="2024-10-09T00:00:00"/>
    <n v="2024"/>
    <x v="3"/>
    <n v="10"/>
    <x v="4"/>
    <x v="4"/>
    <n v="458.66"/>
    <s v="Customer C3932"/>
    <x v="2"/>
    <x v="2"/>
    <n v="4"/>
    <n v="458.66"/>
  </r>
  <r>
    <x v="554"/>
    <x v="6"/>
    <d v="2024-12-10T00:00:00"/>
    <n v="2024"/>
    <x v="3"/>
    <n v="12"/>
    <x v="7"/>
    <x v="5"/>
    <n v="656.86"/>
    <s v="Customer C3940"/>
    <x v="1"/>
    <x v="3"/>
    <n v="5"/>
    <n v="1313.72"/>
  </r>
  <r>
    <x v="555"/>
    <x v="1"/>
    <d v="2023-06-02T00:00:00"/>
    <n v="2023"/>
    <x v="1"/>
    <n v="6"/>
    <x v="2"/>
    <x v="2"/>
    <n v="196.74"/>
    <s v="Customer C3960"/>
    <x v="2"/>
    <x v="2"/>
    <n v="5"/>
    <n v="1180.44"/>
  </r>
  <r>
    <x v="556"/>
    <x v="2"/>
    <d v="2023-12-02T00:00:00"/>
    <n v="2023"/>
    <x v="3"/>
    <n v="12"/>
    <x v="7"/>
    <x v="4"/>
    <n v="72.650000000000006"/>
    <s v="Customer C3964"/>
    <x v="1"/>
    <x v="0"/>
    <n v="2"/>
    <n v="72.650000000000006"/>
  </r>
  <r>
    <x v="557"/>
    <x v="5"/>
    <d v="2025-01-06T00:00:00"/>
    <n v="2025"/>
    <x v="0"/>
    <n v="1"/>
    <x v="0"/>
    <x v="1"/>
    <n v="406.07"/>
    <s v="Customer C3970"/>
    <x v="0"/>
    <x v="0"/>
    <n v="3"/>
    <n v="1218.21"/>
  </r>
  <r>
    <x v="558"/>
    <x v="0"/>
    <d v="2025-05-08T00:00:00"/>
    <n v="2025"/>
    <x v="1"/>
    <n v="5"/>
    <x v="1"/>
    <x v="2"/>
    <n v="202.43"/>
    <s v="Customer C3976"/>
    <x v="1"/>
    <x v="1"/>
    <n v="2"/>
    <n v="1214.58"/>
  </r>
  <r>
    <x v="558"/>
    <x v="5"/>
    <d v="2024-09-08T00:00:00"/>
    <n v="2024"/>
    <x v="2"/>
    <n v="9"/>
    <x v="11"/>
    <x v="4"/>
    <n v="64.81"/>
    <s v="Customer C3976"/>
    <x v="1"/>
    <x v="1"/>
    <n v="2"/>
    <n v="64.81"/>
  </r>
  <r>
    <x v="559"/>
    <x v="5"/>
    <d v="2024-02-20T00:00:00"/>
    <n v="2024"/>
    <x v="0"/>
    <n v="2"/>
    <x v="9"/>
    <x v="3"/>
    <n v="691.17"/>
    <s v="Customer C3979"/>
    <x v="2"/>
    <x v="4"/>
    <n v="4"/>
    <n v="3455.85"/>
  </r>
  <r>
    <x v="559"/>
    <x v="6"/>
    <d v="2023-01-01T00:00:00"/>
    <n v="2023"/>
    <x v="0"/>
    <n v="1"/>
    <x v="0"/>
    <x v="0"/>
    <n v="616.36"/>
    <s v="Customer C3979"/>
    <x v="1"/>
    <x v="2"/>
    <n v="5"/>
    <n v="4930.88"/>
  </r>
  <r>
    <x v="560"/>
    <x v="0"/>
    <d v="2024-11-14T00:00:00"/>
    <n v="2024"/>
    <x v="3"/>
    <n v="11"/>
    <x v="8"/>
    <x v="2"/>
    <n v="256.02999999999997"/>
    <s v="Customer C3988"/>
    <x v="1"/>
    <x v="2"/>
    <n v="1"/>
    <n v="1536.18"/>
  </r>
  <r>
    <x v="561"/>
    <x v="2"/>
    <d v="2025-03-30T00:00:00"/>
    <n v="2025"/>
    <x v="0"/>
    <n v="3"/>
    <x v="10"/>
    <x v="7"/>
    <n v="278.14999999999998"/>
    <s v="Customer C3990"/>
    <x v="1"/>
    <x v="1"/>
    <n v="2"/>
    <n v="1112.5999999999999"/>
  </r>
  <r>
    <x v="562"/>
    <x v="0"/>
    <d v="2024-10-19T00:00:00"/>
    <n v="2024"/>
    <x v="3"/>
    <n v="10"/>
    <x v="4"/>
    <x v="1"/>
    <n v="556.14"/>
    <s v="Customer C4000"/>
    <x v="2"/>
    <x v="2"/>
    <n v="4"/>
    <n v="1668.42"/>
  </r>
  <r>
    <x v="563"/>
    <x v="0"/>
    <d v="2025-05-02T00:00:00"/>
    <n v="2025"/>
    <x v="1"/>
    <n v="5"/>
    <x v="1"/>
    <x v="2"/>
    <n v="372.12"/>
    <s v="Customer C4001"/>
    <x v="1"/>
    <x v="1"/>
    <n v="2"/>
    <n v="2232.7199999999998"/>
  </r>
  <r>
    <x v="564"/>
    <x v="0"/>
    <d v="2023-01-03T00:00:00"/>
    <n v="2023"/>
    <x v="0"/>
    <n v="1"/>
    <x v="0"/>
    <x v="6"/>
    <n v="422.55"/>
    <s v="Customer C4007"/>
    <x v="2"/>
    <x v="0"/>
    <n v="1"/>
    <n v="2957.85"/>
  </r>
  <r>
    <x v="565"/>
    <x v="3"/>
    <d v="2024-06-16T00:00:00"/>
    <n v="2024"/>
    <x v="1"/>
    <n v="6"/>
    <x v="2"/>
    <x v="2"/>
    <n v="330.64"/>
    <s v="Customer C4011"/>
    <x v="2"/>
    <x v="4"/>
    <n v="4"/>
    <n v="1983.84"/>
  </r>
  <r>
    <x v="566"/>
    <x v="4"/>
    <d v="2024-01-31T00:00:00"/>
    <n v="2024"/>
    <x v="0"/>
    <n v="1"/>
    <x v="0"/>
    <x v="6"/>
    <n v="249.65"/>
    <s v="Customer C4013"/>
    <x v="0"/>
    <x v="2"/>
    <n v="5"/>
    <n v="1747.55"/>
  </r>
  <r>
    <x v="567"/>
    <x v="2"/>
    <d v="2023-06-29T00:00:00"/>
    <n v="2023"/>
    <x v="1"/>
    <n v="6"/>
    <x v="2"/>
    <x v="4"/>
    <n v="324.92"/>
    <s v="Customer C4020"/>
    <x v="2"/>
    <x v="4"/>
    <n v="3"/>
    <n v="324.92"/>
  </r>
  <r>
    <x v="568"/>
    <x v="0"/>
    <d v="2024-11-28T00:00:00"/>
    <n v="2024"/>
    <x v="3"/>
    <n v="11"/>
    <x v="8"/>
    <x v="0"/>
    <n v="22.26"/>
    <s v="Customer C4024"/>
    <x v="1"/>
    <x v="4"/>
    <n v="3"/>
    <n v="178.08"/>
  </r>
  <r>
    <x v="569"/>
    <x v="1"/>
    <d v="2023-01-14T00:00:00"/>
    <n v="2023"/>
    <x v="0"/>
    <n v="1"/>
    <x v="0"/>
    <x v="0"/>
    <n v="216.9"/>
    <s v="Customer C4025"/>
    <x v="0"/>
    <x v="1"/>
    <n v="3"/>
    <n v="1735.2"/>
  </r>
  <r>
    <x v="570"/>
    <x v="6"/>
    <d v="2024-06-12T00:00:00"/>
    <n v="2024"/>
    <x v="1"/>
    <n v="6"/>
    <x v="2"/>
    <x v="6"/>
    <n v="19.66"/>
    <s v="Customer C4033"/>
    <x v="1"/>
    <x v="4"/>
    <n v="5"/>
    <n v="137.62"/>
  </r>
  <r>
    <x v="571"/>
    <x v="0"/>
    <d v="2023-11-09T00:00:00"/>
    <n v="2023"/>
    <x v="3"/>
    <n v="11"/>
    <x v="8"/>
    <x v="7"/>
    <n v="780.37"/>
    <s v="Customer C4034"/>
    <x v="1"/>
    <x v="3"/>
    <n v="2"/>
    <n v="3121.48"/>
  </r>
  <r>
    <x v="572"/>
    <x v="2"/>
    <d v="2025-03-06T00:00:00"/>
    <n v="2025"/>
    <x v="0"/>
    <n v="3"/>
    <x v="10"/>
    <x v="3"/>
    <n v="306.77"/>
    <s v="Customer C4037"/>
    <x v="2"/>
    <x v="2"/>
    <n v="4"/>
    <n v="1533.85"/>
  </r>
  <r>
    <x v="573"/>
    <x v="1"/>
    <d v="2025-06-07T00:00:00"/>
    <n v="2025"/>
    <x v="1"/>
    <n v="6"/>
    <x v="2"/>
    <x v="2"/>
    <n v="494.34"/>
    <s v="Customer C4040"/>
    <x v="1"/>
    <x v="0"/>
    <n v="2"/>
    <n v="2966.04"/>
  </r>
  <r>
    <x v="574"/>
    <x v="6"/>
    <d v="2024-04-24T00:00:00"/>
    <n v="2024"/>
    <x v="1"/>
    <n v="4"/>
    <x v="5"/>
    <x v="0"/>
    <n v="456.32"/>
    <s v="Customer C4042"/>
    <x v="1"/>
    <x v="2"/>
    <n v="2"/>
    <n v="3650.56"/>
  </r>
  <r>
    <x v="575"/>
    <x v="6"/>
    <d v="2023-02-11T00:00:00"/>
    <n v="2023"/>
    <x v="0"/>
    <n v="2"/>
    <x v="9"/>
    <x v="2"/>
    <n v="89.02"/>
    <s v="Customer C4055"/>
    <x v="1"/>
    <x v="0"/>
    <n v="5"/>
    <n v="534.12"/>
  </r>
  <r>
    <x v="576"/>
    <x v="2"/>
    <d v="2024-01-23T00:00:00"/>
    <n v="2024"/>
    <x v="0"/>
    <n v="1"/>
    <x v="0"/>
    <x v="5"/>
    <n v="451.32"/>
    <s v="Customer C4057"/>
    <x v="0"/>
    <x v="2"/>
    <n v="2"/>
    <n v="902.64"/>
  </r>
  <r>
    <x v="576"/>
    <x v="4"/>
    <d v="2024-09-01T00:00:00"/>
    <n v="2024"/>
    <x v="2"/>
    <n v="9"/>
    <x v="11"/>
    <x v="4"/>
    <n v="228.75"/>
    <s v="Customer C4057"/>
    <x v="1"/>
    <x v="1"/>
    <n v="5"/>
    <n v="228.75"/>
  </r>
  <r>
    <x v="577"/>
    <x v="2"/>
    <d v="2024-06-15T00:00:00"/>
    <n v="2024"/>
    <x v="1"/>
    <n v="6"/>
    <x v="2"/>
    <x v="2"/>
    <n v="565.54"/>
    <s v="Customer C4069"/>
    <x v="0"/>
    <x v="3"/>
    <n v="1"/>
    <n v="3393.24"/>
  </r>
  <r>
    <x v="577"/>
    <x v="1"/>
    <d v="2023-07-12T00:00:00"/>
    <n v="2023"/>
    <x v="2"/>
    <n v="7"/>
    <x v="3"/>
    <x v="6"/>
    <n v="443.89"/>
    <s v="Customer C4069"/>
    <x v="0"/>
    <x v="4"/>
    <n v="4"/>
    <n v="3107.23"/>
  </r>
  <r>
    <x v="578"/>
    <x v="5"/>
    <d v="2024-11-22T00:00:00"/>
    <n v="2024"/>
    <x v="3"/>
    <n v="11"/>
    <x v="8"/>
    <x v="1"/>
    <n v="320.64999999999998"/>
    <s v="Customer C4070"/>
    <x v="0"/>
    <x v="3"/>
    <n v="5"/>
    <n v="961.95"/>
  </r>
  <r>
    <x v="579"/>
    <x v="0"/>
    <d v="2024-06-18T00:00:00"/>
    <n v="2024"/>
    <x v="1"/>
    <n v="6"/>
    <x v="2"/>
    <x v="1"/>
    <n v="531.92999999999995"/>
    <s v="Customer C4082"/>
    <x v="0"/>
    <x v="4"/>
    <n v="2"/>
    <n v="1595.79"/>
  </r>
  <r>
    <x v="580"/>
    <x v="4"/>
    <d v="2023-08-11T00:00:00"/>
    <n v="2023"/>
    <x v="2"/>
    <n v="8"/>
    <x v="6"/>
    <x v="6"/>
    <n v="363.49"/>
    <s v="Customer C4090"/>
    <x v="1"/>
    <x v="1"/>
    <n v="4"/>
    <n v="2544.4299999999998"/>
  </r>
  <r>
    <x v="581"/>
    <x v="1"/>
    <d v="2023-02-15T00:00:00"/>
    <n v="2023"/>
    <x v="0"/>
    <n v="2"/>
    <x v="9"/>
    <x v="0"/>
    <n v="219.37"/>
    <s v="Customer C4099"/>
    <x v="1"/>
    <x v="2"/>
    <n v="1"/>
    <n v="1754.96"/>
  </r>
  <r>
    <x v="582"/>
    <x v="6"/>
    <d v="2024-12-18T00:00:00"/>
    <n v="2024"/>
    <x v="3"/>
    <n v="12"/>
    <x v="7"/>
    <x v="5"/>
    <n v="397.68"/>
    <s v="Customer C4103"/>
    <x v="0"/>
    <x v="3"/>
    <n v="1"/>
    <n v="795.36"/>
  </r>
  <r>
    <x v="583"/>
    <x v="1"/>
    <d v="2024-05-02T00:00:00"/>
    <n v="2024"/>
    <x v="1"/>
    <n v="5"/>
    <x v="1"/>
    <x v="3"/>
    <n v="259.77"/>
    <s v="Customer C4107"/>
    <x v="0"/>
    <x v="4"/>
    <n v="1"/>
    <n v="1298.8499999999999"/>
  </r>
  <r>
    <x v="584"/>
    <x v="2"/>
    <d v="2024-11-12T00:00:00"/>
    <n v="2024"/>
    <x v="3"/>
    <n v="11"/>
    <x v="8"/>
    <x v="1"/>
    <n v="565.63"/>
    <s v="Customer C4118"/>
    <x v="2"/>
    <x v="0"/>
    <n v="3"/>
    <n v="1696.89"/>
  </r>
  <r>
    <x v="584"/>
    <x v="3"/>
    <d v="2024-08-24T00:00:00"/>
    <n v="2024"/>
    <x v="2"/>
    <n v="8"/>
    <x v="6"/>
    <x v="3"/>
    <n v="114.53"/>
    <s v="Customer C4118"/>
    <x v="2"/>
    <x v="2"/>
    <n v="1"/>
    <n v="572.65"/>
  </r>
  <r>
    <x v="585"/>
    <x v="3"/>
    <d v="2023-06-09T00:00:00"/>
    <n v="2023"/>
    <x v="1"/>
    <n v="6"/>
    <x v="2"/>
    <x v="7"/>
    <n v="774.66"/>
    <s v="Customer C4133"/>
    <x v="1"/>
    <x v="3"/>
    <n v="3"/>
    <n v="3098.64"/>
  </r>
  <r>
    <x v="586"/>
    <x v="4"/>
    <d v="2024-10-01T00:00:00"/>
    <n v="2024"/>
    <x v="3"/>
    <n v="10"/>
    <x v="4"/>
    <x v="4"/>
    <n v="698.52"/>
    <s v="Customer C4136"/>
    <x v="2"/>
    <x v="2"/>
    <n v="1"/>
    <n v="698.52"/>
  </r>
  <r>
    <x v="587"/>
    <x v="2"/>
    <d v="2024-05-11T00:00:00"/>
    <n v="2024"/>
    <x v="1"/>
    <n v="5"/>
    <x v="1"/>
    <x v="1"/>
    <n v="418.46"/>
    <s v="Customer C4142"/>
    <x v="1"/>
    <x v="4"/>
    <n v="3"/>
    <n v="1255.3800000000001"/>
  </r>
  <r>
    <x v="588"/>
    <x v="5"/>
    <d v="2023-11-14T00:00:00"/>
    <n v="2023"/>
    <x v="3"/>
    <n v="11"/>
    <x v="8"/>
    <x v="3"/>
    <n v="117.04"/>
    <s v="Customer C4155"/>
    <x v="2"/>
    <x v="3"/>
    <n v="5"/>
    <n v="585.20000000000005"/>
  </r>
  <r>
    <x v="589"/>
    <x v="3"/>
    <d v="2024-05-01T00:00:00"/>
    <n v="2024"/>
    <x v="1"/>
    <n v="5"/>
    <x v="1"/>
    <x v="5"/>
    <n v="152.69999999999999"/>
    <s v="Customer C4157"/>
    <x v="0"/>
    <x v="0"/>
    <n v="4"/>
    <n v="305.39999999999998"/>
  </r>
  <r>
    <x v="590"/>
    <x v="4"/>
    <d v="2023-11-06T00:00:00"/>
    <n v="2023"/>
    <x v="3"/>
    <n v="11"/>
    <x v="8"/>
    <x v="0"/>
    <n v="619.45000000000005"/>
    <s v="Customer C4159"/>
    <x v="2"/>
    <x v="1"/>
    <n v="4"/>
    <n v="4955.6000000000004"/>
  </r>
  <r>
    <x v="591"/>
    <x v="2"/>
    <d v="2025-02-28T00:00:00"/>
    <n v="2025"/>
    <x v="0"/>
    <n v="2"/>
    <x v="9"/>
    <x v="4"/>
    <n v="79.900000000000006"/>
    <s v="Customer C4160"/>
    <x v="0"/>
    <x v="2"/>
    <n v="1"/>
    <n v="79.900000000000006"/>
  </r>
  <r>
    <x v="592"/>
    <x v="5"/>
    <d v="2024-08-10T00:00:00"/>
    <n v="2024"/>
    <x v="2"/>
    <n v="8"/>
    <x v="6"/>
    <x v="0"/>
    <n v="486.92"/>
    <s v="Customer C4161"/>
    <x v="1"/>
    <x v="1"/>
    <n v="4"/>
    <n v="3895.36"/>
  </r>
  <r>
    <x v="593"/>
    <x v="3"/>
    <d v="2024-02-25T00:00:00"/>
    <n v="2024"/>
    <x v="0"/>
    <n v="2"/>
    <x v="9"/>
    <x v="4"/>
    <n v="543.76"/>
    <s v="Customer C4162"/>
    <x v="2"/>
    <x v="4"/>
    <n v="5"/>
    <n v="543.76"/>
  </r>
  <r>
    <x v="594"/>
    <x v="4"/>
    <d v="2024-09-03T00:00:00"/>
    <n v="2024"/>
    <x v="2"/>
    <n v="9"/>
    <x v="11"/>
    <x v="7"/>
    <n v="253.01"/>
    <s v="Customer C4169"/>
    <x v="0"/>
    <x v="1"/>
    <n v="3"/>
    <n v="1012.04"/>
  </r>
  <r>
    <x v="594"/>
    <x v="0"/>
    <d v="2024-02-27T00:00:00"/>
    <n v="2024"/>
    <x v="0"/>
    <n v="2"/>
    <x v="9"/>
    <x v="3"/>
    <n v="129.16999999999999"/>
    <s v="Customer C4169"/>
    <x v="1"/>
    <x v="1"/>
    <n v="3"/>
    <n v="645.85"/>
  </r>
  <r>
    <x v="595"/>
    <x v="3"/>
    <d v="2024-03-11T00:00:00"/>
    <n v="2024"/>
    <x v="0"/>
    <n v="3"/>
    <x v="10"/>
    <x v="7"/>
    <n v="585.67999999999995"/>
    <s v="Customer C4172"/>
    <x v="1"/>
    <x v="2"/>
    <n v="2"/>
    <n v="2342.7199999999998"/>
  </r>
  <r>
    <x v="596"/>
    <x v="6"/>
    <d v="2023-06-14T00:00:00"/>
    <n v="2023"/>
    <x v="1"/>
    <n v="6"/>
    <x v="2"/>
    <x v="5"/>
    <n v="755.25"/>
    <s v="Customer C4184"/>
    <x v="2"/>
    <x v="1"/>
    <n v="1"/>
    <n v="1510.5"/>
  </r>
  <r>
    <x v="597"/>
    <x v="1"/>
    <d v="2023-07-09T00:00:00"/>
    <n v="2023"/>
    <x v="2"/>
    <n v="7"/>
    <x v="3"/>
    <x v="6"/>
    <n v="512.21"/>
    <s v="Customer C4199"/>
    <x v="2"/>
    <x v="4"/>
    <n v="5"/>
    <n v="3585.47"/>
  </r>
  <r>
    <x v="598"/>
    <x v="2"/>
    <d v="2024-08-09T00:00:00"/>
    <n v="2024"/>
    <x v="2"/>
    <n v="8"/>
    <x v="6"/>
    <x v="3"/>
    <n v="460.25"/>
    <s v="Customer C4204"/>
    <x v="2"/>
    <x v="3"/>
    <n v="2"/>
    <n v="2301.25"/>
  </r>
  <r>
    <x v="599"/>
    <x v="4"/>
    <d v="2023-09-02T00:00:00"/>
    <n v="2023"/>
    <x v="2"/>
    <n v="9"/>
    <x v="11"/>
    <x v="3"/>
    <n v="696.64"/>
    <s v="Customer C4213"/>
    <x v="1"/>
    <x v="2"/>
    <n v="1"/>
    <n v="3483.2"/>
  </r>
  <r>
    <x v="600"/>
    <x v="0"/>
    <d v="2024-07-13T00:00:00"/>
    <n v="2024"/>
    <x v="2"/>
    <n v="7"/>
    <x v="3"/>
    <x v="0"/>
    <n v="598.48"/>
    <s v="Customer C4214"/>
    <x v="2"/>
    <x v="4"/>
    <n v="1"/>
    <n v="4787.84"/>
  </r>
  <r>
    <x v="601"/>
    <x v="3"/>
    <d v="2025-06-27T00:00:00"/>
    <n v="2025"/>
    <x v="1"/>
    <n v="6"/>
    <x v="2"/>
    <x v="4"/>
    <n v="469.68"/>
    <s v="Customer C4219"/>
    <x v="2"/>
    <x v="2"/>
    <n v="1"/>
    <n v="469.68"/>
  </r>
  <r>
    <x v="602"/>
    <x v="2"/>
    <d v="2025-01-31T00:00:00"/>
    <n v="2025"/>
    <x v="0"/>
    <n v="1"/>
    <x v="0"/>
    <x v="3"/>
    <n v="224.11"/>
    <s v="Customer C4222"/>
    <x v="2"/>
    <x v="4"/>
    <n v="1"/>
    <n v="1120.55"/>
  </r>
  <r>
    <x v="602"/>
    <x v="0"/>
    <d v="2024-07-23T00:00:00"/>
    <n v="2024"/>
    <x v="2"/>
    <n v="7"/>
    <x v="3"/>
    <x v="4"/>
    <n v="562.4"/>
    <s v="Customer C4222"/>
    <x v="2"/>
    <x v="4"/>
    <n v="5"/>
    <n v="562.4"/>
  </r>
  <r>
    <x v="603"/>
    <x v="6"/>
    <d v="2024-03-20T00:00:00"/>
    <n v="2024"/>
    <x v="0"/>
    <n v="3"/>
    <x v="10"/>
    <x v="5"/>
    <n v="504.13"/>
    <s v="Customer C4225"/>
    <x v="0"/>
    <x v="0"/>
    <n v="2"/>
    <n v="1008.26"/>
  </r>
  <r>
    <x v="604"/>
    <x v="5"/>
    <d v="2023-12-25T00:00:00"/>
    <n v="2023"/>
    <x v="3"/>
    <n v="12"/>
    <x v="7"/>
    <x v="7"/>
    <n v="472.35"/>
    <s v="Customer C4226"/>
    <x v="1"/>
    <x v="4"/>
    <n v="3"/>
    <n v="1889.4"/>
  </r>
  <r>
    <x v="605"/>
    <x v="6"/>
    <d v="2025-04-09T00:00:00"/>
    <n v="2025"/>
    <x v="1"/>
    <n v="4"/>
    <x v="5"/>
    <x v="0"/>
    <n v="23.72"/>
    <s v="Customer C4229"/>
    <x v="1"/>
    <x v="4"/>
    <n v="5"/>
    <n v="189.76"/>
  </r>
  <r>
    <x v="606"/>
    <x v="4"/>
    <d v="2023-09-22T00:00:00"/>
    <n v="2023"/>
    <x v="2"/>
    <n v="9"/>
    <x v="11"/>
    <x v="5"/>
    <n v="510.8"/>
    <s v="Customer C4231"/>
    <x v="2"/>
    <x v="2"/>
    <n v="2"/>
    <n v="1021.6"/>
  </r>
  <r>
    <x v="607"/>
    <x v="0"/>
    <d v="2023-04-01T00:00:00"/>
    <n v="2023"/>
    <x v="1"/>
    <n v="4"/>
    <x v="5"/>
    <x v="4"/>
    <n v="432.34"/>
    <s v="Customer C4237"/>
    <x v="0"/>
    <x v="1"/>
    <n v="2"/>
    <n v="432.34"/>
  </r>
  <r>
    <x v="608"/>
    <x v="4"/>
    <d v="2023-10-01T00:00:00"/>
    <n v="2023"/>
    <x v="3"/>
    <n v="10"/>
    <x v="4"/>
    <x v="2"/>
    <n v="229.64"/>
    <s v="Customer C4247"/>
    <x v="2"/>
    <x v="0"/>
    <n v="3"/>
    <n v="1377.84"/>
  </r>
  <r>
    <x v="609"/>
    <x v="0"/>
    <d v="2023-05-07T00:00:00"/>
    <n v="2023"/>
    <x v="1"/>
    <n v="5"/>
    <x v="1"/>
    <x v="1"/>
    <n v="405.99"/>
    <s v="Customer C4251"/>
    <x v="2"/>
    <x v="2"/>
    <n v="5"/>
    <n v="1217.97"/>
  </r>
  <r>
    <x v="610"/>
    <x v="4"/>
    <d v="2023-02-01T00:00:00"/>
    <n v="2023"/>
    <x v="0"/>
    <n v="2"/>
    <x v="9"/>
    <x v="7"/>
    <n v="185.82"/>
    <s v="Customer C4260"/>
    <x v="1"/>
    <x v="3"/>
    <n v="3"/>
    <n v="743.28"/>
  </r>
  <r>
    <x v="611"/>
    <x v="4"/>
    <d v="2023-10-28T00:00:00"/>
    <n v="2023"/>
    <x v="3"/>
    <n v="10"/>
    <x v="4"/>
    <x v="6"/>
    <n v="59.51"/>
    <s v="Customer C4272"/>
    <x v="1"/>
    <x v="0"/>
    <n v="3"/>
    <n v="416.57"/>
  </r>
  <r>
    <x v="611"/>
    <x v="3"/>
    <d v="2024-02-14T00:00:00"/>
    <n v="2024"/>
    <x v="0"/>
    <n v="2"/>
    <x v="9"/>
    <x v="1"/>
    <n v="120.15"/>
    <s v="Customer C4272"/>
    <x v="2"/>
    <x v="2"/>
    <n v="1"/>
    <n v="360.45"/>
  </r>
  <r>
    <x v="612"/>
    <x v="0"/>
    <d v="2024-11-05T00:00:00"/>
    <n v="2024"/>
    <x v="3"/>
    <n v="11"/>
    <x v="8"/>
    <x v="0"/>
    <n v="374.39"/>
    <s v="Customer C4274"/>
    <x v="2"/>
    <x v="4"/>
    <n v="3"/>
    <n v="2995.12"/>
  </r>
  <r>
    <x v="613"/>
    <x v="5"/>
    <d v="2023-11-16T00:00:00"/>
    <n v="2023"/>
    <x v="3"/>
    <n v="11"/>
    <x v="8"/>
    <x v="2"/>
    <n v="765.75"/>
    <s v="Customer C4287"/>
    <x v="2"/>
    <x v="3"/>
    <n v="3"/>
    <n v="4594.5"/>
  </r>
  <r>
    <x v="614"/>
    <x v="6"/>
    <d v="2024-11-10T00:00:00"/>
    <n v="2024"/>
    <x v="3"/>
    <n v="11"/>
    <x v="8"/>
    <x v="0"/>
    <n v="393.28"/>
    <s v="Customer C4311"/>
    <x v="0"/>
    <x v="0"/>
    <n v="4"/>
    <n v="3146.24"/>
  </r>
  <r>
    <x v="615"/>
    <x v="5"/>
    <d v="2024-05-16T00:00:00"/>
    <n v="2024"/>
    <x v="1"/>
    <n v="5"/>
    <x v="1"/>
    <x v="1"/>
    <n v="436.88"/>
    <s v="Customer C4315"/>
    <x v="0"/>
    <x v="3"/>
    <n v="4"/>
    <n v="1310.6400000000001"/>
  </r>
  <r>
    <x v="616"/>
    <x v="1"/>
    <d v="2023-01-19T00:00:00"/>
    <n v="2023"/>
    <x v="0"/>
    <n v="1"/>
    <x v="0"/>
    <x v="2"/>
    <n v="60.9"/>
    <s v="Customer C4324"/>
    <x v="1"/>
    <x v="2"/>
    <n v="4"/>
    <n v="365.4"/>
  </r>
  <r>
    <x v="617"/>
    <x v="2"/>
    <d v="2023-08-18T00:00:00"/>
    <n v="2023"/>
    <x v="2"/>
    <n v="8"/>
    <x v="6"/>
    <x v="4"/>
    <n v="247.15"/>
    <s v="Customer C4332"/>
    <x v="1"/>
    <x v="0"/>
    <n v="1"/>
    <n v="247.15"/>
  </r>
  <r>
    <x v="617"/>
    <x v="2"/>
    <d v="2024-02-23T00:00:00"/>
    <n v="2024"/>
    <x v="0"/>
    <n v="2"/>
    <x v="9"/>
    <x v="1"/>
    <n v="651.11"/>
    <s v="Customer C4332"/>
    <x v="2"/>
    <x v="3"/>
    <n v="2"/>
    <n v="1953.33"/>
  </r>
  <r>
    <x v="618"/>
    <x v="3"/>
    <d v="2024-04-14T00:00:00"/>
    <n v="2024"/>
    <x v="1"/>
    <n v="4"/>
    <x v="5"/>
    <x v="4"/>
    <n v="348.09"/>
    <s v="Customer C4333"/>
    <x v="2"/>
    <x v="3"/>
    <n v="5"/>
    <n v="348.09"/>
  </r>
  <r>
    <x v="619"/>
    <x v="3"/>
    <d v="2023-05-20T00:00:00"/>
    <n v="2023"/>
    <x v="1"/>
    <n v="5"/>
    <x v="1"/>
    <x v="4"/>
    <n v="56.35"/>
    <s v="Customer C4338"/>
    <x v="0"/>
    <x v="1"/>
    <n v="3"/>
    <n v="56.35"/>
  </r>
  <r>
    <x v="620"/>
    <x v="3"/>
    <d v="2023-05-26T00:00:00"/>
    <n v="2023"/>
    <x v="1"/>
    <n v="5"/>
    <x v="1"/>
    <x v="3"/>
    <n v="254.14"/>
    <s v="Customer C4343"/>
    <x v="1"/>
    <x v="1"/>
    <n v="3"/>
    <n v="1270.7"/>
  </r>
  <r>
    <x v="621"/>
    <x v="2"/>
    <d v="2025-02-24T00:00:00"/>
    <n v="2025"/>
    <x v="0"/>
    <n v="2"/>
    <x v="9"/>
    <x v="1"/>
    <n v="600.34"/>
    <s v="Customer C4347"/>
    <x v="2"/>
    <x v="1"/>
    <n v="4"/>
    <n v="1801.02"/>
  </r>
  <r>
    <x v="622"/>
    <x v="3"/>
    <d v="2024-06-16T00:00:00"/>
    <n v="2024"/>
    <x v="1"/>
    <n v="6"/>
    <x v="2"/>
    <x v="6"/>
    <n v="700.67"/>
    <s v="Customer C4348"/>
    <x v="2"/>
    <x v="3"/>
    <n v="2"/>
    <n v="4904.6899999999996"/>
  </r>
  <r>
    <x v="623"/>
    <x v="2"/>
    <d v="2024-04-11T00:00:00"/>
    <n v="2024"/>
    <x v="1"/>
    <n v="4"/>
    <x v="5"/>
    <x v="2"/>
    <n v="453.57"/>
    <s v="Customer C4367"/>
    <x v="0"/>
    <x v="1"/>
    <n v="1"/>
    <n v="2721.42"/>
  </r>
  <r>
    <x v="623"/>
    <x v="4"/>
    <d v="2023-10-21T00:00:00"/>
    <n v="2023"/>
    <x v="3"/>
    <n v="10"/>
    <x v="4"/>
    <x v="3"/>
    <n v="389.64"/>
    <s v="Customer C4367"/>
    <x v="2"/>
    <x v="0"/>
    <n v="5"/>
    <n v="1948.2"/>
  </r>
  <r>
    <x v="623"/>
    <x v="6"/>
    <d v="2023-10-24T00:00:00"/>
    <n v="2023"/>
    <x v="3"/>
    <n v="10"/>
    <x v="4"/>
    <x v="7"/>
    <n v="240.87"/>
    <s v="Customer C4367"/>
    <x v="2"/>
    <x v="4"/>
    <n v="2"/>
    <n v="963.48"/>
  </r>
  <r>
    <x v="624"/>
    <x v="6"/>
    <d v="2024-11-02T00:00:00"/>
    <n v="2024"/>
    <x v="3"/>
    <n v="11"/>
    <x v="8"/>
    <x v="1"/>
    <n v="300.82"/>
    <s v="Customer C4369"/>
    <x v="1"/>
    <x v="3"/>
    <n v="2"/>
    <n v="902.46"/>
  </r>
  <r>
    <x v="625"/>
    <x v="6"/>
    <d v="2024-11-06T00:00:00"/>
    <n v="2024"/>
    <x v="3"/>
    <n v="11"/>
    <x v="8"/>
    <x v="6"/>
    <n v="587.48"/>
    <s v="Customer C4370"/>
    <x v="1"/>
    <x v="3"/>
    <n v="3"/>
    <n v="4112.3599999999997"/>
  </r>
  <r>
    <x v="626"/>
    <x v="1"/>
    <d v="2024-01-15T00:00:00"/>
    <n v="2024"/>
    <x v="0"/>
    <n v="1"/>
    <x v="0"/>
    <x v="7"/>
    <n v="671.79"/>
    <s v="Customer C4384"/>
    <x v="1"/>
    <x v="1"/>
    <n v="4"/>
    <n v="2687.16"/>
  </r>
  <r>
    <x v="627"/>
    <x v="6"/>
    <d v="2023-02-17T00:00:00"/>
    <n v="2023"/>
    <x v="0"/>
    <n v="2"/>
    <x v="9"/>
    <x v="1"/>
    <n v="695.18"/>
    <s v="Customer C4385"/>
    <x v="1"/>
    <x v="3"/>
    <n v="1"/>
    <n v="2085.54"/>
  </r>
  <r>
    <x v="628"/>
    <x v="5"/>
    <d v="2024-09-21T00:00:00"/>
    <n v="2024"/>
    <x v="2"/>
    <n v="9"/>
    <x v="11"/>
    <x v="3"/>
    <n v="682.34"/>
    <s v="Customer C4387"/>
    <x v="0"/>
    <x v="2"/>
    <n v="3"/>
    <n v="3411.7"/>
  </r>
  <r>
    <x v="629"/>
    <x v="5"/>
    <d v="2023-02-25T00:00:00"/>
    <n v="2023"/>
    <x v="0"/>
    <n v="2"/>
    <x v="9"/>
    <x v="4"/>
    <n v="234.79"/>
    <s v="Customer C4399"/>
    <x v="1"/>
    <x v="4"/>
    <n v="5"/>
    <n v="234.79"/>
  </r>
  <r>
    <x v="630"/>
    <x v="0"/>
    <d v="2023-04-26T00:00:00"/>
    <n v="2023"/>
    <x v="1"/>
    <n v="4"/>
    <x v="5"/>
    <x v="1"/>
    <n v="520.58000000000004"/>
    <s v="Customer C4402"/>
    <x v="2"/>
    <x v="3"/>
    <n v="1"/>
    <n v="1561.74"/>
  </r>
  <r>
    <x v="631"/>
    <x v="3"/>
    <d v="2023-04-26T00:00:00"/>
    <n v="2023"/>
    <x v="1"/>
    <n v="4"/>
    <x v="5"/>
    <x v="0"/>
    <n v="21.27"/>
    <s v="Customer C4405"/>
    <x v="1"/>
    <x v="0"/>
    <n v="4"/>
    <n v="170.16"/>
  </r>
  <r>
    <x v="632"/>
    <x v="4"/>
    <d v="2024-09-11T00:00:00"/>
    <n v="2024"/>
    <x v="2"/>
    <n v="9"/>
    <x v="11"/>
    <x v="3"/>
    <n v="454.21"/>
    <s v="Customer C4409"/>
    <x v="1"/>
    <x v="1"/>
    <n v="1"/>
    <n v="2271.0500000000002"/>
  </r>
  <r>
    <x v="633"/>
    <x v="5"/>
    <d v="2023-12-20T00:00:00"/>
    <n v="2023"/>
    <x v="3"/>
    <n v="12"/>
    <x v="7"/>
    <x v="7"/>
    <n v="285.58999999999997"/>
    <s v="Customer C4413"/>
    <x v="1"/>
    <x v="3"/>
    <n v="2"/>
    <n v="1142.3599999999999"/>
  </r>
  <r>
    <x v="634"/>
    <x v="5"/>
    <d v="2025-06-20T00:00:00"/>
    <n v="2025"/>
    <x v="1"/>
    <n v="6"/>
    <x v="2"/>
    <x v="4"/>
    <n v="220.45"/>
    <s v="Customer C4414"/>
    <x v="0"/>
    <x v="3"/>
    <n v="3"/>
    <n v="220.45"/>
  </r>
  <r>
    <x v="635"/>
    <x v="2"/>
    <d v="2024-02-05T00:00:00"/>
    <n v="2024"/>
    <x v="0"/>
    <n v="2"/>
    <x v="9"/>
    <x v="5"/>
    <n v="236.14"/>
    <s v="Customer C4420"/>
    <x v="1"/>
    <x v="1"/>
    <n v="2"/>
    <n v="472.28"/>
  </r>
  <r>
    <x v="636"/>
    <x v="1"/>
    <d v="2023-10-12T00:00:00"/>
    <n v="2023"/>
    <x v="3"/>
    <n v="10"/>
    <x v="4"/>
    <x v="7"/>
    <n v="107.13"/>
    <s v="Customer C4425"/>
    <x v="1"/>
    <x v="4"/>
    <n v="4"/>
    <n v="428.52"/>
  </r>
  <r>
    <x v="637"/>
    <x v="5"/>
    <d v="2024-10-12T00:00:00"/>
    <n v="2024"/>
    <x v="3"/>
    <n v="10"/>
    <x v="4"/>
    <x v="5"/>
    <n v="443.01"/>
    <s v="Customer C4434"/>
    <x v="0"/>
    <x v="2"/>
    <n v="3"/>
    <n v="886.02"/>
  </r>
  <r>
    <x v="637"/>
    <x v="1"/>
    <d v="2023-02-14T00:00:00"/>
    <n v="2023"/>
    <x v="0"/>
    <n v="2"/>
    <x v="9"/>
    <x v="7"/>
    <n v="77.48"/>
    <s v="Customer C4434"/>
    <x v="0"/>
    <x v="0"/>
    <n v="2"/>
    <n v="309.92"/>
  </r>
  <r>
    <x v="638"/>
    <x v="4"/>
    <d v="2023-09-30T00:00:00"/>
    <n v="2023"/>
    <x v="2"/>
    <n v="9"/>
    <x v="11"/>
    <x v="6"/>
    <n v="786.45"/>
    <s v="Customer C4437"/>
    <x v="0"/>
    <x v="1"/>
    <n v="4"/>
    <n v="5505.15"/>
  </r>
  <r>
    <x v="638"/>
    <x v="0"/>
    <d v="2024-05-06T00:00:00"/>
    <n v="2024"/>
    <x v="1"/>
    <n v="5"/>
    <x v="1"/>
    <x v="3"/>
    <n v="404.52"/>
    <s v="Customer C4437"/>
    <x v="2"/>
    <x v="0"/>
    <n v="2"/>
    <n v="2022.6"/>
  </r>
  <r>
    <x v="639"/>
    <x v="1"/>
    <d v="2024-12-17T00:00:00"/>
    <n v="2024"/>
    <x v="3"/>
    <n v="12"/>
    <x v="7"/>
    <x v="3"/>
    <n v="457.47"/>
    <s v="Customer C4445"/>
    <x v="1"/>
    <x v="2"/>
    <n v="1"/>
    <n v="2287.35"/>
  </r>
  <r>
    <x v="640"/>
    <x v="2"/>
    <d v="2023-02-14T00:00:00"/>
    <n v="2023"/>
    <x v="0"/>
    <n v="2"/>
    <x v="9"/>
    <x v="2"/>
    <n v="610.36"/>
    <s v="Customer C4446"/>
    <x v="1"/>
    <x v="1"/>
    <n v="2"/>
    <n v="3662.16"/>
  </r>
  <r>
    <x v="640"/>
    <x v="1"/>
    <d v="2024-08-28T00:00:00"/>
    <n v="2024"/>
    <x v="2"/>
    <n v="8"/>
    <x v="6"/>
    <x v="7"/>
    <n v="657.98"/>
    <s v="Customer C4446"/>
    <x v="2"/>
    <x v="1"/>
    <n v="5"/>
    <n v="2631.92"/>
  </r>
  <r>
    <x v="641"/>
    <x v="0"/>
    <d v="2025-06-11T00:00:00"/>
    <n v="2025"/>
    <x v="1"/>
    <n v="6"/>
    <x v="2"/>
    <x v="3"/>
    <n v="764.37"/>
    <s v="Customer C4451"/>
    <x v="2"/>
    <x v="4"/>
    <n v="1"/>
    <n v="3821.85"/>
  </r>
  <r>
    <x v="642"/>
    <x v="4"/>
    <d v="2024-08-05T00:00:00"/>
    <n v="2024"/>
    <x v="2"/>
    <n v="8"/>
    <x v="6"/>
    <x v="7"/>
    <n v="15.12"/>
    <s v="Customer C4452"/>
    <x v="1"/>
    <x v="4"/>
    <n v="5"/>
    <n v="60.48"/>
  </r>
  <r>
    <x v="642"/>
    <x v="4"/>
    <d v="2023-06-15T00:00:00"/>
    <n v="2023"/>
    <x v="1"/>
    <n v="6"/>
    <x v="2"/>
    <x v="6"/>
    <n v="420.12"/>
    <s v="Customer C4452"/>
    <x v="1"/>
    <x v="3"/>
    <n v="5"/>
    <n v="2940.84"/>
  </r>
  <r>
    <x v="643"/>
    <x v="0"/>
    <d v="2023-03-24T00:00:00"/>
    <n v="2023"/>
    <x v="0"/>
    <n v="3"/>
    <x v="10"/>
    <x v="4"/>
    <n v="509.84"/>
    <s v="Customer C4455"/>
    <x v="1"/>
    <x v="3"/>
    <n v="1"/>
    <n v="509.84"/>
  </r>
  <r>
    <x v="644"/>
    <x v="2"/>
    <d v="2023-10-28T00:00:00"/>
    <n v="2023"/>
    <x v="3"/>
    <n v="10"/>
    <x v="4"/>
    <x v="3"/>
    <n v="435.2"/>
    <s v="Customer C4465"/>
    <x v="0"/>
    <x v="0"/>
    <n v="4"/>
    <n v="2176"/>
  </r>
  <r>
    <x v="645"/>
    <x v="6"/>
    <d v="2025-06-10T00:00:00"/>
    <n v="2025"/>
    <x v="1"/>
    <n v="6"/>
    <x v="2"/>
    <x v="2"/>
    <n v="7.55"/>
    <s v="Customer C4475"/>
    <x v="1"/>
    <x v="1"/>
    <n v="5"/>
    <n v="45.3"/>
  </r>
  <r>
    <x v="646"/>
    <x v="3"/>
    <d v="2025-06-21T00:00:00"/>
    <n v="2025"/>
    <x v="1"/>
    <n v="6"/>
    <x v="2"/>
    <x v="5"/>
    <n v="82.97"/>
    <s v="Customer C4479"/>
    <x v="0"/>
    <x v="1"/>
    <n v="4"/>
    <n v="165.94"/>
  </r>
  <r>
    <x v="647"/>
    <x v="2"/>
    <d v="2023-08-18T00:00:00"/>
    <n v="2023"/>
    <x v="2"/>
    <n v="8"/>
    <x v="6"/>
    <x v="6"/>
    <n v="591.5"/>
    <s v="Customer C4488"/>
    <x v="1"/>
    <x v="2"/>
    <n v="5"/>
    <n v="4140.5"/>
  </r>
  <r>
    <x v="647"/>
    <x v="4"/>
    <d v="2025-04-02T00:00:00"/>
    <n v="2025"/>
    <x v="1"/>
    <n v="4"/>
    <x v="5"/>
    <x v="5"/>
    <n v="705.82"/>
    <s v="Customer C4488"/>
    <x v="2"/>
    <x v="4"/>
    <n v="3"/>
    <n v="1411.64"/>
  </r>
  <r>
    <x v="648"/>
    <x v="1"/>
    <d v="2023-12-01T00:00:00"/>
    <n v="2023"/>
    <x v="3"/>
    <n v="12"/>
    <x v="7"/>
    <x v="1"/>
    <n v="278.73"/>
    <s v="Customer C4501"/>
    <x v="1"/>
    <x v="1"/>
    <n v="5"/>
    <n v="836.19"/>
  </r>
  <r>
    <x v="649"/>
    <x v="3"/>
    <d v="2025-06-19T00:00:00"/>
    <n v="2025"/>
    <x v="1"/>
    <n v="6"/>
    <x v="2"/>
    <x v="0"/>
    <n v="113.63"/>
    <s v="Customer C4507"/>
    <x v="1"/>
    <x v="3"/>
    <n v="3"/>
    <n v="909.04"/>
  </r>
  <r>
    <x v="650"/>
    <x v="5"/>
    <d v="2025-03-15T00:00:00"/>
    <n v="2025"/>
    <x v="0"/>
    <n v="3"/>
    <x v="10"/>
    <x v="1"/>
    <n v="428.09"/>
    <s v="Customer C4512"/>
    <x v="1"/>
    <x v="4"/>
    <n v="3"/>
    <n v="1284.27"/>
  </r>
  <r>
    <x v="651"/>
    <x v="0"/>
    <d v="2023-02-04T00:00:00"/>
    <n v="2023"/>
    <x v="0"/>
    <n v="2"/>
    <x v="9"/>
    <x v="7"/>
    <n v="749"/>
    <s v="Customer C4515"/>
    <x v="2"/>
    <x v="3"/>
    <n v="3"/>
    <n v="2996"/>
  </r>
  <r>
    <x v="652"/>
    <x v="0"/>
    <d v="2025-02-25T00:00:00"/>
    <n v="2025"/>
    <x v="0"/>
    <n v="2"/>
    <x v="9"/>
    <x v="2"/>
    <n v="416.07"/>
    <s v="Customer C4542"/>
    <x v="2"/>
    <x v="4"/>
    <n v="1"/>
    <n v="2496.42"/>
  </r>
  <r>
    <x v="653"/>
    <x v="4"/>
    <d v="2023-06-24T00:00:00"/>
    <n v="2023"/>
    <x v="1"/>
    <n v="6"/>
    <x v="2"/>
    <x v="2"/>
    <n v="715.37"/>
    <s v="Customer C4543"/>
    <x v="2"/>
    <x v="3"/>
    <n v="4"/>
    <n v="4292.22"/>
  </r>
  <r>
    <x v="653"/>
    <x v="0"/>
    <d v="2025-05-20T00:00:00"/>
    <n v="2025"/>
    <x v="1"/>
    <n v="5"/>
    <x v="1"/>
    <x v="0"/>
    <n v="363.25"/>
    <s v="Customer C4543"/>
    <x v="2"/>
    <x v="2"/>
    <n v="3"/>
    <n v="2906"/>
  </r>
  <r>
    <x v="654"/>
    <x v="6"/>
    <d v="2025-01-19T00:00:00"/>
    <n v="2025"/>
    <x v="0"/>
    <n v="1"/>
    <x v="0"/>
    <x v="2"/>
    <n v="336.38"/>
    <s v="Customer C4549"/>
    <x v="2"/>
    <x v="4"/>
    <n v="5"/>
    <n v="2018.28"/>
  </r>
  <r>
    <x v="655"/>
    <x v="2"/>
    <d v="2025-03-06T00:00:00"/>
    <n v="2025"/>
    <x v="0"/>
    <n v="3"/>
    <x v="10"/>
    <x v="6"/>
    <n v="115.44"/>
    <s v="Customer C4555"/>
    <x v="0"/>
    <x v="1"/>
    <n v="1"/>
    <n v="808.08"/>
  </r>
  <r>
    <x v="656"/>
    <x v="3"/>
    <d v="2024-02-17T00:00:00"/>
    <n v="2024"/>
    <x v="0"/>
    <n v="2"/>
    <x v="9"/>
    <x v="4"/>
    <n v="269.26"/>
    <s v="Customer C4565"/>
    <x v="0"/>
    <x v="2"/>
    <n v="4"/>
    <n v="269.26"/>
  </r>
  <r>
    <x v="657"/>
    <x v="5"/>
    <d v="2024-02-12T00:00:00"/>
    <n v="2024"/>
    <x v="0"/>
    <n v="2"/>
    <x v="9"/>
    <x v="2"/>
    <n v="607.23"/>
    <s v="Customer C4566"/>
    <x v="2"/>
    <x v="2"/>
    <n v="3"/>
    <n v="3643.38"/>
  </r>
  <r>
    <x v="658"/>
    <x v="3"/>
    <d v="2025-02-13T00:00:00"/>
    <n v="2025"/>
    <x v="0"/>
    <n v="2"/>
    <x v="9"/>
    <x v="6"/>
    <n v="536.13"/>
    <s v="Customer C4576"/>
    <x v="1"/>
    <x v="3"/>
    <n v="1"/>
    <n v="3752.91"/>
  </r>
  <r>
    <x v="659"/>
    <x v="6"/>
    <d v="2025-06-27T00:00:00"/>
    <n v="2025"/>
    <x v="1"/>
    <n v="6"/>
    <x v="2"/>
    <x v="0"/>
    <n v="77.66"/>
    <s v="Customer C4588"/>
    <x v="2"/>
    <x v="4"/>
    <n v="1"/>
    <n v="621.28"/>
  </r>
  <r>
    <x v="660"/>
    <x v="2"/>
    <d v="2023-06-08T00:00:00"/>
    <n v="2023"/>
    <x v="1"/>
    <n v="6"/>
    <x v="2"/>
    <x v="0"/>
    <n v="368.38"/>
    <s v="Customer C4597"/>
    <x v="1"/>
    <x v="4"/>
    <n v="3"/>
    <n v="2947.04"/>
  </r>
  <r>
    <x v="661"/>
    <x v="3"/>
    <d v="2025-04-12T00:00:00"/>
    <n v="2025"/>
    <x v="1"/>
    <n v="4"/>
    <x v="5"/>
    <x v="1"/>
    <n v="610.49"/>
    <s v="Customer C4598"/>
    <x v="0"/>
    <x v="4"/>
    <n v="4"/>
    <n v="1831.47"/>
  </r>
  <r>
    <x v="662"/>
    <x v="5"/>
    <d v="2023-01-29T00:00:00"/>
    <n v="2023"/>
    <x v="0"/>
    <n v="1"/>
    <x v="0"/>
    <x v="5"/>
    <n v="748.38"/>
    <s v="Customer C4601"/>
    <x v="0"/>
    <x v="2"/>
    <n v="5"/>
    <n v="1496.76"/>
  </r>
  <r>
    <x v="663"/>
    <x v="2"/>
    <d v="2025-06-29T00:00:00"/>
    <n v="2025"/>
    <x v="1"/>
    <n v="6"/>
    <x v="2"/>
    <x v="7"/>
    <n v="317.13"/>
    <s v="Customer C4604"/>
    <x v="1"/>
    <x v="4"/>
    <n v="3"/>
    <n v="1268.52"/>
  </r>
  <r>
    <x v="664"/>
    <x v="2"/>
    <d v="2024-04-19T00:00:00"/>
    <n v="2024"/>
    <x v="1"/>
    <n v="4"/>
    <x v="5"/>
    <x v="0"/>
    <n v="387.1"/>
    <s v="Customer C4605"/>
    <x v="1"/>
    <x v="3"/>
    <n v="5"/>
    <n v="3096.8"/>
  </r>
  <r>
    <x v="665"/>
    <x v="1"/>
    <d v="2024-02-16T00:00:00"/>
    <n v="2024"/>
    <x v="0"/>
    <n v="2"/>
    <x v="9"/>
    <x v="1"/>
    <n v="250.16"/>
    <s v="Customer C4617"/>
    <x v="0"/>
    <x v="4"/>
    <n v="3"/>
    <n v="750.48"/>
  </r>
  <r>
    <x v="666"/>
    <x v="6"/>
    <d v="2024-02-20T00:00:00"/>
    <n v="2024"/>
    <x v="0"/>
    <n v="2"/>
    <x v="9"/>
    <x v="4"/>
    <n v="582.02"/>
    <s v="Customer C4623"/>
    <x v="2"/>
    <x v="0"/>
    <n v="5"/>
    <n v="582.02"/>
  </r>
  <r>
    <x v="667"/>
    <x v="4"/>
    <d v="2024-11-23T00:00:00"/>
    <n v="2024"/>
    <x v="3"/>
    <n v="11"/>
    <x v="8"/>
    <x v="6"/>
    <n v="8.07"/>
    <s v="Customer C4628"/>
    <x v="1"/>
    <x v="0"/>
    <n v="1"/>
    <n v="56.49"/>
  </r>
  <r>
    <x v="668"/>
    <x v="3"/>
    <d v="2023-10-21T00:00:00"/>
    <n v="2023"/>
    <x v="3"/>
    <n v="10"/>
    <x v="4"/>
    <x v="1"/>
    <n v="377.96"/>
    <s v="Customer C4637"/>
    <x v="1"/>
    <x v="4"/>
    <n v="5"/>
    <n v="1133.8800000000001"/>
  </r>
  <r>
    <x v="669"/>
    <x v="3"/>
    <d v="2024-06-10T00:00:00"/>
    <n v="2024"/>
    <x v="1"/>
    <n v="6"/>
    <x v="2"/>
    <x v="0"/>
    <n v="389.9"/>
    <s v="Customer C4639"/>
    <x v="0"/>
    <x v="4"/>
    <n v="4"/>
    <n v="3119.2"/>
  </r>
  <r>
    <x v="670"/>
    <x v="4"/>
    <d v="2024-01-19T00:00:00"/>
    <n v="2024"/>
    <x v="0"/>
    <n v="1"/>
    <x v="0"/>
    <x v="1"/>
    <n v="497.83"/>
    <s v="Customer C4648"/>
    <x v="0"/>
    <x v="3"/>
    <n v="5"/>
    <n v="1493.49"/>
  </r>
  <r>
    <x v="671"/>
    <x v="0"/>
    <d v="2024-05-24T00:00:00"/>
    <n v="2024"/>
    <x v="1"/>
    <n v="5"/>
    <x v="1"/>
    <x v="4"/>
    <n v="621.01"/>
    <s v="Customer C4649"/>
    <x v="2"/>
    <x v="3"/>
    <n v="1"/>
    <n v="621.01"/>
  </r>
  <r>
    <x v="672"/>
    <x v="6"/>
    <d v="2024-12-19T00:00:00"/>
    <n v="2024"/>
    <x v="3"/>
    <n v="12"/>
    <x v="7"/>
    <x v="3"/>
    <n v="172.17"/>
    <s v="Customer C4650"/>
    <x v="1"/>
    <x v="2"/>
    <n v="4"/>
    <n v="860.85"/>
  </r>
  <r>
    <x v="673"/>
    <x v="3"/>
    <d v="2024-02-13T00:00:00"/>
    <n v="2024"/>
    <x v="0"/>
    <n v="2"/>
    <x v="9"/>
    <x v="4"/>
    <n v="430.58"/>
    <s v="Customer C4651"/>
    <x v="1"/>
    <x v="0"/>
    <n v="5"/>
    <n v="430.58"/>
  </r>
  <r>
    <x v="674"/>
    <x v="4"/>
    <d v="2024-12-07T00:00:00"/>
    <n v="2024"/>
    <x v="3"/>
    <n v="12"/>
    <x v="7"/>
    <x v="5"/>
    <n v="8.89"/>
    <s v="Customer C4666"/>
    <x v="2"/>
    <x v="1"/>
    <n v="4"/>
    <n v="17.78"/>
  </r>
  <r>
    <x v="675"/>
    <x v="0"/>
    <d v="2023-11-05T00:00:00"/>
    <n v="2023"/>
    <x v="3"/>
    <n v="11"/>
    <x v="8"/>
    <x v="5"/>
    <n v="655.12"/>
    <s v="Customer C4670"/>
    <x v="2"/>
    <x v="2"/>
    <n v="3"/>
    <n v="1310.24"/>
  </r>
  <r>
    <x v="676"/>
    <x v="5"/>
    <d v="2023-07-02T00:00:00"/>
    <n v="2023"/>
    <x v="2"/>
    <n v="7"/>
    <x v="3"/>
    <x v="5"/>
    <n v="778"/>
    <s v="Customer C4674"/>
    <x v="1"/>
    <x v="3"/>
    <n v="2"/>
    <n v="1556"/>
  </r>
  <r>
    <x v="677"/>
    <x v="0"/>
    <d v="2024-06-11T00:00:00"/>
    <n v="2024"/>
    <x v="1"/>
    <n v="6"/>
    <x v="2"/>
    <x v="5"/>
    <n v="492.58"/>
    <s v="Customer C4679"/>
    <x v="2"/>
    <x v="0"/>
    <n v="5"/>
    <n v="985.16"/>
  </r>
  <r>
    <x v="678"/>
    <x v="0"/>
    <d v="2023-05-03T00:00:00"/>
    <n v="2023"/>
    <x v="1"/>
    <n v="5"/>
    <x v="1"/>
    <x v="2"/>
    <n v="779.23"/>
    <s v="Customer C4681"/>
    <x v="2"/>
    <x v="4"/>
    <n v="5"/>
    <n v="4675.38"/>
  </r>
  <r>
    <x v="679"/>
    <x v="0"/>
    <d v="2024-05-16T00:00:00"/>
    <n v="2024"/>
    <x v="1"/>
    <n v="5"/>
    <x v="1"/>
    <x v="0"/>
    <n v="526.76"/>
    <s v="Customer C4685"/>
    <x v="0"/>
    <x v="1"/>
    <n v="2"/>
    <n v="4214.08"/>
  </r>
  <r>
    <x v="680"/>
    <x v="1"/>
    <d v="2023-08-19T00:00:00"/>
    <n v="2023"/>
    <x v="2"/>
    <n v="8"/>
    <x v="6"/>
    <x v="7"/>
    <n v="776.74"/>
    <s v="Customer C4686"/>
    <x v="1"/>
    <x v="2"/>
    <n v="4"/>
    <n v="3106.96"/>
  </r>
  <r>
    <x v="681"/>
    <x v="6"/>
    <d v="2025-03-24T00:00:00"/>
    <n v="2025"/>
    <x v="0"/>
    <n v="3"/>
    <x v="10"/>
    <x v="1"/>
    <n v="389.68"/>
    <s v="Customer C4690"/>
    <x v="2"/>
    <x v="1"/>
    <n v="4"/>
    <n v="1169.04"/>
  </r>
  <r>
    <x v="682"/>
    <x v="3"/>
    <d v="2023-08-19T00:00:00"/>
    <n v="2023"/>
    <x v="2"/>
    <n v="8"/>
    <x v="6"/>
    <x v="7"/>
    <n v="517.12"/>
    <s v="Customer C4693"/>
    <x v="1"/>
    <x v="0"/>
    <n v="3"/>
    <n v="2068.48"/>
  </r>
  <r>
    <x v="683"/>
    <x v="4"/>
    <d v="2023-04-18T00:00:00"/>
    <n v="2023"/>
    <x v="1"/>
    <n v="4"/>
    <x v="5"/>
    <x v="6"/>
    <n v="494.18"/>
    <s v="Customer C4699"/>
    <x v="0"/>
    <x v="3"/>
    <n v="2"/>
    <n v="3459.26"/>
  </r>
  <r>
    <x v="684"/>
    <x v="1"/>
    <d v="2023-05-13T00:00:00"/>
    <n v="2023"/>
    <x v="1"/>
    <n v="5"/>
    <x v="1"/>
    <x v="3"/>
    <n v="607.6"/>
    <s v="Customer C4702"/>
    <x v="0"/>
    <x v="0"/>
    <n v="4"/>
    <n v="3038"/>
  </r>
  <r>
    <x v="685"/>
    <x v="6"/>
    <d v="2023-03-12T00:00:00"/>
    <n v="2023"/>
    <x v="0"/>
    <n v="3"/>
    <x v="10"/>
    <x v="2"/>
    <n v="100.99"/>
    <s v="Customer C4704"/>
    <x v="0"/>
    <x v="2"/>
    <n v="5"/>
    <n v="605.94000000000005"/>
  </r>
  <r>
    <x v="686"/>
    <x v="4"/>
    <d v="2024-10-12T00:00:00"/>
    <n v="2024"/>
    <x v="3"/>
    <n v="10"/>
    <x v="4"/>
    <x v="7"/>
    <n v="609.05999999999995"/>
    <s v="Customer C4705"/>
    <x v="2"/>
    <x v="1"/>
    <n v="1"/>
    <n v="2436.2399999999998"/>
  </r>
  <r>
    <x v="686"/>
    <x v="5"/>
    <d v="2023-12-10T00:00:00"/>
    <n v="2023"/>
    <x v="3"/>
    <n v="12"/>
    <x v="7"/>
    <x v="0"/>
    <n v="297.94"/>
    <s v="Customer C4705"/>
    <x v="1"/>
    <x v="4"/>
    <n v="4"/>
    <n v="2383.52"/>
  </r>
  <r>
    <x v="687"/>
    <x v="2"/>
    <d v="2024-02-21T00:00:00"/>
    <n v="2024"/>
    <x v="0"/>
    <n v="2"/>
    <x v="9"/>
    <x v="2"/>
    <n v="484.73"/>
    <s v="Customer C4706"/>
    <x v="1"/>
    <x v="4"/>
    <n v="3"/>
    <n v="2908.38"/>
  </r>
  <r>
    <x v="688"/>
    <x v="4"/>
    <d v="2024-03-04T00:00:00"/>
    <n v="2024"/>
    <x v="0"/>
    <n v="3"/>
    <x v="10"/>
    <x v="1"/>
    <n v="460.15"/>
    <s v="Customer C4707"/>
    <x v="2"/>
    <x v="0"/>
    <n v="2"/>
    <n v="1380.45"/>
  </r>
  <r>
    <x v="689"/>
    <x v="2"/>
    <d v="2024-07-27T00:00:00"/>
    <n v="2024"/>
    <x v="2"/>
    <n v="7"/>
    <x v="3"/>
    <x v="5"/>
    <n v="677.5"/>
    <s v="Customer C4715"/>
    <x v="1"/>
    <x v="1"/>
    <n v="3"/>
    <n v="1355"/>
  </r>
  <r>
    <x v="690"/>
    <x v="6"/>
    <d v="2023-07-12T00:00:00"/>
    <n v="2023"/>
    <x v="2"/>
    <n v="7"/>
    <x v="3"/>
    <x v="4"/>
    <n v="50.18"/>
    <s v="Customer C4720"/>
    <x v="2"/>
    <x v="1"/>
    <n v="3"/>
    <n v="50.18"/>
  </r>
  <r>
    <x v="691"/>
    <x v="2"/>
    <d v="2023-10-01T00:00:00"/>
    <n v="2023"/>
    <x v="3"/>
    <n v="10"/>
    <x v="4"/>
    <x v="6"/>
    <n v="773.06"/>
    <s v="Customer C4730"/>
    <x v="1"/>
    <x v="2"/>
    <n v="5"/>
    <n v="5411.42"/>
  </r>
  <r>
    <x v="692"/>
    <x v="1"/>
    <d v="2025-05-06T00:00:00"/>
    <n v="2025"/>
    <x v="1"/>
    <n v="5"/>
    <x v="1"/>
    <x v="6"/>
    <n v="616.71"/>
    <s v="Customer C4731"/>
    <x v="2"/>
    <x v="3"/>
    <n v="2"/>
    <n v="4316.97"/>
  </r>
  <r>
    <x v="693"/>
    <x v="5"/>
    <d v="2024-12-18T00:00:00"/>
    <n v="2024"/>
    <x v="3"/>
    <n v="12"/>
    <x v="7"/>
    <x v="0"/>
    <n v="768.09"/>
    <s v="Customer C4737"/>
    <x v="1"/>
    <x v="4"/>
    <n v="1"/>
    <n v="6144.72"/>
  </r>
  <r>
    <x v="694"/>
    <x v="2"/>
    <d v="2023-01-24T00:00:00"/>
    <n v="2023"/>
    <x v="0"/>
    <n v="1"/>
    <x v="0"/>
    <x v="6"/>
    <n v="152.85"/>
    <s v="Customer C4745"/>
    <x v="1"/>
    <x v="3"/>
    <n v="4"/>
    <n v="1069.95"/>
  </r>
  <r>
    <x v="695"/>
    <x v="4"/>
    <d v="2023-12-02T00:00:00"/>
    <n v="2023"/>
    <x v="3"/>
    <n v="12"/>
    <x v="7"/>
    <x v="5"/>
    <n v="27.94"/>
    <s v="Customer C4755"/>
    <x v="0"/>
    <x v="1"/>
    <n v="5"/>
    <n v="55.88"/>
  </r>
  <r>
    <x v="696"/>
    <x v="6"/>
    <d v="2023-08-05T00:00:00"/>
    <n v="2023"/>
    <x v="2"/>
    <n v="8"/>
    <x v="6"/>
    <x v="1"/>
    <n v="137.72999999999999"/>
    <s v="Customer C4758"/>
    <x v="2"/>
    <x v="1"/>
    <n v="1"/>
    <n v="413.19"/>
  </r>
  <r>
    <x v="697"/>
    <x v="3"/>
    <d v="2024-02-25T00:00:00"/>
    <n v="2024"/>
    <x v="0"/>
    <n v="2"/>
    <x v="9"/>
    <x v="4"/>
    <n v="566.54"/>
    <s v="Customer C4760"/>
    <x v="0"/>
    <x v="3"/>
    <n v="2"/>
    <n v="566.54"/>
  </r>
  <r>
    <x v="698"/>
    <x v="6"/>
    <d v="2023-06-13T00:00:00"/>
    <n v="2023"/>
    <x v="1"/>
    <n v="6"/>
    <x v="2"/>
    <x v="4"/>
    <n v="506.82"/>
    <s v="Customer C4770"/>
    <x v="1"/>
    <x v="0"/>
    <n v="3"/>
    <n v="506.82"/>
  </r>
  <r>
    <x v="699"/>
    <x v="2"/>
    <d v="2024-05-02T00:00:00"/>
    <n v="2024"/>
    <x v="1"/>
    <n v="5"/>
    <x v="1"/>
    <x v="3"/>
    <n v="775.79"/>
    <s v="Customer C4771"/>
    <x v="0"/>
    <x v="3"/>
    <n v="4"/>
    <n v="3878.95"/>
  </r>
  <r>
    <x v="700"/>
    <x v="4"/>
    <d v="2025-04-03T00:00:00"/>
    <n v="2025"/>
    <x v="1"/>
    <n v="4"/>
    <x v="5"/>
    <x v="5"/>
    <n v="618.34"/>
    <s v="Customer C4773"/>
    <x v="1"/>
    <x v="1"/>
    <n v="3"/>
    <n v="1236.68"/>
  </r>
  <r>
    <x v="701"/>
    <x v="5"/>
    <d v="2024-08-02T00:00:00"/>
    <n v="2024"/>
    <x v="2"/>
    <n v="8"/>
    <x v="6"/>
    <x v="3"/>
    <n v="648.76"/>
    <s v="Customer C4778"/>
    <x v="1"/>
    <x v="2"/>
    <n v="3"/>
    <n v="3243.8"/>
  </r>
  <r>
    <x v="702"/>
    <x v="1"/>
    <d v="2023-04-13T00:00:00"/>
    <n v="2023"/>
    <x v="1"/>
    <n v="4"/>
    <x v="5"/>
    <x v="5"/>
    <n v="406.89"/>
    <s v="Customer C4785"/>
    <x v="2"/>
    <x v="3"/>
    <n v="1"/>
    <n v="813.78"/>
  </r>
  <r>
    <x v="703"/>
    <x v="2"/>
    <d v="2024-01-03T00:00:00"/>
    <n v="2024"/>
    <x v="0"/>
    <n v="1"/>
    <x v="0"/>
    <x v="5"/>
    <n v="749.32"/>
    <s v="Customer C4788"/>
    <x v="2"/>
    <x v="1"/>
    <n v="3"/>
    <n v="1498.64"/>
  </r>
  <r>
    <x v="704"/>
    <x v="2"/>
    <d v="2025-03-15T00:00:00"/>
    <n v="2025"/>
    <x v="0"/>
    <n v="3"/>
    <x v="10"/>
    <x v="5"/>
    <n v="277.76"/>
    <s v="Customer C4790"/>
    <x v="2"/>
    <x v="1"/>
    <n v="5"/>
    <n v="555.52"/>
  </r>
  <r>
    <x v="704"/>
    <x v="6"/>
    <d v="2023-10-14T00:00:00"/>
    <n v="2023"/>
    <x v="3"/>
    <n v="10"/>
    <x v="4"/>
    <x v="2"/>
    <n v="448.1"/>
    <s v="Customer C4790"/>
    <x v="0"/>
    <x v="3"/>
    <n v="4"/>
    <n v="2688.6"/>
  </r>
  <r>
    <x v="705"/>
    <x v="3"/>
    <d v="2025-05-23T00:00:00"/>
    <n v="2025"/>
    <x v="1"/>
    <n v="5"/>
    <x v="1"/>
    <x v="4"/>
    <n v="77.64"/>
    <s v="Customer C4793"/>
    <x v="0"/>
    <x v="2"/>
    <n v="4"/>
    <n v="77.64"/>
  </r>
  <r>
    <x v="706"/>
    <x v="3"/>
    <d v="2023-11-03T00:00:00"/>
    <n v="2023"/>
    <x v="3"/>
    <n v="11"/>
    <x v="8"/>
    <x v="7"/>
    <n v="562.28"/>
    <s v="Customer C4818"/>
    <x v="1"/>
    <x v="0"/>
    <n v="3"/>
    <n v="2249.12"/>
  </r>
  <r>
    <x v="707"/>
    <x v="3"/>
    <d v="2024-01-14T00:00:00"/>
    <n v="2024"/>
    <x v="0"/>
    <n v="1"/>
    <x v="0"/>
    <x v="5"/>
    <n v="348.71"/>
    <s v="Customer C4820"/>
    <x v="2"/>
    <x v="0"/>
    <n v="3"/>
    <n v="697.42"/>
  </r>
  <r>
    <x v="708"/>
    <x v="3"/>
    <d v="2023-12-22T00:00:00"/>
    <n v="2023"/>
    <x v="3"/>
    <n v="12"/>
    <x v="7"/>
    <x v="7"/>
    <n v="573.19000000000005"/>
    <s v="Customer C4822"/>
    <x v="2"/>
    <x v="1"/>
    <n v="1"/>
    <n v="2292.7600000000002"/>
  </r>
  <r>
    <x v="709"/>
    <x v="4"/>
    <d v="2023-02-22T00:00:00"/>
    <n v="2023"/>
    <x v="0"/>
    <n v="2"/>
    <x v="9"/>
    <x v="7"/>
    <n v="389.11"/>
    <s v="Customer C4830"/>
    <x v="1"/>
    <x v="0"/>
    <n v="5"/>
    <n v="1556.44"/>
  </r>
  <r>
    <x v="710"/>
    <x v="5"/>
    <d v="2025-01-20T00:00:00"/>
    <n v="2025"/>
    <x v="0"/>
    <n v="1"/>
    <x v="0"/>
    <x v="6"/>
    <n v="748.3"/>
    <s v="Customer C4839"/>
    <x v="0"/>
    <x v="2"/>
    <n v="3"/>
    <n v="5238.1000000000004"/>
  </r>
  <r>
    <x v="711"/>
    <x v="5"/>
    <d v="2023-04-03T00:00:00"/>
    <n v="2023"/>
    <x v="1"/>
    <n v="4"/>
    <x v="5"/>
    <x v="7"/>
    <n v="452.06"/>
    <s v="Customer C4847"/>
    <x v="1"/>
    <x v="1"/>
    <n v="2"/>
    <n v="1808.24"/>
  </r>
  <r>
    <x v="712"/>
    <x v="1"/>
    <d v="2024-10-20T00:00:00"/>
    <n v="2024"/>
    <x v="3"/>
    <n v="10"/>
    <x v="4"/>
    <x v="4"/>
    <n v="748.55"/>
    <s v="Customer C4849"/>
    <x v="1"/>
    <x v="4"/>
    <n v="4"/>
    <n v="748.55"/>
  </r>
  <r>
    <x v="713"/>
    <x v="4"/>
    <d v="2024-08-10T00:00:00"/>
    <n v="2024"/>
    <x v="2"/>
    <n v="8"/>
    <x v="6"/>
    <x v="5"/>
    <n v="299.45999999999998"/>
    <s v="Customer C4852"/>
    <x v="1"/>
    <x v="2"/>
    <n v="3"/>
    <n v="598.91999999999996"/>
  </r>
  <r>
    <x v="714"/>
    <x v="4"/>
    <d v="2024-10-09T00:00:00"/>
    <n v="2024"/>
    <x v="3"/>
    <n v="10"/>
    <x v="4"/>
    <x v="1"/>
    <n v="224.5"/>
    <s v="Customer C4856"/>
    <x v="2"/>
    <x v="4"/>
    <n v="5"/>
    <n v="673.5"/>
  </r>
  <r>
    <x v="715"/>
    <x v="4"/>
    <d v="2024-02-14T00:00:00"/>
    <n v="2024"/>
    <x v="0"/>
    <n v="2"/>
    <x v="9"/>
    <x v="2"/>
    <n v="67.73"/>
    <s v="Customer C4858"/>
    <x v="2"/>
    <x v="3"/>
    <n v="5"/>
    <n v="406.38"/>
  </r>
  <r>
    <x v="716"/>
    <x v="0"/>
    <d v="2023-02-26T00:00:00"/>
    <n v="2023"/>
    <x v="0"/>
    <n v="2"/>
    <x v="9"/>
    <x v="3"/>
    <n v="80.48"/>
    <s v="Customer C4859"/>
    <x v="1"/>
    <x v="0"/>
    <n v="4"/>
    <n v="402.4"/>
  </r>
  <r>
    <x v="717"/>
    <x v="1"/>
    <d v="2023-06-29T00:00:00"/>
    <n v="2023"/>
    <x v="1"/>
    <n v="6"/>
    <x v="2"/>
    <x v="0"/>
    <n v="265.70999999999998"/>
    <s v="Customer C4862"/>
    <x v="0"/>
    <x v="4"/>
    <n v="4"/>
    <n v="2125.6799999999998"/>
  </r>
  <r>
    <x v="718"/>
    <x v="5"/>
    <d v="2025-01-10T00:00:00"/>
    <n v="2025"/>
    <x v="0"/>
    <n v="1"/>
    <x v="0"/>
    <x v="6"/>
    <n v="766.99"/>
    <s v="Customer C4863"/>
    <x v="0"/>
    <x v="1"/>
    <n v="4"/>
    <n v="5368.93"/>
  </r>
  <r>
    <x v="719"/>
    <x v="3"/>
    <d v="2024-02-22T00:00:00"/>
    <n v="2024"/>
    <x v="0"/>
    <n v="2"/>
    <x v="9"/>
    <x v="6"/>
    <n v="662.26"/>
    <s v="Customer C4865"/>
    <x v="2"/>
    <x v="1"/>
    <n v="2"/>
    <n v="4635.82"/>
  </r>
  <r>
    <x v="720"/>
    <x v="4"/>
    <d v="2024-11-18T00:00:00"/>
    <n v="2024"/>
    <x v="3"/>
    <n v="11"/>
    <x v="8"/>
    <x v="1"/>
    <n v="660.31"/>
    <s v="Customer C4889"/>
    <x v="0"/>
    <x v="1"/>
    <n v="1"/>
    <n v="1980.93"/>
  </r>
  <r>
    <x v="721"/>
    <x v="6"/>
    <d v="2023-03-12T00:00:00"/>
    <n v="2023"/>
    <x v="0"/>
    <n v="3"/>
    <x v="10"/>
    <x v="1"/>
    <n v="555.37"/>
    <s v="Customer C4896"/>
    <x v="0"/>
    <x v="1"/>
    <n v="2"/>
    <n v="1666.11"/>
  </r>
  <r>
    <x v="722"/>
    <x v="1"/>
    <d v="2025-06-22T00:00:00"/>
    <n v="2025"/>
    <x v="1"/>
    <n v="6"/>
    <x v="2"/>
    <x v="6"/>
    <n v="285.58999999999997"/>
    <s v="Customer C4901"/>
    <x v="0"/>
    <x v="0"/>
    <n v="2"/>
    <n v="1999.13"/>
  </r>
  <r>
    <x v="723"/>
    <x v="2"/>
    <d v="2025-01-14T00:00:00"/>
    <n v="2025"/>
    <x v="0"/>
    <n v="1"/>
    <x v="0"/>
    <x v="3"/>
    <n v="367.34"/>
    <s v="Customer C4906"/>
    <x v="1"/>
    <x v="1"/>
    <n v="5"/>
    <n v="1836.7"/>
  </r>
  <r>
    <x v="724"/>
    <x v="0"/>
    <d v="2024-06-06T00:00:00"/>
    <n v="2024"/>
    <x v="1"/>
    <n v="6"/>
    <x v="2"/>
    <x v="4"/>
    <n v="347.08"/>
    <s v="Customer C4917"/>
    <x v="0"/>
    <x v="1"/>
    <n v="2"/>
    <n v="347.08"/>
  </r>
  <r>
    <x v="725"/>
    <x v="5"/>
    <d v="2025-04-18T00:00:00"/>
    <n v="2025"/>
    <x v="1"/>
    <n v="4"/>
    <x v="5"/>
    <x v="1"/>
    <n v="728.49"/>
    <s v="Customer C4933"/>
    <x v="0"/>
    <x v="1"/>
    <n v="3"/>
    <n v="2185.4699999999998"/>
  </r>
  <r>
    <x v="726"/>
    <x v="3"/>
    <d v="2024-06-10T00:00:00"/>
    <n v="2024"/>
    <x v="1"/>
    <n v="6"/>
    <x v="2"/>
    <x v="6"/>
    <n v="25.92"/>
    <s v="Customer C4936"/>
    <x v="2"/>
    <x v="4"/>
    <n v="3"/>
    <n v="181.44"/>
  </r>
  <r>
    <x v="727"/>
    <x v="0"/>
    <d v="2025-01-13T00:00:00"/>
    <n v="2025"/>
    <x v="0"/>
    <n v="1"/>
    <x v="0"/>
    <x v="4"/>
    <n v="471.49"/>
    <s v="Customer C4946"/>
    <x v="0"/>
    <x v="4"/>
    <n v="2"/>
    <n v="471.49"/>
  </r>
  <r>
    <x v="728"/>
    <x v="6"/>
    <d v="2024-04-07T00:00:00"/>
    <n v="2024"/>
    <x v="1"/>
    <n v="4"/>
    <x v="5"/>
    <x v="5"/>
    <n v="554.39"/>
    <s v="Customer C4953"/>
    <x v="2"/>
    <x v="2"/>
    <n v="1"/>
    <n v="1108.78"/>
  </r>
  <r>
    <x v="729"/>
    <x v="1"/>
    <d v="2023-02-27T00:00:00"/>
    <n v="2023"/>
    <x v="0"/>
    <n v="2"/>
    <x v="9"/>
    <x v="2"/>
    <n v="485.46"/>
    <s v="Customer C4962"/>
    <x v="2"/>
    <x v="1"/>
    <n v="2"/>
    <n v="2912.76"/>
  </r>
  <r>
    <x v="730"/>
    <x v="5"/>
    <d v="2024-07-07T00:00:00"/>
    <n v="2024"/>
    <x v="2"/>
    <n v="7"/>
    <x v="3"/>
    <x v="7"/>
    <n v="77.31"/>
    <s v="Customer C4969"/>
    <x v="1"/>
    <x v="2"/>
    <n v="3"/>
    <n v="309.24"/>
  </r>
  <r>
    <x v="731"/>
    <x v="2"/>
    <d v="2023-07-01T00:00:00"/>
    <n v="2023"/>
    <x v="2"/>
    <n v="7"/>
    <x v="3"/>
    <x v="1"/>
    <n v="98.62"/>
    <s v="Customer C4971"/>
    <x v="0"/>
    <x v="3"/>
    <n v="1"/>
    <n v="295.86"/>
  </r>
  <r>
    <x v="732"/>
    <x v="6"/>
    <d v="2025-01-01T00:00:00"/>
    <n v="2025"/>
    <x v="0"/>
    <n v="1"/>
    <x v="0"/>
    <x v="2"/>
    <n v="509.2"/>
    <s v="Customer C4979"/>
    <x v="2"/>
    <x v="0"/>
    <n v="2"/>
    <n v="3055.2"/>
  </r>
  <r>
    <x v="733"/>
    <x v="1"/>
    <d v="2024-11-26T00:00:00"/>
    <n v="2024"/>
    <x v="3"/>
    <n v="11"/>
    <x v="8"/>
    <x v="0"/>
    <n v="516.77"/>
    <s v="Customer C4980"/>
    <x v="0"/>
    <x v="2"/>
    <n v="1"/>
    <n v="4134.16"/>
  </r>
  <r>
    <x v="734"/>
    <x v="6"/>
    <d v="2024-08-06T00:00:00"/>
    <n v="2024"/>
    <x v="2"/>
    <n v="8"/>
    <x v="6"/>
    <x v="2"/>
    <n v="555.21"/>
    <s v="Customer C4981"/>
    <x v="1"/>
    <x v="0"/>
    <n v="5"/>
    <n v="3331.26"/>
  </r>
  <r>
    <x v="735"/>
    <x v="4"/>
    <d v="2023-08-28T00:00:00"/>
    <n v="2023"/>
    <x v="2"/>
    <n v="8"/>
    <x v="6"/>
    <x v="3"/>
    <n v="732.49"/>
    <s v="Customer C4991"/>
    <x v="0"/>
    <x v="2"/>
    <n v="2"/>
    <n v="3662.45"/>
  </r>
  <r>
    <x v="735"/>
    <x v="0"/>
    <d v="2023-10-06T00:00:00"/>
    <n v="2023"/>
    <x v="3"/>
    <n v="10"/>
    <x v="4"/>
    <x v="6"/>
    <n v="38.24"/>
    <s v="Customer C4991"/>
    <x v="2"/>
    <x v="1"/>
    <n v="1"/>
    <n v="267.68"/>
  </r>
  <r>
    <x v="736"/>
    <x v="4"/>
    <d v="2023-08-31T00:00:00"/>
    <n v="2023"/>
    <x v="2"/>
    <n v="8"/>
    <x v="6"/>
    <x v="4"/>
    <n v="13.47"/>
    <s v="Customer C4992"/>
    <x v="1"/>
    <x v="3"/>
    <n v="1"/>
    <n v="13.47"/>
  </r>
  <r>
    <x v="736"/>
    <x v="5"/>
    <d v="2024-12-20T00:00:00"/>
    <n v="2024"/>
    <x v="3"/>
    <n v="12"/>
    <x v="7"/>
    <x v="2"/>
    <n v="665.94"/>
    <s v="Customer C4992"/>
    <x v="0"/>
    <x v="2"/>
    <n v="5"/>
    <n v="3995.64"/>
  </r>
  <r>
    <x v="737"/>
    <x v="1"/>
    <d v="2024-02-06T00:00:00"/>
    <n v="2024"/>
    <x v="0"/>
    <n v="2"/>
    <x v="9"/>
    <x v="5"/>
    <n v="591.47"/>
    <s v="Customer C4998"/>
    <x v="2"/>
    <x v="0"/>
    <n v="1"/>
    <n v="1182.94"/>
  </r>
  <r>
    <x v="738"/>
    <x v="6"/>
    <d v="2024-07-15T00:00:00"/>
    <n v="2024"/>
    <x v="2"/>
    <n v="7"/>
    <x v="3"/>
    <x v="3"/>
    <n v="762.58"/>
    <s v="Customer C5000"/>
    <x v="0"/>
    <x v="4"/>
    <n v="1"/>
    <n v="3812.9"/>
  </r>
  <r>
    <x v="739"/>
    <x v="1"/>
    <d v="2025-05-07T00:00:00"/>
    <n v="2025"/>
    <x v="1"/>
    <n v="5"/>
    <x v="1"/>
    <x v="6"/>
    <n v="406.32"/>
    <s v="Customer C5002"/>
    <x v="1"/>
    <x v="4"/>
    <n v="2"/>
    <n v="2844.24"/>
  </r>
  <r>
    <x v="740"/>
    <x v="0"/>
    <d v="2023-07-31T00:00:00"/>
    <n v="2023"/>
    <x v="2"/>
    <n v="7"/>
    <x v="3"/>
    <x v="1"/>
    <n v="621.01"/>
    <s v="Customer C5003"/>
    <x v="1"/>
    <x v="3"/>
    <n v="3"/>
    <n v="1863.03"/>
  </r>
  <r>
    <x v="741"/>
    <x v="2"/>
    <d v="2024-07-16T00:00:00"/>
    <n v="2024"/>
    <x v="2"/>
    <n v="7"/>
    <x v="3"/>
    <x v="1"/>
    <n v="597.35"/>
    <s v="Customer C5007"/>
    <x v="1"/>
    <x v="2"/>
    <n v="1"/>
    <n v="1792.05"/>
  </r>
  <r>
    <x v="741"/>
    <x v="4"/>
    <d v="2023-02-04T00:00:00"/>
    <n v="2023"/>
    <x v="0"/>
    <n v="2"/>
    <x v="9"/>
    <x v="0"/>
    <n v="46.56"/>
    <s v="Customer C5007"/>
    <x v="0"/>
    <x v="2"/>
    <n v="5"/>
    <n v="372.48"/>
  </r>
  <r>
    <x v="742"/>
    <x v="4"/>
    <d v="2023-10-29T00:00:00"/>
    <n v="2023"/>
    <x v="3"/>
    <n v="10"/>
    <x v="4"/>
    <x v="5"/>
    <n v="71.75"/>
    <s v="Customer C5012"/>
    <x v="1"/>
    <x v="0"/>
    <n v="1"/>
    <n v="143.5"/>
  </r>
  <r>
    <x v="743"/>
    <x v="2"/>
    <d v="2023-03-19T00:00:00"/>
    <n v="2023"/>
    <x v="0"/>
    <n v="3"/>
    <x v="10"/>
    <x v="2"/>
    <n v="427.99"/>
    <s v="Customer C5017"/>
    <x v="1"/>
    <x v="4"/>
    <n v="1"/>
    <n v="2567.94"/>
  </r>
  <r>
    <x v="743"/>
    <x v="5"/>
    <d v="2025-03-05T00:00:00"/>
    <n v="2025"/>
    <x v="0"/>
    <n v="3"/>
    <x v="10"/>
    <x v="6"/>
    <n v="699.91"/>
    <s v="Customer C5017"/>
    <x v="0"/>
    <x v="0"/>
    <n v="5"/>
    <n v="4899.37"/>
  </r>
  <r>
    <x v="744"/>
    <x v="1"/>
    <d v="2023-12-27T00:00:00"/>
    <n v="2023"/>
    <x v="3"/>
    <n v="12"/>
    <x v="7"/>
    <x v="7"/>
    <n v="367.42"/>
    <s v="Customer C5020"/>
    <x v="2"/>
    <x v="2"/>
    <n v="3"/>
    <n v="1469.68"/>
  </r>
  <r>
    <x v="745"/>
    <x v="2"/>
    <d v="2024-05-08T00:00:00"/>
    <n v="2024"/>
    <x v="1"/>
    <n v="5"/>
    <x v="1"/>
    <x v="7"/>
    <n v="69.17"/>
    <s v="Customer C5024"/>
    <x v="2"/>
    <x v="3"/>
    <n v="4"/>
    <n v="276.68"/>
  </r>
  <r>
    <x v="746"/>
    <x v="2"/>
    <d v="2024-03-31T00:00:00"/>
    <n v="2024"/>
    <x v="0"/>
    <n v="3"/>
    <x v="10"/>
    <x v="2"/>
    <n v="192.17"/>
    <s v="Customer C5027"/>
    <x v="2"/>
    <x v="1"/>
    <n v="2"/>
    <n v="1153.02"/>
  </r>
  <r>
    <x v="747"/>
    <x v="0"/>
    <d v="2024-04-29T00:00:00"/>
    <n v="2024"/>
    <x v="1"/>
    <n v="4"/>
    <x v="5"/>
    <x v="5"/>
    <n v="768.13"/>
    <s v="Customer C5032"/>
    <x v="2"/>
    <x v="0"/>
    <n v="2"/>
    <n v="1536.26"/>
  </r>
  <r>
    <x v="747"/>
    <x v="0"/>
    <d v="2023-07-19T00:00:00"/>
    <n v="2023"/>
    <x v="2"/>
    <n v="7"/>
    <x v="3"/>
    <x v="6"/>
    <n v="170.42"/>
    <s v="Customer C5032"/>
    <x v="2"/>
    <x v="2"/>
    <n v="1"/>
    <n v="1192.94"/>
  </r>
  <r>
    <x v="747"/>
    <x v="3"/>
    <d v="2025-03-23T00:00:00"/>
    <n v="2025"/>
    <x v="0"/>
    <n v="3"/>
    <x v="10"/>
    <x v="7"/>
    <n v="184.5"/>
    <s v="Customer C5032"/>
    <x v="2"/>
    <x v="3"/>
    <n v="3"/>
    <n v="738"/>
  </r>
  <r>
    <x v="748"/>
    <x v="0"/>
    <d v="2023-04-27T00:00:00"/>
    <n v="2023"/>
    <x v="1"/>
    <n v="4"/>
    <x v="5"/>
    <x v="7"/>
    <n v="43.41"/>
    <s v="Customer C5034"/>
    <x v="1"/>
    <x v="3"/>
    <n v="4"/>
    <n v="173.64"/>
  </r>
  <r>
    <x v="749"/>
    <x v="3"/>
    <d v="2025-05-02T00:00:00"/>
    <n v="2025"/>
    <x v="1"/>
    <n v="5"/>
    <x v="1"/>
    <x v="7"/>
    <n v="10.25"/>
    <s v="Customer C5037"/>
    <x v="2"/>
    <x v="4"/>
    <n v="5"/>
    <n v="41"/>
  </r>
  <r>
    <x v="750"/>
    <x v="2"/>
    <d v="2024-12-31T00:00:00"/>
    <n v="2024"/>
    <x v="3"/>
    <n v="12"/>
    <x v="7"/>
    <x v="2"/>
    <n v="353.11"/>
    <s v="Customer C5039"/>
    <x v="0"/>
    <x v="1"/>
    <n v="5"/>
    <n v="2118.66"/>
  </r>
  <r>
    <x v="751"/>
    <x v="6"/>
    <d v="2024-05-12T00:00:00"/>
    <n v="2024"/>
    <x v="1"/>
    <n v="5"/>
    <x v="1"/>
    <x v="4"/>
    <n v="388.83"/>
    <s v="Customer C5041"/>
    <x v="2"/>
    <x v="3"/>
    <n v="1"/>
    <n v="388.83"/>
  </r>
  <r>
    <x v="752"/>
    <x v="0"/>
    <d v="2023-11-06T00:00:00"/>
    <n v="2023"/>
    <x v="3"/>
    <n v="11"/>
    <x v="8"/>
    <x v="3"/>
    <n v="690.26"/>
    <s v="Customer C5042"/>
    <x v="2"/>
    <x v="0"/>
    <n v="5"/>
    <n v="3451.3"/>
  </r>
  <r>
    <x v="753"/>
    <x v="5"/>
    <d v="2025-03-31T00:00:00"/>
    <n v="2025"/>
    <x v="0"/>
    <n v="3"/>
    <x v="10"/>
    <x v="1"/>
    <n v="316.77999999999997"/>
    <s v="Customer C5045"/>
    <x v="2"/>
    <x v="2"/>
    <n v="5"/>
    <n v="950.34"/>
  </r>
  <r>
    <x v="754"/>
    <x v="6"/>
    <d v="2025-03-09T00:00:00"/>
    <n v="2025"/>
    <x v="0"/>
    <n v="3"/>
    <x v="10"/>
    <x v="0"/>
    <n v="335.81"/>
    <s v="Customer C5049"/>
    <x v="2"/>
    <x v="4"/>
    <n v="1"/>
    <n v="2686.48"/>
  </r>
  <r>
    <x v="755"/>
    <x v="4"/>
    <d v="2023-10-20T00:00:00"/>
    <n v="2023"/>
    <x v="3"/>
    <n v="10"/>
    <x v="4"/>
    <x v="4"/>
    <n v="6.06"/>
    <s v="Customer C5050"/>
    <x v="0"/>
    <x v="0"/>
    <n v="4"/>
    <n v="6.06"/>
  </r>
  <r>
    <x v="756"/>
    <x v="4"/>
    <d v="2024-01-15T00:00:00"/>
    <n v="2024"/>
    <x v="0"/>
    <n v="1"/>
    <x v="0"/>
    <x v="0"/>
    <n v="353.5"/>
    <s v="Customer C5058"/>
    <x v="0"/>
    <x v="3"/>
    <n v="2"/>
    <n v="2828"/>
  </r>
  <r>
    <x v="757"/>
    <x v="0"/>
    <d v="2024-10-11T00:00:00"/>
    <n v="2024"/>
    <x v="3"/>
    <n v="10"/>
    <x v="4"/>
    <x v="2"/>
    <n v="298.48"/>
    <s v="Customer C5062"/>
    <x v="0"/>
    <x v="3"/>
    <n v="2"/>
    <n v="1790.88"/>
  </r>
  <r>
    <x v="758"/>
    <x v="4"/>
    <d v="2024-05-25T00:00:00"/>
    <n v="2024"/>
    <x v="1"/>
    <n v="5"/>
    <x v="1"/>
    <x v="4"/>
    <n v="511.82"/>
    <s v="Customer C5066"/>
    <x v="0"/>
    <x v="3"/>
    <n v="3"/>
    <n v="511.82"/>
  </r>
  <r>
    <x v="759"/>
    <x v="5"/>
    <d v="2023-06-24T00:00:00"/>
    <n v="2023"/>
    <x v="1"/>
    <n v="6"/>
    <x v="2"/>
    <x v="5"/>
    <n v="577.4"/>
    <s v="Customer C5072"/>
    <x v="1"/>
    <x v="2"/>
    <n v="4"/>
    <n v="1154.8"/>
  </r>
  <r>
    <x v="760"/>
    <x v="4"/>
    <d v="2024-06-19T00:00:00"/>
    <n v="2024"/>
    <x v="1"/>
    <n v="6"/>
    <x v="2"/>
    <x v="1"/>
    <n v="88.74"/>
    <s v="Customer C5076"/>
    <x v="0"/>
    <x v="4"/>
    <n v="3"/>
    <n v="266.22000000000003"/>
  </r>
  <r>
    <x v="761"/>
    <x v="4"/>
    <d v="2024-06-25T00:00:00"/>
    <n v="2024"/>
    <x v="1"/>
    <n v="6"/>
    <x v="2"/>
    <x v="1"/>
    <n v="742.33"/>
    <s v="Customer C5078"/>
    <x v="1"/>
    <x v="0"/>
    <n v="5"/>
    <n v="2226.9899999999998"/>
  </r>
  <r>
    <x v="762"/>
    <x v="0"/>
    <d v="2023-12-10T00:00:00"/>
    <n v="2023"/>
    <x v="3"/>
    <n v="12"/>
    <x v="7"/>
    <x v="1"/>
    <n v="227.94"/>
    <s v="Customer C5081"/>
    <x v="2"/>
    <x v="3"/>
    <n v="5"/>
    <n v="683.82"/>
  </r>
  <r>
    <x v="763"/>
    <x v="3"/>
    <d v="2024-04-01T00:00:00"/>
    <n v="2024"/>
    <x v="1"/>
    <n v="4"/>
    <x v="5"/>
    <x v="2"/>
    <n v="399.93"/>
    <s v="Customer C5083"/>
    <x v="1"/>
    <x v="2"/>
    <n v="1"/>
    <n v="2399.58"/>
  </r>
  <r>
    <x v="764"/>
    <x v="2"/>
    <d v="2023-02-21T00:00:00"/>
    <n v="2023"/>
    <x v="0"/>
    <n v="2"/>
    <x v="9"/>
    <x v="6"/>
    <n v="148.32"/>
    <s v="Customer C5085"/>
    <x v="1"/>
    <x v="2"/>
    <n v="3"/>
    <n v="1038.24"/>
  </r>
  <r>
    <x v="764"/>
    <x v="1"/>
    <d v="2024-04-24T00:00:00"/>
    <n v="2024"/>
    <x v="1"/>
    <n v="4"/>
    <x v="5"/>
    <x v="0"/>
    <n v="689.21"/>
    <s v="Customer C5085"/>
    <x v="0"/>
    <x v="4"/>
    <n v="3"/>
    <n v="5513.68"/>
  </r>
  <r>
    <x v="765"/>
    <x v="0"/>
    <d v="2024-12-29T00:00:00"/>
    <n v="2024"/>
    <x v="3"/>
    <n v="12"/>
    <x v="7"/>
    <x v="7"/>
    <n v="779.36"/>
    <s v="Customer C5091"/>
    <x v="1"/>
    <x v="4"/>
    <n v="2"/>
    <n v="3117.44"/>
  </r>
  <r>
    <x v="766"/>
    <x v="4"/>
    <d v="2023-10-21T00:00:00"/>
    <n v="2023"/>
    <x v="3"/>
    <n v="10"/>
    <x v="4"/>
    <x v="7"/>
    <n v="659.47"/>
    <s v="Customer C5096"/>
    <x v="0"/>
    <x v="2"/>
    <n v="2"/>
    <n v="2637.88"/>
  </r>
  <r>
    <x v="767"/>
    <x v="5"/>
    <d v="2023-03-08T00:00:00"/>
    <n v="2023"/>
    <x v="0"/>
    <n v="3"/>
    <x v="10"/>
    <x v="3"/>
    <n v="57.44"/>
    <s v="Customer C5102"/>
    <x v="1"/>
    <x v="1"/>
    <n v="2"/>
    <n v="287.2"/>
  </r>
  <r>
    <x v="768"/>
    <x v="0"/>
    <d v="2025-04-09T00:00:00"/>
    <n v="2025"/>
    <x v="1"/>
    <n v="4"/>
    <x v="5"/>
    <x v="4"/>
    <n v="102.28"/>
    <s v="Customer C5106"/>
    <x v="1"/>
    <x v="4"/>
    <n v="2"/>
    <n v="102.28"/>
  </r>
  <r>
    <x v="769"/>
    <x v="3"/>
    <d v="2023-05-16T00:00:00"/>
    <n v="2023"/>
    <x v="1"/>
    <n v="5"/>
    <x v="1"/>
    <x v="5"/>
    <n v="146.97999999999999"/>
    <s v="Customer C5111"/>
    <x v="0"/>
    <x v="2"/>
    <n v="4"/>
    <n v="293.95999999999998"/>
  </r>
  <r>
    <x v="770"/>
    <x v="2"/>
    <d v="2023-08-18T00:00:00"/>
    <n v="2023"/>
    <x v="2"/>
    <n v="8"/>
    <x v="6"/>
    <x v="3"/>
    <n v="154.47999999999999"/>
    <s v="Customer C5119"/>
    <x v="2"/>
    <x v="1"/>
    <n v="5"/>
    <n v="772.4"/>
  </r>
  <r>
    <x v="771"/>
    <x v="4"/>
    <d v="2025-05-10T00:00:00"/>
    <n v="2025"/>
    <x v="1"/>
    <n v="5"/>
    <x v="1"/>
    <x v="3"/>
    <n v="234.71"/>
    <s v="Customer C5127"/>
    <x v="1"/>
    <x v="1"/>
    <n v="2"/>
    <n v="1173.55"/>
  </r>
  <r>
    <x v="772"/>
    <x v="3"/>
    <d v="2025-03-29T00:00:00"/>
    <n v="2025"/>
    <x v="0"/>
    <n v="3"/>
    <x v="10"/>
    <x v="3"/>
    <n v="406.64"/>
    <s v="Customer C5140"/>
    <x v="0"/>
    <x v="4"/>
    <n v="5"/>
    <n v="2033.2"/>
  </r>
  <r>
    <x v="773"/>
    <x v="5"/>
    <d v="2024-08-10T00:00:00"/>
    <n v="2024"/>
    <x v="2"/>
    <n v="8"/>
    <x v="6"/>
    <x v="0"/>
    <n v="164.45"/>
    <s v="Customer C5151"/>
    <x v="1"/>
    <x v="1"/>
    <n v="2"/>
    <n v="1315.6"/>
  </r>
  <r>
    <x v="774"/>
    <x v="4"/>
    <d v="2023-11-09T00:00:00"/>
    <n v="2023"/>
    <x v="3"/>
    <n v="11"/>
    <x v="8"/>
    <x v="5"/>
    <n v="84.22"/>
    <s v="Customer C5158"/>
    <x v="2"/>
    <x v="4"/>
    <n v="4"/>
    <n v="168.44"/>
  </r>
  <r>
    <x v="775"/>
    <x v="4"/>
    <d v="2025-02-18T00:00:00"/>
    <n v="2025"/>
    <x v="0"/>
    <n v="2"/>
    <x v="9"/>
    <x v="2"/>
    <n v="347.73"/>
    <s v="Customer C5168"/>
    <x v="2"/>
    <x v="3"/>
    <n v="1"/>
    <n v="2086.38"/>
  </r>
  <r>
    <x v="776"/>
    <x v="2"/>
    <d v="2023-04-25T00:00:00"/>
    <n v="2023"/>
    <x v="1"/>
    <n v="4"/>
    <x v="5"/>
    <x v="4"/>
    <n v="147.34"/>
    <s v="Customer C5169"/>
    <x v="1"/>
    <x v="2"/>
    <n v="1"/>
    <n v="147.34"/>
  </r>
  <r>
    <x v="776"/>
    <x v="0"/>
    <d v="2023-02-27T00:00:00"/>
    <n v="2023"/>
    <x v="0"/>
    <n v="2"/>
    <x v="9"/>
    <x v="5"/>
    <n v="797.65"/>
    <s v="Customer C5169"/>
    <x v="2"/>
    <x v="4"/>
    <n v="2"/>
    <n v="1595.3"/>
  </r>
  <r>
    <x v="777"/>
    <x v="3"/>
    <d v="2023-05-20T00:00:00"/>
    <n v="2023"/>
    <x v="1"/>
    <n v="5"/>
    <x v="1"/>
    <x v="3"/>
    <n v="77.42"/>
    <s v="Customer C5170"/>
    <x v="1"/>
    <x v="0"/>
    <n v="3"/>
    <n v="387.1"/>
  </r>
  <r>
    <x v="778"/>
    <x v="0"/>
    <d v="2024-11-23T00:00:00"/>
    <n v="2024"/>
    <x v="3"/>
    <n v="11"/>
    <x v="8"/>
    <x v="4"/>
    <n v="47.97"/>
    <s v="Customer C5171"/>
    <x v="0"/>
    <x v="0"/>
    <n v="4"/>
    <n v="47.97"/>
  </r>
  <r>
    <x v="779"/>
    <x v="1"/>
    <d v="2024-04-13T00:00:00"/>
    <n v="2024"/>
    <x v="1"/>
    <n v="4"/>
    <x v="5"/>
    <x v="7"/>
    <n v="718.59"/>
    <s v="Customer C5178"/>
    <x v="2"/>
    <x v="3"/>
    <n v="4"/>
    <n v="2874.36"/>
  </r>
  <r>
    <x v="780"/>
    <x v="5"/>
    <d v="2024-12-29T00:00:00"/>
    <n v="2024"/>
    <x v="3"/>
    <n v="12"/>
    <x v="7"/>
    <x v="1"/>
    <n v="512.36"/>
    <s v="Customer C5180"/>
    <x v="2"/>
    <x v="3"/>
    <n v="5"/>
    <n v="1537.08"/>
  </r>
  <r>
    <x v="781"/>
    <x v="2"/>
    <d v="2023-08-16T00:00:00"/>
    <n v="2023"/>
    <x v="2"/>
    <n v="8"/>
    <x v="6"/>
    <x v="0"/>
    <n v="273.92"/>
    <s v="Customer C5181"/>
    <x v="2"/>
    <x v="1"/>
    <n v="2"/>
    <n v="2191.36"/>
  </r>
  <r>
    <x v="782"/>
    <x v="6"/>
    <d v="2023-01-06T00:00:00"/>
    <n v="2023"/>
    <x v="0"/>
    <n v="1"/>
    <x v="0"/>
    <x v="1"/>
    <n v="76.260000000000005"/>
    <s v="Customer C5185"/>
    <x v="1"/>
    <x v="4"/>
    <n v="5"/>
    <n v="228.78"/>
  </r>
  <r>
    <x v="783"/>
    <x v="3"/>
    <d v="2023-02-24T00:00:00"/>
    <n v="2023"/>
    <x v="0"/>
    <n v="2"/>
    <x v="9"/>
    <x v="6"/>
    <n v="607.38"/>
    <s v="Customer C5194"/>
    <x v="1"/>
    <x v="4"/>
    <n v="1"/>
    <n v="4251.66"/>
  </r>
  <r>
    <x v="784"/>
    <x v="4"/>
    <d v="2025-01-25T00:00:00"/>
    <n v="2025"/>
    <x v="0"/>
    <n v="1"/>
    <x v="0"/>
    <x v="1"/>
    <n v="624.15"/>
    <s v="Customer C5197"/>
    <x v="2"/>
    <x v="2"/>
    <n v="1"/>
    <n v="1872.45"/>
  </r>
  <r>
    <x v="785"/>
    <x v="0"/>
    <d v="2024-03-22T00:00:00"/>
    <n v="2024"/>
    <x v="0"/>
    <n v="3"/>
    <x v="10"/>
    <x v="0"/>
    <n v="797.46"/>
    <s v="Customer C5204"/>
    <x v="0"/>
    <x v="0"/>
    <n v="4"/>
    <n v="6379.68"/>
  </r>
  <r>
    <x v="786"/>
    <x v="2"/>
    <d v="2025-05-29T00:00:00"/>
    <n v="2025"/>
    <x v="1"/>
    <n v="5"/>
    <x v="1"/>
    <x v="3"/>
    <n v="440.22"/>
    <s v="Customer C5216"/>
    <x v="0"/>
    <x v="2"/>
    <n v="1"/>
    <n v="2201.1"/>
  </r>
  <r>
    <x v="787"/>
    <x v="0"/>
    <d v="2023-11-28T00:00:00"/>
    <n v="2023"/>
    <x v="3"/>
    <n v="11"/>
    <x v="8"/>
    <x v="6"/>
    <n v="194.8"/>
    <s v="Customer C5225"/>
    <x v="2"/>
    <x v="4"/>
    <n v="4"/>
    <n v="1363.6"/>
  </r>
  <r>
    <x v="788"/>
    <x v="5"/>
    <d v="2025-05-30T00:00:00"/>
    <n v="2025"/>
    <x v="1"/>
    <n v="5"/>
    <x v="1"/>
    <x v="6"/>
    <n v="677.52"/>
    <s v="Customer C5230"/>
    <x v="0"/>
    <x v="3"/>
    <n v="2"/>
    <n v="4742.6400000000003"/>
  </r>
  <r>
    <x v="789"/>
    <x v="4"/>
    <d v="2025-02-26T00:00:00"/>
    <n v="2025"/>
    <x v="0"/>
    <n v="2"/>
    <x v="9"/>
    <x v="7"/>
    <n v="420.9"/>
    <s v="Customer C5232"/>
    <x v="0"/>
    <x v="4"/>
    <n v="3"/>
    <n v="1683.6"/>
  </r>
  <r>
    <x v="790"/>
    <x v="0"/>
    <d v="2024-07-21T00:00:00"/>
    <n v="2024"/>
    <x v="2"/>
    <n v="7"/>
    <x v="3"/>
    <x v="3"/>
    <n v="681.74"/>
    <s v="Customer C5235"/>
    <x v="0"/>
    <x v="1"/>
    <n v="2"/>
    <n v="3408.7"/>
  </r>
  <r>
    <x v="791"/>
    <x v="6"/>
    <d v="2023-08-15T00:00:00"/>
    <n v="2023"/>
    <x v="2"/>
    <n v="8"/>
    <x v="6"/>
    <x v="7"/>
    <n v="746.8"/>
    <s v="Customer C5240"/>
    <x v="0"/>
    <x v="3"/>
    <n v="5"/>
    <n v="2987.2"/>
  </r>
  <r>
    <x v="792"/>
    <x v="6"/>
    <d v="2024-10-23T00:00:00"/>
    <n v="2024"/>
    <x v="3"/>
    <n v="10"/>
    <x v="4"/>
    <x v="1"/>
    <n v="503.12"/>
    <s v="Customer C5241"/>
    <x v="2"/>
    <x v="1"/>
    <n v="3"/>
    <n v="1509.36"/>
  </r>
  <r>
    <x v="793"/>
    <x v="6"/>
    <d v="2025-04-12T00:00:00"/>
    <n v="2025"/>
    <x v="1"/>
    <n v="4"/>
    <x v="5"/>
    <x v="2"/>
    <n v="378.33"/>
    <s v="Customer C5253"/>
    <x v="2"/>
    <x v="1"/>
    <n v="5"/>
    <n v="2269.98"/>
  </r>
  <r>
    <x v="794"/>
    <x v="5"/>
    <d v="2023-10-29T00:00:00"/>
    <n v="2023"/>
    <x v="3"/>
    <n v="10"/>
    <x v="4"/>
    <x v="4"/>
    <n v="45.88"/>
    <s v="Customer C5254"/>
    <x v="0"/>
    <x v="1"/>
    <n v="4"/>
    <n v="45.88"/>
  </r>
  <r>
    <x v="795"/>
    <x v="1"/>
    <d v="2024-06-30T00:00:00"/>
    <n v="2024"/>
    <x v="1"/>
    <n v="6"/>
    <x v="2"/>
    <x v="5"/>
    <n v="521.12"/>
    <s v="Customer C5265"/>
    <x v="2"/>
    <x v="1"/>
    <n v="5"/>
    <n v="1042.24"/>
  </r>
  <r>
    <x v="796"/>
    <x v="1"/>
    <d v="2024-05-01T00:00:00"/>
    <n v="2024"/>
    <x v="1"/>
    <n v="5"/>
    <x v="1"/>
    <x v="3"/>
    <n v="118.35"/>
    <s v="Customer C5267"/>
    <x v="0"/>
    <x v="2"/>
    <n v="4"/>
    <n v="591.75"/>
  </r>
  <r>
    <x v="796"/>
    <x v="6"/>
    <d v="2023-03-21T00:00:00"/>
    <n v="2023"/>
    <x v="0"/>
    <n v="3"/>
    <x v="10"/>
    <x v="5"/>
    <n v="321.64"/>
    <s v="Customer C5267"/>
    <x v="1"/>
    <x v="1"/>
    <n v="2"/>
    <n v="643.28"/>
  </r>
  <r>
    <x v="797"/>
    <x v="2"/>
    <d v="2023-11-03T00:00:00"/>
    <n v="2023"/>
    <x v="3"/>
    <n v="11"/>
    <x v="8"/>
    <x v="7"/>
    <n v="43.43"/>
    <s v="Customer C5271"/>
    <x v="1"/>
    <x v="2"/>
    <n v="4"/>
    <n v="173.72"/>
  </r>
  <r>
    <x v="798"/>
    <x v="0"/>
    <d v="2023-02-05T00:00:00"/>
    <n v="2023"/>
    <x v="0"/>
    <n v="2"/>
    <x v="9"/>
    <x v="0"/>
    <n v="664.08"/>
    <s v="Customer C5274"/>
    <x v="0"/>
    <x v="2"/>
    <n v="2"/>
    <n v="5312.64"/>
  </r>
  <r>
    <x v="799"/>
    <x v="3"/>
    <d v="2025-01-03T00:00:00"/>
    <n v="2025"/>
    <x v="0"/>
    <n v="1"/>
    <x v="0"/>
    <x v="5"/>
    <n v="219.1"/>
    <s v="Customer C5278"/>
    <x v="0"/>
    <x v="0"/>
    <n v="5"/>
    <n v="438.2"/>
  </r>
  <r>
    <x v="800"/>
    <x v="0"/>
    <d v="2023-10-27T00:00:00"/>
    <n v="2023"/>
    <x v="3"/>
    <n v="10"/>
    <x v="4"/>
    <x v="5"/>
    <n v="757.03"/>
    <s v="Customer C5282"/>
    <x v="0"/>
    <x v="3"/>
    <n v="2"/>
    <n v="1514.06"/>
  </r>
  <r>
    <x v="801"/>
    <x v="3"/>
    <d v="2023-08-08T00:00:00"/>
    <n v="2023"/>
    <x v="2"/>
    <n v="8"/>
    <x v="6"/>
    <x v="4"/>
    <n v="690.28"/>
    <s v="Customer C5293"/>
    <x v="1"/>
    <x v="0"/>
    <n v="4"/>
    <n v="690.28"/>
  </r>
  <r>
    <x v="802"/>
    <x v="3"/>
    <d v="2023-09-20T00:00:00"/>
    <n v="2023"/>
    <x v="2"/>
    <n v="9"/>
    <x v="11"/>
    <x v="3"/>
    <n v="783.12"/>
    <s v="Customer C5298"/>
    <x v="0"/>
    <x v="4"/>
    <n v="1"/>
    <n v="3915.6"/>
  </r>
  <r>
    <x v="803"/>
    <x v="5"/>
    <d v="2024-07-13T00:00:00"/>
    <n v="2024"/>
    <x v="2"/>
    <n v="7"/>
    <x v="3"/>
    <x v="7"/>
    <n v="126.37"/>
    <s v="Customer C5311"/>
    <x v="0"/>
    <x v="2"/>
    <n v="4"/>
    <n v="505.48"/>
  </r>
  <r>
    <x v="803"/>
    <x v="5"/>
    <d v="2025-01-16T00:00:00"/>
    <n v="2025"/>
    <x v="0"/>
    <n v="1"/>
    <x v="0"/>
    <x v="0"/>
    <n v="793.36"/>
    <s v="Customer C5311"/>
    <x v="0"/>
    <x v="1"/>
    <n v="3"/>
    <n v="6346.88"/>
  </r>
  <r>
    <x v="804"/>
    <x v="2"/>
    <d v="2024-01-12T00:00:00"/>
    <n v="2024"/>
    <x v="0"/>
    <n v="1"/>
    <x v="0"/>
    <x v="0"/>
    <n v="398.03"/>
    <s v="Customer C5314"/>
    <x v="0"/>
    <x v="2"/>
    <n v="4"/>
    <n v="3184.24"/>
  </r>
  <r>
    <x v="805"/>
    <x v="4"/>
    <d v="2023-05-14T00:00:00"/>
    <n v="2023"/>
    <x v="1"/>
    <n v="5"/>
    <x v="1"/>
    <x v="4"/>
    <n v="746.81"/>
    <s v="Customer C5320"/>
    <x v="2"/>
    <x v="3"/>
    <n v="2"/>
    <n v="746.81"/>
  </r>
  <r>
    <x v="806"/>
    <x v="3"/>
    <d v="2024-03-12T00:00:00"/>
    <n v="2024"/>
    <x v="0"/>
    <n v="3"/>
    <x v="10"/>
    <x v="0"/>
    <n v="634.55999999999995"/>
    <s v="Customer C5324"/>
    <x v="0"/>
    <x v="2"/>
    <n v="4"/>
    <n v="5076.4799999999996"/>
  </r>
  <r>
    <x v="807"/>
    <x v="4"/>
    <d v="2024-07-20T00:00:00"/>
    <n v="2024"/>
    <x v="2"/>
    <n v="7"/>
    <x v="3"/>
    <x v="7"/>
    <n v="125.77"/>
    <s v="Customer C5329"/>
    <x v="0"/>
    <x v="4"/>
    <n v="2"/>
    <n v="503.08"/>
  </r>
  <r>
    <x v="808"/>
    <x v="2"/>
    <d v="2024-07-05T00:00:00"/>
    <n v="2024"/>
    <x v="2"/>
    <n v="7"/>
    <x v="3"/>
    <x v="7"/>
    <n v="522.89"/>
    <s v="Customer C5331"/>
    <x v="0"/>
    <x v="4"/>
    <n v="4"/>
    <n v="2091.56"/>
  </r>
  <r>
    <x v="809"/>
    <x v="5"/>
    <d v="2024-03-29T00:00:00"/>
    <n v="2024"/>
    <x v="0"/>
    <n v="3"/>
    <x v="10"/>
    <x v="7"/>
    <n v="202.97"/>
    <s v="Customer C5332"/>
    <x v="0"/>
    <x v="3"/>
    <n v="2"/>
    <n v="811.88"/>
  </r>
  <r>
    <x v="810"/>
    <x v="2"/>
    <d v="2023-06-08T00:00:00"/>
    <n v="2023"/>
    <x v="1"/>
    <n v="6"/>
    <x v="2"/>
    <x v="2"/>
    <n v="215.4"/>
    <s v="Customer C5336"/>
    <x v="2"/>
    <x v="4"/>
    <n v="5"/>
    <n v="1292.4000000000001"/>
  </r>
  <r>
    <x v="811"/>
    <x v="1"/>
    <d v="2025-06-11T00:00:00"/>
    <n v="2025"/>
    <x v="1"/>
    <n v="6"/>
    <x v="2"/>
    <x v="2"/>
    <n v="575.12"/>
    <s v="Customer C5338"/>
    <x v="1"/>
    <x v="2"/>
    <n v="5"/>
    <n v="3450.72"/>
  </r>
  <r>
    <x v="812"/>
    <x v="6"/>
    <d v="2024-08-24T00:00:00"/>
    <n v="2024"/>
    <x v="2"/>
    <n v="8"/>
    <x v="6"/>
    <x v="2"/>
    <n v="445.51"/>
    <s v="Customer C5342"/>
    <x v="0"/>
    <x v="4"/>
    <n v="2"/>
    <n v="2673.06"/>
  </r>
  <r>
    <x v="813"/>
    <x v="1"/>
    <d v="2023-05-09T00:00:00"/>
    <n v="2023"/>
    <x v="1"/>
    <n v="5"/>
    <x v="1"/>
    <x v="5"/>
    <n v="13.46"/>
    <s v="Customer C5346"/>
    <x v="1"/>
    <x v="0"/>
    <n v="5"/>
    <n v="26.92"/>
  </r>
  <r>
    <x v="814"/>
    <x v="4"/>
    <d v="2024-08-20T00:00:00"/>
    <n v="2024"/>
    <x v="2"/>
    <n v="8"/>
    <x v="6"/>
    <x v="6"/>
    <n v="458.02"/>
    <s v="Customer C5348"/>
    <x v="2"/>
    <x v="1"/>
    <n v="5"/>
    <n v="3206.14"/>
  </r>
  <r>
    <x v="815"/>
    <x v="3"/>
    <d v="2024-03-05T00:00:00"/>
    <n v="2024"/>
    <x v="0"/>
    <n v="3"/>
    <x v="10"/>
    <x v="0"/>
    <n v="618.83000000000004"/>
    <s v="Customer C5361"/>
    <x v="0"/>
    <x v="0"/>
    <n v="1"/>
    <n v="4950.6400000000003"/>
  </r>
  <r>
    <x v="816"/>
    <x v="6"/>
    <d v="2024-05-16T00:00:00"/>
    <n v="2024"/>
    <x v="1"/>
    <n v="5"/>
    <x v="1"/>
    <x v="6"/>
    <n v="626.07000000000005"/>
    <s v="Customer C5363"/>
    <x v="0"/>
    <x v="1"/>
    <n v="4"/>
    <n v="4382.49"/>
  </r>
  <r>
    <x v="817"/>
    <x v="0"/>
    <d v="2023-07-14T00:00:00"/>
    <n v="2023"/>
    <x v="2"/>
    <n v="7"/>
    <x v="3"/>
    <x v="7"/>
    <n v="510.62"/>
    <s v="Customer C5365"/>
    <x v="0"/>
    <x v="2"/>
    <n v="5"/>
    <n v="2042.48"/>
  </r>
  <r>
    <x v="818"/>
    <x v="4"/>
    <d v="2024-04-21T00:00:00"/>
    <n v="2024"/>
    <x v="1"/>
    <n v="4"/>
    <x v="5"/>
    <x v="1"/>
    <n v="531.52"/>
    <s v="Customer C5366"/>
    <x v="1"/>
    <x v="1"/>
    <n v="5"/>
    <n v="1594.56"/>
  </r>
  <r>
    <x v="819"/>
    <x v="0"/>
    <d v="2023-11-18T00:00:00"/>
    <n v="2023"/>
    <x v="3"/>
    <n v="11"/>
    <x v="8"/>
    <x v="0"/>
    <n v="427.09"/>
    <s v="Customer C5385"/>
    <x v="0"/>
    <x v="1"/>
    <n v="1"/>
    <n v="3416.72"/>
  </r>
  <r>
    <x v="820"/>
    <x v="3"/>
    <d v="2024-08-26T00:00:00"/>
    <n v="2024"/>
    <x v="2"/>
    <n v="8"/>
    <x v="6"/>
    <x v="5"/>
    <n v="331.07"/>
    <s v="Customer C5392"/>
    <x v="2"/>
    <x v="0"/>
    <n v="4"/>
    <n v="662.14"/>
  </r>
  <r>
    <x v="821"/>
    <x v="3"/>
    <d v="2023-03-31T00:00:00"/>
    <n v="2023"/>
    <x v="0"/>
    <n v="3"/>
    <x v="10"/>
    <x v="6"/>
    <n v="501.68"/>
    <s v="Customer C5402"/>
    <x v="2"/>
    <x v="3"/>
    <n v="5"/>
    <n v="3511.76"/>
  </r>
  <r>
    <x v="821"/>
    <x v="3"/>
    <d v="2023-04-26T00:00:00"/>
    <n v="2023"/>
    <x v="1"/>
    <n v="4"/>
    <x v="5"/>
    <x v="1"/>
    <n v="287.06"/>
    <s v="Customer C5402"/>
    <x v="2"/>
    <x v="0"/>
    <n v="3"/>
    <n v="861.18"/>
  </r>
  <r>
    <x v="822"/>
    <x v="1"/>
    <d v="2023-06-03T00:00:00"/>
    <n v="2023"/>
    <x v="1"/>
    <n v="6"/>
    <x v="2"/>
    <x v="6"/>
    <n v="346.05"/>
    <s v="Customer C5406"/>
    <x v="1"/>
    <x v="2"/>
    <n v="1"/>
    <n v="2422.35"/>
  </r>
  <r>
    <x v="823"/>
    <x v="6"/>
    <d v="2024-09-01T00:00:00"/>
    <n v="2024"/>
    <x v="2"/>
    <n v="9"/>
    <x v="11"/>
    <x v="4"/>
    <n v="502.03"/>
    <s v="Customer C5408"/>
    <x v="0"/>
    <x v="0"/>
    <n v="5"/>
    <n v="502.03"/>
  </r>
  <r>
    <x v="824"/>
    <x v="2"/>
    <d v="2024-12-23T00:00:00"/>
    <n v="2024"/>
    <x v="3"/>
    <n v="12"/>
    <x v="7"/>
    <x v="0"/>
    <n v="713.21"/>
    <s v="Customer C5410"/>
    <x v="0"/>
    <x v="2"/>
    <n v="5"/>
    <n v="5705.68"/>
  </r>
  <r>
    <x v="825"/>
    <x v="5"/>
    <d v="2025-01-06T00:00:00"/>
    <n v="2025"/>
    <x v="0"/>
    <n v="1"/>
    <x v="0"/>
    <x v="2"/>
    <n v="665.62"/>
    <s v="Customer C5412"/>
    <x v="0"/>
    <x v="0"/>
    <n v="3"/>
    <n v="3993.72"/>
  </r>
  <r>
    <x v="826"/>
    <x v="2"/>
    <d v="2023-12-15T00:00:00"/>
    <n v="2023"/>
    <x v="3"/>
    <n v="12"/>
    <x v="7"/>
    <x v="1"/>
    <n v="204.93"/>
    <s v="Customer C5413"/>
    <x v="1"/>
    <x v="4"/>
    <n v="3"/>
    <n v="614.79"/>
  </r>
  <r>
    <x v="827"/>
    <x v="4"/>
    <d v="2024-04-22T00:00:00"/>
    <n v="2024"/>
    <x v="1"/>
    <n v="4"/>
    <x v="5"/>
    <x v="7"/>
    <n v="214.18"/>
    <s v="Customer C5417"/>
    <x v="1"/>
    <x v="2"/>
    <n v="2"/>
    <n v="856.72"/>
  </r>
  <r>
    <x v="828"/>
    <x v="2"/>
    <d v="2024-07-04T00:00:00"/>
    <n v="2024"/>
    <x v="2"/>
    <n v="7"/>
    <x v="3"/>
    <x v="6"/>
    <n v="277.24"/>
    <s v="Customer C5421"/>
    <x v="1"/>
    <x v="1"/>
    <n v="4"/>
    <n v="1940.68"/>
  </r>
  <r>
    <x v="829"/>
    <x v="2"/>
    <d v="2023-06-16T00:00:00"/>
    <n v="2023"/>
    <x v="1"/>
    <n v="6"/>
    <x v="2"/>
    <x v="7"/>
    <n v="412.28"/>
    <s v="Customer C5431"/>
    <x v="1"/>
    <x v="4"/>
    <n v="4"/>
    <n v="1649.12"/>
  </r>
  <r>
    <x v="830"/>
    <x v="2"/>
    <d v="2023-05-27T00:00:00"/>
    <n v="2023"/>
    <x v="1"/>
    <n v="5"/>
    <x v="1"/>
    <x v="3"/>
    <n v="298.95"/>
    <s v="Customer C5435"/>
    <x v="1"/>
    <x v="0"/>
    <n v="5"/>
    <n v="1494.75"/>
  </r>
  <r>
    <x v="831"/>
    <x v="5"/>
    <d v="2023-04-04T00:00:00"/>
    <n v="2023"/>
    <x v="1"/>
    <n v="4"/>
    <x v="5"/>
    <x v="3"/>
    <n v="14.67"/>
    <s v="Customer C5439"/>
    <x v="2"/>
    <x v="2"/>
    <n v="3"/>
    <n v="73.349999999999994"/>
  </r>
  <r>
    <x v="832"/>
    <x v="0"/>
    <d v="2024-05-30T00:00:00"/>
    <n v="2024"/>
    <x v="1"/>
    <n v="5"/>
    <x v="1"/>
    <x v="1"/>
    <n v="532.46"/>
    <s v="Customer C5448"/>
    <x v="0"/>
    <x v="2"/>
    <n v="1"/>
    <n v="1597.38"/>
  </r>
  <r>
    <x v="832"/>
    <x v="1"/>
    <d v="2023-08-20T00:00:00"/>
    <n v="2023"/>
    <x v="2"/>
    <n v="8"/>
    <x v="6"/>
    <x v="5"/>
    <n v="378.19"/>
    <s v="Customer C5448"/>
    <x v="1"/>
    <x v="4"/>
    <n v="3"/>
    <n v="756.38"/>
  </r>
  <r>
    <x v="833"/>
    <x v="6"/>
    <d v="2024-01-13T00:00:00"/>
    <n v="2024"/>
    <x v="0"/>
    <n v="1"/>
    <x v="0"/>
    <x v="5"/>
    <n v="187.21"/>
    <s v="Customer C5457"/>
    <x v="0"/>
    <x v="1"/>
    <n v="1"/>
    <n v="374.42"/>
  </r>
  <r>
    <x v="834"/>
    <x v="3"/>
    <d v="2023-10-15T00:00:00"/>
    <n v="2023"/>
    <x v="3"/>
    <n v="10"/>
    <x v="4"/>
    <x v="5"/>
    <n v="204.21"/>
    <s v="Customer C5469"/>
    <x v="0"/>
    <x v="4"/>
    <n v="3"/>
    <n v="408.42"/>
  </r>
  <r>
    <x v="835"/>
    <x v="2"/>
    <d v="2023-07-19T00:00:00"/>
    <n v="2023"/>
    <x v="2"/>
    <n v="7"/>
    <x v="3"/>
    <x v="2"/>
    <n v="227.14"/>
    <s v="Customer C5477"/>
    <x v="0"/>
    <x v="1"/>
    <n v="1"/>
    <n v="1362.84"/>
  </r>
  <r>
    <x v="836"/>
    <x v="5"/>
    <d v="2023-01-01T00:00:00"/>
    <n v="2023"/>
    <x v="0"/>
    <n v="1"/>
    <x v="0"/>
    <x v="7"/>
    <n v="757.23"/>
    <s v="Customer C5481"/>
    <x v="0"/>
    <x v="0"/>
    <n v="5"/>
    <n v="3028.92"/>
  </r>
  <r>
    <x v="837"/>
    <x v="6"/>
    <d v="2025-05-05T00:00:00"/>
    <n v="2025"/>
    <x v="1"/>
    <n v="5"/>
    <x v="1"/>
    <x v="0"/>
    <n v="286.36"/>
    <s v="Customer C5482"/>
    <x v="2"/>
    <x v="0"/>
    <n v="1"/>
    <n v="2290.88"/>
  </r>
  <r>
    <x v="838"/>
    <x v="3"/>
    <d v="2023-11-06T00:00:00"/>
    <n v="2023"/>
    <x v="3"/>
    <n v="11"/>
    <x v="8"/>
    <x v="4"/>
    <n v="612.47"/>
    <s v="Customer C5488"/>
    <x v="1"/>
    <x v="1"/>
    <n v="5"/>
    <n v="612.47"/>
  </r>
  <r>
    <x v="839"/>
    <x v="1"/>
    <d v="2023-10-30T00:00:00"/>
    <n v="2023"/>
    <x v="3"/>
    <n v="10"/>
    <x v="4"/>
    <x v="4"/>
    <n v="376.02"/>
    <s v="Customer C5504"/>
    <x v="1"/>
    <x v="0"/>
    <n v="5"/>
    <n v="376.02"/>
  </r>
  <r>
    <x v="840"/>
    <x v="4"/>
    <d v="2023-11-23T00:00:00"/>
    <n v="2023"/>
    <x v="3"/>
    <n v="11"/>
    <x v="8"/>
    <x v="5"/>
    <n v="126.04"/>
    <s v="Customer C5506"/>
    <x v="1"/>
    <x v="0"/>
    <n v="5"/>
    <n v="252.08"/>
  </r>
  <r>
    <x v="841"/>
    <x v="3"/>
    <d v="2023-09-06T00:00:00"/>
    <n v="2023"/>
    <x v="2"/>
    <n v="9"/>
    <x v="11"/>
    <x v="6"/>
    <n v="86.92"/>
    <s v="Customer C5514"/>
    <x v="0"/>
    <x v="0"/>
    <n v="2"/>
    <n v="608.44000000000005"/>
  </r>
  <r>
    <x v="842"/>
    <x v="1"/>
    <d v="2023-01-19T00:00:00"/>
    <n v="2023"/>
    <x v="0"/>
    <n v="1"/>
    <x v="0"/>
    <x v="3"/>
    <n v="641.57000000000005"/>
    <s v="Customer C5516"/>
    <x v="1"/>
    <x v="4"/>
    <n v="2"/>
    <n v="3207.85"/>
  </r>
  <r>
    <x v="843"/>
    <x v="4"/>
    <d v="2024-05-24T00:00:00"/>
    <n v="2024"/>
    <x v="1"/>
    <n v="5"/>
    <x v="1"/>
    <x v="0"/>
    <n v="408.05"/>
    <s v="Customer C5519"/>
    <x v="0"/>
    <x v="1"/>
    <n v="5"/>
    <n v="3264.4"/>
  </r>
  <r>
    <x v="844"/>
    <x v="3"/>
    <d v="2024-10-04T00:00:00"/>
    <n v="2024"/>
    <x v="3"/>
    <n v="10"/>
    <x v="4"/>
    <x v="6"/>
    <n v="22.48"/>
    <s v="Customer C5535"/>
    <x v="2"/>
    <x v="2"/>
    <n v="2"/>
    <n v="157.36000000000001"/>
  </r>
  <r>
    <x v="845"/>
    <x v="2"/>
    <d v="2023-05-05T00:00:00"/>
    <n v="2023"/>
    <x v="1"/>
    <n v="5"/>
    <x v="1"/>
    <x v="6"/>
    <n v="412.69"/>
    <s v="Customer C5538"/>
    <x v="1"/>
    <x v="3"/>
    <n v="4"/>
    <n v="2888.83"/>
  </r>
  <r>
    <x v="846"/>
    <x v="0"/>
    <d v="2024-03-10T00:00:00"/>
    <n v="2024"/>
    <x v="0"/>
    <n v="3"/>
    <x v="10"/>
    <x v="4"/>
    <n v="781.85"/>
    <s v="Customer C5543"/>
    <x v="2"/>
    <x v="3"/>
    <n v="5"/>
    <n v="781.85"/>
  </r>
  <r>
    <x v="847"/>
    <x v="6"/>
    <d v="2023-03-11T00:00:00"/>
    <n v="2023"/>
    <x v="0"/>
    <n v="3"/>
    <x v="10"/>
    <x v="7"/>
    <n v="64.23"/>
    <s v="Customer C5544"/>
    <x v="1"/>
    <x v="1"/>
    <n v="4"/>
    <n v="256.92"/>
  </r>
  <r>
    <x v="848"/>
    <x v="3"/>
    <d v="2025-05-06T00:00:00"/>
    <n v="2025"/>
    <x v="1"/>
    <n v="5"/>
    <x v="1"/>
    <x v="7"/>
    <n v="683.24"/>
    <s v="Customer C5550"/>
    <x v="0"/>
    <x v="0"/>
    <n v="5"/>
    <n v="2732.96"/>
  </r>
  <r>
    <x v="849"/>
    <x v="2"/>
    <d v="2023-03-03T00:00:00"/>
    <n v="2023"/>
    <x v="0"/>
    <n v="3"/>
    <x v="10"/>
    <x v="3"/>
    <n v="317.99"/>
    <s v="Customer C5554"/>
    <x v="1"/>
    <x v="2"/>
    <n v="4"/>
    <n v="1589.95"/>
  </r>
  <r>
    <x v="850"/>
    <x v="4"/>
    <d v="2025-06-13T00:00:00"/>
    <n v="2025"/>
    <x v="1"/>
    <n v="6"/>
    <x v="2"/>
    <x v="0"/>
    <n v="425.3"/>
    <s v="Customer C5564"/>
    <x v="2"/>
    <x v="2"/>
    <n v="4"/>
    <n v="3402.4"/>
  </r>
  <r>
    <x v="851"/>
    <x v="4"/>
    <d v="2023-02-14T00:00:00"/>
    <n v="2023"/>
    <x v="0"/>
    <n v="2"/>
    <x v="9"/>
    <x v="7"/>
    <n v="350.18"/>
    <s v="Customer C5568"/>
    <x v="2"/>
    <x v="4"/>
    <n v="5"/>
    <n v="1400.72"/>
  </r>
  <r>
    <x v="852"/>
    <x v="1"/>
    <d v="2024-01-28T00:00:00"/>
    <n v="2024"/>
    <x v="0"/>
    <n v="1"/>
    <x v="0"/>
    <x v="1"/>
    <n v="675.26"/>
    <s v="Customer C5571"/>
    <x v="1"/>
    <x v="0"/>
    <n v="2"/>
    <n v="2025.78"/>
  </r>
  <r>
    <x v="853"/>
    <x v="3"/>
    <d v="2024-10-23T00:00:00"/>
    <n v="2024"/>
    <x v="3"/>
    <n v="10"/>
    <x v="4"/>
    <x v="3"/>
    <n v="382.32"/>
    <s v="Customer C5572"/>
    <x v="2"/>
    <x v="4"/>
    <n v="3"/>
    <n v="1911.6"/>
  </r>
  <r>
    <x v="854"/>
    <x v="0"/>
    <d v="2025-06-03T00:00:00"/>
    <n v="2025"/>
    <x v="1"/>
    <n v="6"/>
    <x v="2"/>
    <x v="1"/>
    <n v="392.68"/>
    <s v="Customer C5579"/>
    <x v="1"/>
    <x v="3"/>
    <n v="1"/>
    <n v="1178.04"/>
  </r>
  <r>
    <x v="855"/>
    <x v="0"/>
    <d v="2024-02-11T00:00:00"/>
    <n v="2024"/>
    <x v="0"/>
    <n v="2"/>
    <x v="9"/>
    <x v="6"/>
    <n v="482.42"/>
    <s v="Customer C5585"/>
    <x v="2"/>
    <x v="4"/>
    <n v="4"/>
    <n v="3376.94"/>
  </r>
  <r>
    <x v="856"/>
    <x v="2"/>
    <d v="2024-12-24T00:00:00"/>
    <n v="2024"/>
    <x v="3"/>
    <n v="12"/>
    <x v="7"/>
    <x v="7"/>
    <n v="196.86"/>
    <s v="Customer C5586"/>
    <x v="0"/>
    <x v="4"/>
    <n v="3"/>
    <n v="787.44"/>
  </r>
  <r>
    <x v="856"/>
    <x v="1"/>
    <d v="2023-04-21T00:00:00"/>
    <n v="2023"/>
    <x v="1"/>
    <n v="4"/>
    <x v="5"/>
    <x v="1"/>
    <n v="379.63"/>
    <s v="Customer C5586"/>
    <x v="0"/>
    <x v="0"/>
    <n v="4"/>
    <n v="1138.8900000000001"/>
  </r>
  <r>
    <x v="857"/>
    <x v="2"/>
    <d v="2024-04-12T00:00:00"/>
    <n v="2024"/>
    <x v="1"/>
    <n v="4"/>
    <x v="5"/>
    <x v="2"/>
    <n v="234.97"/>
    <s v="Customer C5589"/>
    <x v="0"/>
    <x v="0"/>
    <n v="3"/>
    <n v="1409.82"/>
  </r>
  <r>
    <x v="858"/>
    <x v="6"/>
    <d v="2023-09-11T00:00:00"/>
    <n v="2023"/>
    <x v="2"/>
    <n v="9"/>
    <x v="11"/>
    <x v="0"/>
    <n v="615.47"/>
    <s v="Customer C5591"/>
    <x v="1"/>
    <x v="2"/>
    <n v="2"/>
    <n v="4923.76"/>
  </r>
  <r>
    <x v="859"/>
    <x v="0"/>
    <d v="2024-04-30T00:00:00"/>
    <n v="2024"/>
    <x v="1"/>
    <n v="4"/>
    <x v="5"/>
    <x v="5"/>
    <n v="208.61"/>
    <s v="Customer C5592"/>
    <x v="1"/>
    <x v="0"/>
    <n v="2"/>
    <n v="417.22"/>
  </r>
  <r>
    <x v="860"/>
    <x v="2"/>
    <d v="2023-02-18T00:00:00"/>
    <n v="2023"/>
    <x v="0"/>
    <n v="2"/>
    <x v="9"/>
    <x v="1"/>
    <n v="330.27"/>
    <s v="Customer C5595"/>
    <x v="2"/>
    <x v="3"/>
    <n v="2"/>
    <n v="990.81"/>
  </r>
  <r>
    <x v="861"/>
    <x v="0"/>
    <d v="2025-02-17T00:00:00"/>
    <n v="2025"/>
    <x v="0"/>
    <n v="2"/>
    <x v="9"/>
    <x v="1"/>
    <n v="179.52"/>
    <s v="Customer C5596"/>
    <x v="1"/>
    <x v="3"/>
    <n v="2"/>
    <n v="538.55999999999995"/>
  </r>
  <r>
    <x v="862"/>
    <x v="6"/>
    <d v="2024-11-18T00:00:00"/>
    <n v="2024"/>
    <x v="3"/>
    <n v="11"/>
    <x v="8"/>
    <x v="0"/>
    <n v="702.89"/>
    <s v="Customer C5598"/>
    <x v="1"/>
    <x v="3"/>
    <n v="4"/>
    <n v="5623.12"/>
  </r>
  <r>
    <x v="863"/>
    <x v="4"/>
    <d v="2023-01-25T00:00:00"/>
    <n v="2023"/>
    <x v="0"/>
    <n v="1"/>
    <x v="0"/>
    <x v="0"/>
    <n v="570.88"/>
    <s v="Customer C5605"/>
    <x v="1"/>
    <x v="0"/>
    <n v="4"/>
    <n v="4567.04"/>
  </r>
  <r>
    <x v="864"/>
    <x v="2"/>
    <d v="2023-02-17T00:00:00"/>
    <n v="2023"/>
    <x v="0"/>
    <n v="2"/>
    <x v="9"/>
    <x v="3"/>
    <n v="181.92"/>
    <s v="Customer C5607"/>
    <x v="1"/>
    <x v="1"/>
    <n v="4"/>
    <n v="909.6"/>
  </r>
  <r>
    <x v="865"/>
    <x v="2"/>
    <d v="2025-06-14T00:00:00"/>
    <n v="2025"/>
    <x v="1"/>
    <n v="6"/>
    <x v="2"/>
    <x v="2"/>
    <n v="522.14"/>
    <s v="Customer C5608"/>
    <x v="2"/>
    <x v="3"/>
    <n v="5"/>
    <n v="3132.84"/>
  </r>
  <r>
    <x v="866"/>
    <x v="3"/>
    <d v="2024-11-02T00:00:00"/>
    <n v="2024"/>
    <x v="3"/>
    <n v="11"/>
    <x v="8"/>
    <x v="6"/>
    <n v="404.89"/>
    <s v="Customer C5612"/>
    <x v="0"/>
    <x v="2"/>
    <n v="5"/>
    <n v="2834.23"/>
  </r>
  <r>
    <x v="867"/>
    <x v="4"/>
    <d v="2025-02-11T00:00:00"/>
    <n v="2025"/>
    <x v="0"/>
    <n v="2"/>
    <x v="9"/>
    <x v="6"/>
    <n v="263.67"/>
    <s v="Customer C5614"/>
    <x v="0"/>
    <x v="3"/>
    <n v="2"/>
    <n v="1845.69"/>
  </r>
  <r>
    <x v="868"/>
    <x v="0"/>
    <d v="2025-03-18T00:00:00"/>
    <n v="2025"/>
    <x v="0"/>
    <n v="3"/>
    <x v="10"/>
    <x v="6"/>
    <n v="260.24"/>
    <s v="Customer C5617"/>
    <x v="1"/>
    <x v="0"/>
    <n v="4"/>
    <n v="1821.68"/>
  </r>
  <r>
    <x v="869"/>
    <x v="6"/>
    <d v="2023-05-05T00:00:00"/>
    <n v="2023"/>
    <x v="1"/>
    <n v="5"/>
    <x v="1"/>
    <x v="6"/>
    <n v="424.41"/>
    <s v="Customer C5620"/>
    <x v="1"/>
    <x v="1"/>
    <n v="4"/>
    <n v="2970.87"/>
  </r>
  <r>
    <x v="870"/>
    <x v="2"/>
    <d v="2024-12-08T00:00:00"/>
    <n v="2024"/>
    <x v="3"/>
    <n v="12"/>
    <x v="7"/>
    <x v="6"/>
    <n v="41.97"/>
    <s v="Customer C5623"/>
    <x v="0"/>
    <x v="4"/>
    <n v="2"/>
    <n v="293.79000000000002"/>
  </r>
  <r>
    <x v="870"/>
    <x v="3"/>
    <d v="2024-05-30T00:00:00"/>
    <n v="2024"/>
    <x v="1"/>
    <n v="5"/>
    <x v="1"/>
    <x v="6"/>
    <n v="495.8"/>
    <s v="Customer C5623"/>
    <x v="1"/>
    <x v="0"/>
    <n v="5"/>
    <n v="3470.6"/>
  </r>
  <r>
    <x v="870"/>
    <x v="3"/>
    <d v="2024-04-13T00:00:00"/>
    <n v="2024"/>
    <x v="1"/>
    <n v="4"/>
    <x v="5"/>
    <x v="7"/>
    <n v="89.55"/>
    <s v="Customer C5623"/>
    <x v="2"/>
    <x v="3"/>
    <n v="5"/>
    <n v="358.2"/>
  </r>
  <r>
    <x v="871"/>
    <x v="0"/>
    <d v="2025-04-13T00:00:00"/>
    <n v="2025"/>
    <x v="1"/>
    <n v="4"/>
    <x v="5"/>
    <x v="2"/>
    <n v="203.83"/>
    <s v="Customer C5639"/>
    <x v="1"/>
    <x v="4"/>
    <n v="4"/>
    <n v="1222.98"/>
  </r>
  <r>
    <x v="871"/>
    <x v="0"/>
    <d v="2024-03-12T00:00:00"/>
    <n v="2024"/>
    <x v="0"/>
    <n v="3"/>
    <x v="10"/>
    <x v="3"/>
    <n v="209.86"/>
    <s v="Customer C5639"/>
    <x v="2"/>
    <x v="3"/>
    <n v="5"/>
    <n v="1049.3"/>
  </r>
  <r>
    <x v="872"/>
    <x v="6"/>
    <d v="2025-05-06T00:00:00"/>
    <n v="2025"/>
    <x v="1"/>
    <n v="5"/>
    <x v="1"/>
    <x v="5"/>
    <n v="56.11"/>
    <s v="Customer C5641"/>
    <x v="1"/>
    <x v="1"/>
    <n v="5"/>
    <n v="112.22"/>
  </r>
  <r>
    <x v="873"/>
    <x v="3"/>
    <d v="2024-06-06T00:00:00"/>
    <n v="2024"/>
    <x v="1"/>
    <n v="6"/>
    <x v="2"/>
    <x v="5"/>
    <n v="406.09"/>
    <s v="Customer C5649"/>
    <x v="1"/>
    <x v="4"/>
    <n v="5"/>
    <n v="812.18"/>
  </r>
  <r>
    <x v="874"/>
    <x v="2"/>
    <d v="2025-04-01T00:00:00"/>
    <n v="2025"/>
    <x v="1"/>
    <n v="4"/>
    <x v="5"/>
    <x v="7"/>
    <n v="231.92"/>
    <s v="Customer C5663"/>
    <x v="0"/>
    <x v="0"/>
    <n v="3"/>
    <n v="927.68"/>
  </r>
  <r>
    <x v="875"/>
    <x v="0"/>
    <d v="2024-10-06T00:00:00"/>
    <n v="2024"/>
    <x v="3"/>
    <n v="10"/>
    <x v="4"/>
    <x v="6"/>
    <n v="783.14"/>
    <s v="Customer C5687"/>
    <x v="2"/>
    <x v="3"/>
    <n v="5"/>
    <n v="5481.98"/>
  </r>
  <r>
    <x v="876"/>
    <x v="1"/>
    <d v="2024-10-29T00:00:00"/>
    <n v="2024"/>
    <x v="3"/>
    <n v="10"/>
    <x v="4"/>
    <x v="0"/>
    <n v="530.29999999999995"/>
    <s v="Customer C5690"/>
    <x v="2"/>
    <x v="4"/>
    <n v="3"/>
    <n v="4242.3999999999996"/>
  </r>
  <r>
    <x v="877"/>
    <x v="1"/>
    <d v="2023-10-08T00:00:00"/>
    <n v="2023"/>
    <x v="3"/>
    <n v="10"/>
    <x v="4"/>
    <x v="5"/>
    <n v="704.73"/>
    <s v="Customer C5691"/>
    <x v="1"/>
    <x v="1"/>
    <n v="1"/>
    <n v="1409.46"/>
  </r>
  <r>
    <x v="878"/>
    <x v="6"/>
    <d v="2023-10-28T00:00:00"/>
    <n v="2023"/>
    <x v="3"/>
    <n v="10"/>
    <x v="4"/>
    <x v="0"/>
    <n v="238.87"/>
    <s v="Customer C5693"/>
    <x v="2"/>
    <x v="0"/>
    <n v="4"/>
    <n v="1910.96"/>
  </r>
  <r>
    <x v="879"/>
    <x v="3"/>
    <d v="2024-05-14T00:00:00"/>
    <n v="2024"/>
    <x v="1"/>
    <n v="5"/>
    <x v="1"/>
    <x v="1"/>
    <n v="16.45"/>
    <s v="Customer C5695"/>
    <x v="2"/>
    <x v="2"/>
    <n v="3"/>
    <n v="49.35"/>
  </r>
  <r>
    <x v="880"/>
    <x v="3"/>
    <d v="2023-02-14T00:00:00"/>
    <n v="2023"/>
    <x v="0"/>
    <n v="2"/>
    <x v="9"/>
    <x v="3"/>
    <n v="494.19"/>
    <s v="Customer C5708"/>
    <x v="0"/>
    <x v="2"/>
    <n v="3"/>
    <n v="2470.9499999999998"/>
  </r>
  <r>
    <x v="881"/>
    <x v="5"/>
    <d v="2025-03-05T00:00:00"/>
    <n v="2025"/>
    <x v="0"/>
    <n v="3"/>
    <x v="10"/>
    <x v="0"/>
    <n v="295.61"/>
    <s v="Customer C5728"/>
    <x v="1"/>
    <x v="1"/>
    <n v="5"/>
    <n v="2364.88"/>
  </r>
  <r>
    <x v="882"/>
    <x v="3"/>
    <d v="2023-08-06T00:00:00"/>
    <n v="2023"/>
    <x v="2"/>
    <n v="8"/>
    <x v="6"/>
    <x v="2"/>
    <n v="705.92"/>
    <s v="Customer C5730"/>
    <x v="0"/>
    <x v="1"/>
    <n v="5"/>
    <n v="4235.5200000000004"/>
  </r>
  <r>
    <x v="883"/>
    <x v="0"/>
    <d v="2024-08-12T00:00:00"/>
    <n v="2024"/>
    <x v="2"/>
    <n v="8"/>
    <x v="6"/>
    <x v="5"/>
    <n v="150.26"/>
    <s v="Customer C5739"/>
    <x v="2"/>
    <x v="3"/>
    <n v="4"/>
    <n v="300.52"/>
  </r>
  <r>
    <x v="884"/>
    <x v="6"/>
    <d v="2025-03-24T00:00:00"/>
    <n v="2025"/>
    <x v="0"/>
    <n v="3"/>
    <x v="10"/>
    <x v="5"/>
    <n v="715.14"/>
    <s v="Customer C5745"/>
    <x v="1"/>
    <x v="3"/>
    <n v="3"/>
    <n v="1430.28"/>
  </r>
  <r>
    <x v="885"/>
    <x v="5"/>
    <d v="2025-06-15T00:00:00"/>
    <n v="2025"/>
    <x v="1"/>
    <n v="6"/>
    <x v="2"/>
    <x v="5"/>
    <n v="219.67"/>
    <s v="Customer C5759"/>
    <x v="2"/>
    <x v="3"/>
    <n v="2"/>
    <n v="439.34"/>
  </r>
  <r>
    <x v="885"/>
    <x v="6"/>
    <d v="2023-11-24T00:00:00"/>
    <n v="2023"/>
    <x v="3"/>
    <n v="11"/>
    <x v="8"/>
    <x v="6"/>
    <n v="240.67"/>
    <s v="Customer C5759"/>
    <x v="1"/>
    <x v="1"/>
    <n v="1"/>
    <n v="1684.69"/>
  </r>
  <r>
    <x v="886"/>
    <x v="3"/>
    <d v="2023-06-04T00:00:00"/>
    <n v="2023"/>
    <x v="1"/>
    <n v="6"/>
    <x v="2"/>
    <x v="0"/>
    <n v="661.37"/>
    <s v="Customer C5760"/>
    <x v="2"/>
    <x v="3"/>
    <n v="1"/>
    <n v="5290.96"/>
  </r>
  <r>
    <x v="887"/>
    <x v="2"/>
    <d v="2023-05-10T00:00:00"/>
    <n v="2023"/>
    <x v="1"/>
    <n v="5"/>
    <x v="1"/>
    <x v="4"/>
    <n v="401.55"/>
    <s v="Customer C5767"/>
    <x v="0"/>
    <x v="1"/>
    <n v="4"/>
    <n v="401.55"/>
  </r>
  <r>
    <x v="888"/>
    <x v="0"/>
    <d v="2024-07-16T00:00:00"/>
    <n v="2024"/>
    <x v="2"/>
    <n v="7"/>
    <x v="3"/>
    <x v="0"/>
    <n v="486.21"/>
    <s v="Customer C5776"/>
    <x v="0"/>
    <x v="2"/>
    <n v="3"/>
    <n v="3889.68"/>
  </r>
  <r>
    <x v="889"/>
    <x v="4"/>
    <d v="2023-09-06T00:00:00"/>
    <n v="2023"/>
    <x v="2"/>
    <n v="9"/>
    <x v="11"/>
    <x v="7"/>
    <n v="240.85"/>
    <s v="Customer C5779"/>
    <x v="2"/>
    <x v="0"/>
    <n v="2"/>
    <n v="963.4"/>
  </r>
  <r>
    <x v="890"/>
    <x v="3"/>
    <d v="2024-03-27T00:00:00"/>
    <n v="2024"/>
    <x v="0"/>
    <n v="3"/>
    <x v="10"/>
    <x v="7"/>
    <n v="155.35"/>
    <s v="Customer C5781"/>
    <x v="2"/>
    <x v="3"/>
    <n v="4"/>
    <n v="621.4"/>
  </r>
  <r>
    <x v="891"/>
    <x v="6"/>
    <d v="2023-04-12T00:00:00"/>
    <n v="2023"/>
    <x v="1"/>
    <n v="4"/>
    <x v="5"/>
    <x v="6"/>
    <n v="617.02"/>
    <s v="Customer C5784"/>
    <x v="0"/>
    <x v="1"/>
    <n v="2"/>
    <n v="4319.1400000000003"/>
  </r>
  <r>
    <x v="892"/>
    <x v="6"/>
    <d v="2025-01-11T00:00:00"/>
    <n v="2025"/>
    <x v="0"/>
    <n v="1"/>
    <x v="0"/>
    <x v="6"/>
    <n v="404.2"/>
    <s v="Customer C5790"/>
    <x v="0"/>
    <x v="3"/>
    <n v="1"/>
    <n v="2829.4"/>
  </r>
  <r>
    <x v="893"/>
    <x v="1"/>
    <d v="2024-10-13T00:00:00"/>
    <n v="2024"/>
    <x v="3"/>
    <n v="10"/>
    <x v="4"/>
    <x v="4"/>
    <n v="585.9"/>
    <s v="Customer C5797"/>
    <x v="2"/>
    <x v="4"/>
    <n v="3"/>
    <n v="585.9"/>
  </r>
  <r>
    <x v="894"/>
    <x v="0"/>
    <d v="2024-11-02T00:00:00"/>
    <n v="2024"/>
    <x v="3"/>
    <n v="11"/>
    <x v="8"/>
    <x v="1"/>
    <n v="639.79"/>
    <s v="Customer C5803"/>
    <x v="0"/>
    <x v="3"/>
    <n v="4"/>
    <n v="1919.37"/>
  </r>
  <r>
    <x v="895"/>
    <x v="0"/>
    <d v="2023-05-22T00:00:00"/>
    <n v="2023"/>
    <x v="1"/>
    <n v="5"/>
    <x v="1"/>
    <x v="2"/>
    <n v="464.08"/>
    <s v="Customer C5804"/>
    <x v="0"/>
    <x v="1"/>
    <n v="2"/>
    <n v="2784.48"/>
  </r>
  <r>
    <x v="896"/>
    <x v="4"/>
    <d v="2023-11-02T00:00:00"/>
    <n v="2023"/>
    <x v="3"/>
    <n v="11"/>
    <x v="8"/>
    <x v="5"/>
    <n v="237.63"/>
    <s v="Customer C5806"/>
    <x v="0"/>
    <x v="3"/>
    <n v="3"/>
    <n v="475.26"/>
  </r>
  <r>
    <x v="897"/>
    <x v="3"/>
    <d v="2025-02-03T00:00:00"/>
    <n v="2025"/>
    <x v="0"/>
    <n v="2"/>
    <x v="9"/>
    <x v="3"/>
    <n v="93.9"/>
    <s v="Customer C5809"/>
    <x v="1"/>
    <x v="2"/>
    <n v="3"/>
    <n v="469.5"/>
  </r>
  <r>
    <x v="898"/>
    <x v="3"/>
    <d v="2025-05-26T00:00:00"/>
    <n v="2025"/>
    <x v="1"/>
    <n v="5"/>
    <x v="1"/>
    <x v="0"/>
    <n v="156.04"/>
    <s v="Customer C5813"/>
    <x v="0"/>
    <x v="4"/>
    <n v="2"/>
    <n v="1248.32"/>
  </r>
  <r>
    <x v="899"/>
    <x v="4"/>
    <d v="2024-11-21T00:00:00"/>
    <n v="2024"/>
    <x v="3"/>
    <n v="11"/>
    <x v="8"/>
    <x v="0"/>
    <n v="589.92999999999995"/>
    <s v="Customer C5830"/>
    <x v="2"/>
    <x v="4"/>
    <n v="3"/>
    <n v="4719.4399999999996"/>
  </r>
  <r>
    <x v="900"/>
    <x v="2"/>
    <d v="2024-06-12T00:00:00"/>
    <n v="2024"/>
    <x v="1"/>
    <n v="6"/>
    <x v="2"/>
    <x v="7"/>
    <n v="163.49"/>
    <s v="Customer C5834"/>
    <x v="2"/>
    <x v="0"/>
    <n v="5"/>
    <n v="653.96"/>
  </r>
  <r>
    <x v="901"/>
    <x v="6"/>
    <d v="2023-01-10T00:00:00"/>
    <n v="2023"/>
    <x v="0"/>
    <n v="1"/>
    <x v="0"/>
    <x v="4"/>
    <n v="584.28"/>
    <s v="Customer C5842"/>
    <x v="1"/>
    <x v="0"/>
    <n v="2"/>
    <n v="584.28"/>
  </r>
  <r>
    <x v="902"/>
    <x v="3"/>
    <d v="2023-05-09T00:00:00"/>
    <n v="2023"/>
    <x v="1"/>
    <n v="5"/>
    <x v="1"/>
    <x v="6"/>
    <n v="475.33"/>
    <s v="Customer C5845"/>
    <x v="2"/>
    <x v="3"/>
    <n v="1"/>
    <n v="3327.31"/>
  </r>
  <r>
    <x v="903"/>
    <x v="5"/>
    <d v="2023-06-20T00:00:00"/>
    <n v="2023"/>
    <x v="1"/>
    <n v="6"/>
    <x v="2"/>
    <x v="2"/>
    <n v="70.13"/>
    <s v="Customer C5846"/>
    <x v="0"/>
    <x v="2"/>
    <n v="4"/>
    <n v="420.78"/>
  </r>
  <r>
    <x v="904"/>
    <x v="6"/>
    <d v="2024-12-14T00:00:00"/>
    <n v="2024"/>
    <x v="3"/>
    <n v="12"/>
    <x v="7"/>
    <x v="1"/>
    <n v="117.3"/>
    <s v="Customer C5855"/>
    <x v="1"/>
    <x v="4"/>
    <n v="1"/>
    <n v="351.9"/>
  </r>
  <r>
    <x v="905"/>
    <x v="3"/>
    <d v="2023-06-15T00:00:00"/>
    <n v="2023"/>
    <x v="1"/>
    <n v="6"/>
    <x v="2"/>
    <x v="6"/>
    <n v="125.26"/>
    <s v="Customer C5868"/>
    <x v="2"/>
    <x v="1"/>
    <n v="3"/>
    <n v="876.82"/>
  </r>
  <r>
    <x v="906"/>
    <x v="3"/>
    <d v="2023-12-05T00:00:00"/>
    <n v="2023"/>
    <x v="3"/>
    <n v="12"/>
    <x v="7"/>
    <x v="4"/>
    <n v="202.98"/>
    <s v="Customer C5874"/>
    <x v="0"/>
    <x v="1"/>
    <n v="5"/>
    <n v="202.98"/>
  </r>
  <r>
    <x v="907"/>
    <x v="1"/>
    <d v="2024-02-25T00:00:00"/>
    <n v="2024"/>
    <x v="0"/>
    <n v="2"/>
    <x v="9"/>
    <x v="5"/>
    <n v="294.14"/>
    <s v="Customer C5877"/>
    <x v="0"/>
    <x v="4"/>
    <n v="3"/>
    <n v="588.28"/>
  </r>
  <r>
    <x v="908"/>
    <x v="0"/>
    <d v="2023-06-06T00:00:00"/>
    <n v="2023"/>
    <x v="1"/>
    <n v="6"/>
    <x v="2"/>
    <x v="0"/>
    <n v="39.49"/>
    <s v="Customer C5882"/>
    <x v="2"/>
    <x v="3"/>
    <n v="2"/>
    <n v="315.92"/>
  </r>
  <r>
    <x v="909"/>
    <x v="5"/>
    <d v="2024-07-02T00:00:00"/>
    <n v="2024"/>
    <x v="2"/>
    <n v="7"/>
    <x v="3"/>
    <x v="5"/>
    <n v="77.790000000000006"/>
    <s v="Customer C5889"/>
    <x v="1"/>
    <x v="1"/>
    <n v="2"/>
    <n v="155.58000000000001"/>
  </r>
  <r>
    <x v="910"/>
    <x v="0"/>
    <d v="2023-04-26T00:00:00"/>
    <n v="2023"/>
    <x v="1"/>
    <n v="4"/>
    <x v="5"/>
    <x v="7"/>
    <n v="734.98"/>
    <s v="Customer C5890"/>
    <x v="0"/>
    <x v="2"/>
    <n v="3"/>
    <n v="2939.92"/>
  </r>
  <r>
    <x v="911"/>
    <x v="2"/>
    <d v="2024-12-25T00:00:00"/>
    <n v="2024"/>
    <x v="3"/>
    <n v="12"/>
    <x v="7"/>
    <x v="1"/>
    <n v="166.16"/>
    <s v="Customer C5898"/>
    <x v="0"/>
    <x v="3"/>
    <n v="1"/>
    <n v="498.48"/>
  </r>
  <r>
    <x v="911"/>
    <x v="0"/>
    <d v="2024-01-16T00:00:00"/>
    <n v="2024"/>
    <x v="0"/>
    <n v="1"/>
    <x v="0"/>
    <x v="3"/>
    <n v="791.03"/>
    <s v="Customer C5898"/>
    <x v="1"/>
    <x v="2"/>
    <n v="1"/>
    <n v="3955.15"/>
  </r>
  <r>
    <x v="912"/>
    <x v="0"/>
    <d v="2024-08-21T00:00:00"/>
    <n v="2024"/>
    <x v="2"/>
    <n v="8"/>
    <x v="6"/>
    <x v="0"/>
    <n v="127.21"/>
    <s v="Customer C5900"/>
    <x v="2"/>
    <x v="3"/>
    <n v="2"/>
    <n v="1017.68"/>
  </r>
  <r>
    <x v="913"/>
    <x v="0"/>
    <d v="2024-02-06T00:00:00"/>
    <n v="2024"/>
    <x v="0"/>
    <n v="2"/>
    <x v="9"/>
    <x v="0"/>
    <n v="621.67999999999995"/>
    <s v="Customer C5902"/>
    <x v="2"/>
    <x v="1"/>
    <n v="2"/>
    <n v="4973.4399999999996"/>
  </r>
  <r>
    <x v="913"/>
    <x v="6"/>
    <d v="2024-08-22T00:00:00"/>
    <n v="2024"/>
    <x v="2"/>
    <n v="8"/>
    <x v="6"/>
    <x v="7"/>
    <n v="366.2"/>
    <s v="Customer C5902"/>
    <x v="0"/>
    <x v="1"/>
    <n v="3"/>
    <n v="1464.8"/>
  </r>
  <r>
    <x v="914"/>
    <x v="2"/>
    <d v="2025-04-24T00:00:00"/>
    <n v="2025"/>
    <x v="1"/>
    <n v="4"/>
    <x v="5"/>
    <x v="5"/>
    <n v="209.06"/>
    <s v="Customer C5903"/>
    <x v="1"/>
    <x v="2"/>
    <n v="1"/>
    <n v="418.12"/>
  </r>
  <r>
    <x v="915"/>
    <x v="3"/>
    <d v="2023-03-20T00:00:00"/>
    <n v="2023"/>
    <x v="0"/>
    <n v="3"/>
    <x v="10"/>
    <x v="6"/>
    <n v="497.96"/>
    <s v="Customer C5922"/>
    <x v="1"/>
    <x v="3"/>
    <n v="5"/>
    <n v="3485.72"/>
  </r>
  <r>
    <x v="916"/>
    <x v="0"/>
    <d v="2024-09-07T00:00:00"/>
    <n v="2024"/>
    <x v="2"/>
    <n v="9"/>
    <x v="11"/>
    <x v="6"/>
    <n v="580.44000000000005"/>
    <s v="Customer C5925"/>
    <x v="2"/>
    <x v="3"/>
    <n v="2"/>
    <n v="4063.08"/>
  </r>
  <r>
    <x v="917"/>
    <x v="3"/>
    <d v="2024-01-11T00:00:00"/>
    <n v="2024"/>
    <x v="0"/>
    <n v="1"/>
    <x v="0"/>
    <x v="3"/>
    <n v="429.91"/>
    <s v="Customer C5929"/>
    <x v="0"/>
    <x v="4"/>
    <n v="1"/>
    <n v="2149.5500000000002"/>
  </r>
  <r>
    <x v="918"/>
    <x v="2"/>
    <d v="2024-12-09T00:00:00"/>
    <n v="2024"/>
    <x v="3"/>
    <n v="12"/>
    <x v="7"/>
    <x v="6"/>
    <n v="172.77"/>
    <s v="Customer C5933"/>
    <x v="2"/>
    <x v="4"/>
    <n v="4"/>
    <n v="1209.3900000000001"/>
  </r>
  <r>
    <x v="919"/>
    <x v="6"/>
    <d v="2024-12-26T00:00:00"/>
    <n v="2024"/>
    <x v="3"/>
    <n v="12"/>
    <x v="7"/>
    <x v="7"/>
    <n v="653.41"/>
    <s v="Customer C5934"/>
    <x v="1"/>
    <x v="3"/>
    <n v="1"/>
    <n v="2613.64"/>
  </r>
  <r>
    <x v="920"/>
    <x v="3"/>
    <d v="2024-07-13T00:00:00"/>
    <n v="2024"/>
    <x v="2"/>
    <n v="7"/>
    <x v="3"/>
    <x v="7"/>
    <n v="793.47"/>
    <s v="Customer C5935"/>
    <x v="0"/>
    <x v="0"/>
    <n v="1"/>
    <n v="3173.88"/>
  </r>
  <r>
    <x v="921"/>
    <x v="1"/>
    <d v="2023-07-08T00:00:00"/>
    <n v="2023"/>
    <x v="2"/>
    <n v="7"/>
    <x v="3"/>
    <x v="3"/>
    <n v="95.09"/>
    <s v="Customer C5938"/>
    <x v="0"/>
    <x v="1"/>
    <n v="3"/>
    <n v="475.45"/>
  </r>
  <r>
    <x v="922"/>
    <x v="1"/>
    <d v="2024-05-03T00:00:00"/>
    <n v="2024"/>
    <x v="1"/>
    <n v="5"/>
    <x v="1"/>
    <x v="2"/>
    <n v="144.63"/>
    <s v="Customer C5953"/>
    <x v="2"/>
    <x v="4"/>
    <n v="5"/>
    <n v="867.78"/>
  </r>
  <r>
    <x v="923"/>
    <x v="3"/>
    <d v="2024-05-20T00:00:00"/>
    <n v="2024"/>
    <x v="1"/>
    <n v="5"/>
    <x v="1"/>
    <x v="0"/>
    <n v="642.91"/>
    <s v="Customer C5964"/>
    <x v="2"/>
    <x v="3"/>
    <n v="2"/>
    <n v="5143.28"/>
  </r>
  <r>
    <x v="924"/>
    <x v="0"/>
    <d v="2024-07-05T00:00:00"/>
    <n v="2024"/>
    <x v="2"/>
    <n v="7"/>
    <x v="3"/>
    <x v="3"/>
    <n v="563.47"/>
    <s v="Customer C5968"/>
    <x v="0"/>
    <x v="0"/>
    <n v="5"/>
    <n v="2817.35"/>
  </r>
  <r>
    <x v="925"/>
    <x v="5"/>
    <d v="2024-05-23T00:00:00"/>
    <n v="2024"/>
    <x v="1"/>
    <n v="5"/>
    <x v="1"/>
    <x v="6"/>
    <n v="481.25"/>
    <s v="Customer C5971"/>
    <x v="0"/>
    <x v="1"/>
    <n v="1"/>
    <n v="3368.75"/>
  </r>
  <r>
    <x v="926"/>
    <x v="3"/>
    <d v="2025-02-19T00:00:00"/>
    <n v="2025"/>
    <x v="0"/>
    <n v="2"/>
    <x v="9"/>
    <x v="0"/>
    <n v="584.83000000000004"/>
    <s v="Customer C5975"/>
    <x v="0"/>
    <x v="3"/>
    <n v="3"/>
    <n v="4678.6400000000003"/>
  </r>
  <r>
    <x v="927"/>
    <x v="3"/>
    <d v="2024-10-03T00:00:00"/>
    <n v="2024"/>
    <x v="3"/>
    <n v="10"/>
    <x v="4"/>
    <x v="0"/>
    <n v="645.74"/>
    <s v="Customer C5977"/>
    <x v="0"/>
    <x v="2"/>
    <n v="5"/>
    <n v="5165.92"/>
  </r>
  <r>
    <x v="928"/>
    <x v="0"/>
    <d v="2023-07-20T00:00:00"/>
    <n v="2023"/>
    <x v="2"/>
    <n v="7"/>
    <x v="3"/>
    <x v="6"/>
    <n v="284.86"/>
    <s v="Customer C5978"/>
    <x v="2"/>
    <x v="4"/>
    <n v="5"/>
    <n v="1994.02"/>
  </r>
  <r>
    <x v="929"/>
    <x v="1"/>
    <d v="2024-08-17T00:00:00"/>
    <n v="2024"/>
    <x v="2"/>
    <n v="8"/>
    <x v="6"/>
    <x v="7"/>
    <n v="174.39"/>
    <s v="Customer C5980"/>
    <x v="1"/>
    <x v="2"/>
    <n v="4"/>
    <n v="697.56"/>
  </r>
  <r>
    <x v="930"/>
    <x v="6"/>
    <d v="2023-05-26T00:00:00"/>
    <n v="2023"/>
    <x v="1"/>
    <n v="5"/>
    <x v="1"/>
    <x v="2"/>
    <n v="357.44"/>
    <s v="Customer C5981"/>
    <x v="2"/>
    <x v="2"/>
    <n v="3"/>
    <n v="2144.64"/>
  </r>
  <r>
    <x v="931"/>
    <x v="6"/>
    <d v="2023-06-07T00:00:00"/>
    <n v="2023"/>
    <x v="1"/>
    <n v="6"/>
    <x v="2"/>
    <x v="0"/>
    <n v="369.33"/>
    <s v="Customer C5983"/>
    <x v="0"/>
    <x v="4"/>
    <n v="5"/>
    <n v="2954.64"/>
  </r>
  <r>
    <x v="932"/>
    <x v="0"/>
    <d v="2023-05-21T00:00:00"/>
    <n v="2023"/>
    <x v="1"/>
    <n v="5"/>
    <x v="1"/>
    <x v="5"/>
    <n v="8.56"/>
    <s v="Customer C5989"/>
    <x v="1"/>
    <x v="1"/>
    <n v="1"/>
    <n v="17.12"/>
  </r>
  <r>
    <x v="933"/>
    <x v="4"/>
    <d v="2023-01-05T00:00:00"/>
    <n v="2023"/>
    <x v="0"/>
    <n v="1"/>
    <x v="0"/>
    <x v="6"/>
    <n v="128.59"/>
    <s v="Customer C5993"/>
    <x v="2"/>
    <x v="1"/>
    <n v="3"/>
    <n v="900.13"/>
  </r>
  <r>
    <x v="934"/>
    <x v="5"/>
    <d v="2024-04-19T00:00:00"/>
    <n v="2024"/>
    <x v="1"/>
    <n v="4"/>
    <x v="5"/>
    <x v="4"/>
    <n v="438.65"/>
    <s v="Customer C5999"/>
    <x v="2"/>
    <x v="1"/>
    <n v="4"/>
    <n v="438.65"/>
  </r>
  <r>
    <x v="935"/>
    <x v="5"/>
    <d v="2024-07-16T00:00:00"/>
    <n v="2024"/>
    <x v="2"/>
    <n v="7"/>
    <x v="3"/>
    <x v="7"/>
    <n v="175.63"/>
    <s v="Customer C6011"/>
    <x v="2"/>
    <x v="3"/>
    <n v="4"/>
    <n v="702.52"/>
  </r>
  <r>
    <x v="936"/>
    <x v="0"/>
    <d v="2024-08-18T00:00:00"/>
    <n v="2024"/>
    <x v="2"/>
    <n v="8"/>
    <x v="6"/>
    <x v="0"/>
    <n v="35"/>
    <s v="Customer C6015"/>
    <x v="1"/>
    <x v="1"/>
    <n v="4"/>
    <n v="280"/>
  </r>
  <r>
    <x v="937"/>
    <x v="0"/>
    <d v="2024-07-13T00:00:00"/>
    <n v="2024"/>
    <x v="2"/>
    <n v="7"/>
    <x v="3"/>
    <x v="5"/>
    <n v="166.62"/>
    <s v="Customer C6018"/>
    <x v="0"/>
    <x v="4"/>
    <n v="1"/>
    <n v="333.24"/>
  </r>
  <r>
    <x v="938"/>
    <x v="0"/>
    <d v="2024-12-17T00:00:00"/>
    <n v="2024"/>
    <x v="3"/>
    <n v="12"/>
    <x v="7"/>
    <x v="5"/>
    <n v="265.33999999999997"/>
    <s v="Customer C6020"/>
    <x v="2"/>
    <x v="4"/>
    <n v="2"/>
    <n v="530.67999999999995"/>
  </r>
  <r>
    <x v="939"/>
    <x v="4"/>
    <d v="2024-02-10T00:00:00"/>
    <n v="2024"/>
    <x v="0"/>
    <n v="2"/>
    <x v="9"/>
    <x v="3"/>
    <n v="451.64"/>
    <s v="Customer C6022"/>
    <x v="2"/>
    <x v="3"/>
    <n v="5"/>
    <n v="2258.1999999999998"/>
  </r>
  <r>
    <x v="940"/>
    <x v="4"/>
    <d v="2023-10-05T00:00:00"/>
    <n v="2023"/>
    <x v="3"/>
    <n v="10"/>
    <x v="4"/>
    <x v="5"/>
    <n v="105.59"/>
    <s v="Customer C6024"/>
    <x v="0"/>
    <x v="4"/>
    <n v="4"/>
    <n v="211.18"/>
  </r>
  <r>
    <x v="941"/>
    <x v="5"/>
    <d v="2023-04-05T00:00:00"/>
    <n v="2023"/>
    <x v="1"/>
    <n v="4"/>
    <x v="5"/>
    <x v="2"/>
    <n v="137.88"/>
    <s v="Customer C6028"/>
    <x v="0"/>
    <x v="1"/>
    <n v="1"/>
    <n v="827.28"/>
  </r>
  <r>
    <x v="941"/>
    <x v="6"/>
    <d v="2024-01-24T00:00:00"/>
    <n v="2024"/>
    <x v="0"/>
    <n v="1"/>
    <x v="0"/>
    <x v="4"/>
    <n v="729.15"/>
    <s v="Customer C6028"/>
    <x v="0"/>
    <x v="1"/>
    <n v="3"/>
    <n v="729.15"/>
  </r>
  <r>
    <x v="942"/>
    <x v="2"/>
    <d v="2024-10-30T00:00:00"/>
    <n v="2024"/>
    <x v="3"/>
    <n v="10"/>
    <x v="4"/>
    <x v="6"/>
    <n v="294.3"/>
    <s v="Customer C6029"/>
    <x v="1"/>
    <x v="1"/>
    <n v="2"/>
    <n v="2060.1"/>
  </r>
  <r>
    <x v="943"/>
    <x v="1"/>
    <d v="2024-11-08T00:00:00"/>
    <n v="2024"/>
    <x v="3"/>
    <n v="11"/>
    <x v="8"/>
    <x v="0"/>
    <n v="798.64"/>
    <s v="Customer C6035"/>
    <x v="2"/>
    <x v="3"/>
    <n v="2"/>
    <n v="6389.12"/>
  </r>
  <r>
    <x v="944"/>
    <x v="0"/>
    <d v="2024-09-25T00:00:00"/>
    <n v="2024"/>
    <x v="2"/>
    <n v="9"/>
    <x v="11"/>
    <x v="1"/>
    <n v="506.55"/>
    <s v="Customer C6059"/>
    <x v="1"/>
    <x v="4"/>
    <n v="5"/>
    <n v="1519.65"/>
  </r>
  <r>
    <x v="945"/>
    <x v="4"/>
    <d v="2024-06-09T00:00:00"/>
    <n v="2024"/>
    <x v="1"/>
    <n v="6"/>
    <x v="2"/>
    <x v="0"/>
    <n v="409.67"/>
    <s v="Customer C6063"/>
    <x v="2"/>
    <x v="1"/>
    <n v="1"/>
    <n v="3277.36"/>
  </r>
  <r>
    <x v="946"/>
    <x v="5"/>
    <d v="2023-06-26T00:00:00"/>
    <n v="2023"/>
    <x v="1"/>
    <n v="6"/>
    <x v="2"/>
    <x v="7"/>
    <n v="700.91"/>
    <s v="Customer C6070"/>
    <x v="2"/>
    <x v="4"/>
    <n v="5"/>
    <n v="2803.64"/>
  </r>
  <r>
    <x v="947"/>
    <x v="4"/>
    <d v="2024-12-14T00:00:00"/>
    <n v="2024"/>
    <x v="3"/>
    <n v="12"/>
    <x v="7"/>
    <x v="0"/>
    <n v="407.56"/>
    <s v="Customer C6077"/>
    <x v="1"/>
    <x v="1"/>
    <n v="3"/>
    <n v="3260.48"/>
  </r>
  <r>
    <x v="948"/>
    <x v="6"/>
    <d v="2023-09-23T00:00:00"/>
    <n v="2023"/>
    <x v="2"/>
    <n v="9"/>
    <x v="11"/>
    <x v="1"/>
    <n v="234.42"/>
    <s v="Customer C6079"/>
    <x v="1"/>
    <x v="0"/>
    <n v="2"/>
    <n v="703.26"/>
  </r>
  <r>
    <x v="949"/>
    <x v="3"/>
    <d v="2024-03-29T00:00:00"/>
    <n v="2024"/>
    <x v="0"/>
    <n v="3"/>
    <x v="10"/>
    <x v="2"/>
    <n v="8.31"/>
    <s v="Customer C6085"/>
    <x v="2"/>
    <x v="0"/>
    <n v="1"/>
    <n v="49.86"/>
  </r>
  <r>
    <x v="949"/>
    <x v="6"/>
    <d v="2024-07-28T00:00:00"/>
    <n v="2024"/>
    <x v="2"/>
    <n v="7"/>
    <x v="3"/>
    <x v="4"/>
    <n v="735.73"/>
    <s v="Customer C6085"/>
    <x v="1"/>
    <x v="3"/>
    <n v="2"/>
    <n v="735.73"/>
  </r>
  <r>
    <x v="950"/>
    <x v="5"/>
    <d v="2025-01-16T00:00:00"/>
    <n v="2025"/>
    <x v="0"/>
    <n v="1"/>
    <x v="0"/>
    <x v="6"/>
    <n v="406.68"/>
    <s v="Customer C6093"/>
    <x v="1"/>
    <x v="1"/>
    <n v="5"/>
    <n v="2846.76"/>
  </r>
  <r>
    <x v="951"/>
    <x v="2"/>
    <d v="2024-10-26T00:00:00"/>
    <n v="2024"/>
    <x v="3"/>
    <n v="10"/>
    <x v="4"/>
    <x v="4"/>
    <n v="55.74"/>
    <s v="Customer C6106"/>
    <x v="0"/>
    <x v="4"/>
    <n v="1"/>
    <n v="55.74"/>
  </r>
  <r>
    <x v="952"/>
    <x v="4"/>
    <d v="2024-06-17T00:00:00"/>
    <n v="2024"/>
    <x v="1"/>
    <n v="6"/>
    <x v="2"/>
    <x v="2"/>
    <n v="520"/>
    <s v="Customer C6116"/>
    <x v="0"/>
    <x v="3"/>
    <n v="4"/>
    <n v="3120"/>
  </r>
  <r>
    <x v="953"/>
    <x v="3"/>
    <d v="2024-10-07T00:00:00"/>
    <n v="2024"/>
    <x v="3"/>
    <n v="10"/>
    <x v="4"/>
    <x v="4"/>
    <n v="87.28"/>
    <s v="Customer C6117"/>
    <x v="1"/>
    <x v="0"/>
    <n v="3"/>
    <n v="87.28"/>
  </r>
  <r>
    <x v="954"/>
    <x v="3"/>
    <d v="2023-05-23T00:00:00"/>
    <n v="2023"/>
    <x v="1"/>
    <n v="5"/>
    <x v="1"/>
    <x v="7"/>
    <n v="473.68"/>
    <s v="Customer C6145"/>
    <x v="1"/>
    <x v="2"/>
    <n v="4"/>
    <n v="1894.72"/>
  </r>
  <r>
    <x v="955"/>
    <x v="2"/>
    <d v="2025-06-21T00:00:00"/>
    <n v="2025"/>
    <x v="1"/>
    <n v="6"/>
    <x v="2"/>
    <x v="2"/>
    <n v="118.25"/>
    <s v="Customer C6147"/>
    <x v="1"/>
    <x v="0"/>
    <n v="2"/>
    <n v="709.5"/>
  </r>
  <r>
    <x v="956"/>
    <x v="4"/>
    <d v="2025-06-23T00:00:00"/>
    <n v="2025"/>
    <x v="1"/>
    <n v="6"/>
    <x v="2"/>
    <x v="2"/>
    <n v="239.44"/>
    <s v="Customer C6149"/>
    <x v="0"/>
    <x v="1"/>
    <n v="1"/>
    <n v="1436.64"/>
  </r>
  <r>
    <x v="956"/>
    <x v="0"/>
    <d v="2024-12-20T00:00:00"/>
    <n v="2024"/>
    <x v="3"/>
    <n v="12"/>
    <x v="7"/>
    <x v="3"/>
    <n v="682.8"/>
    <s v="Customer C6149"/>
    <x v="1"/>
    <x v="4"/>
    <n v="3"/>
    <n v="3414"/>
  </r>
  <r>
    <x v="957"/>
    <x v="6"/>
    <d v="2024-03-27T00:00:00"/>
    <n v="2024"/>
    <x v="0"/>
    <n v="3"/>
    <x v="10"/>
    <x v="2"/>
    <n v="386.68"/>
    <s v="Customer C6156"/>
    <x v="1"/>
    <x v="2"/>
    <n v="1"/>
    <n v="2320.08"/>
  </r>
  <r>
    <x v="958"/>
    <x v="6"/>
    <d v="2024-12-06T00:00:00"/>
    <n v="2024"/>
    <x v="3"/>
    <n v="12"/>
    <x v="7"/>
    <x v="3"/>
    <n v="242.27"/>
    <s v="Customer C6157"/>
    <x v="1"/>
    <x v="0"/>
    <n v="5"/>
    <n v="1211.3499999999999"/>
  </r>
  <r>
    <x v="959"/>
    <x v="2"/>
    <d v="2024-11-23T00:00:00"/>
    <n v="2024"/>
    <x v="3"/>
    <n v="11"/>
    <x v="8"/>
    <x v="0"/>
    <n v="448.55"/>
    <s v="Customer C6164"/>
    <x v="1"/>
    <x v="4"/>
    <n v="1"/>
    <n v="3588.4"/>
  </r>
  <r>
    <x v="960"/>
    <x v="5"/>
    <d v="2024-06-19T00:00:00"/>
    <n v="2024"/>
    <x v="1"/>
    <n v="6"/>
    <x v="2"/>
    <x v="1"/>
    <n v="783.65"/>
    <s v="Customer C6165"/>
    <x v="0"/>
    <x v="0"/>
    <n v="2"/>
    <n v="2350.9499999999998"/>
  </r>
  <r>
    <x v="961"/>
    <x v="4"/>
    <d v="2025-01-24T00:00:00"/>
    <n v="2025"/>
    <x v="0"/>
    <n v="1"/>
    <x v="0"/>
    <x v="4"/>
    <n v="550.04999999999995"/>
    <s v="Customer C6166"/>
    <x v="1"/>
    <x v="0"/>
    <n v="2"/>
    <n v="550.04999999999995"/>
  </r>
  <r>
    <x v="962"/>
    <x v="6"/>
    <d v="2023-11-04T00:00:00"/>
    <n v="2023"/>
    <x v="3"/>
    <n v="11"/>
    <x v="8"/>
    <x v="3"/>
    <n v="641.44000000000005"/>
    <s v="Customer C6170"/>
    <x v="2"/>
    <x v="4"/>
    <n v="2"/>
    <n v="3207.2"/>
  </r>
  <r>
    <x v="963"/>
    <x v="3"/>
    <d v="2025-05-16T00:00:00"/>
    <n v="2025"/>
    <x v="1"/>
    <n v="5"/>
    <x v="1"/>
    <x v="2"/>
    <n v="574.24"/>
    <s v="Customer C6174"/>
    <x v="0"/>
    <x v="3"/>
    <n v="3"/>
    <n v="3445.44"/>
  </r>
  <r>
    <x v="964"/>
    <x v="2"/>
    <d v="2025-04-19T00:00:00"/>
    <n v="2025"/>
    <x v="1"/>
    <n v="4"/>
    <x v="5"/>
    <x v="1"/>
    <n v="247.99"/>
    <s v="Customer C6177"/>
    <x v="0"/>
    <x v="0"/>
    <n v="5"/>
    <n v="743.97"/>
  </r>
  <r>
    <x v="965"/>
    <x v="2"/>
    <d v="2023-08-13T00:00:00"/>
    <n v="2023"/>
    <x v="2"/>
    <n v="8"/>
    <x v="6"/>
    <x v="7"/>
    <n v="277"/>
    <s v="Customer C6181"/>
    <x v="1"/>
    <x v="3"/>
    <n v="4"/>
    <n v="1108"/>
  </r>
  <r>
    <x v="966"/>
    <x v="4"/>
    <d v="2023-09-13T00:00:00"/>
    <n v="2023"/>
    <x v="2"/>
    <n v="9"/>
    <x v="11"/>
    <x v="0"/>
    <n v="159.15"/>
    <s v="Customer C6184"/>
    <x v="1"/>
    <x v="3"/>
    <n v="5"/>
    <n v="1273.2"/>
  </r>
  <r>
    <x v="967"/>
    <x v="2"/>
    <d v="2023-05-16T00:00:00"/>
    <n v="2023"/>
    <x v="1"/>
    <n v="5"/>
    <x v="1"/>
    <x v="7"/>
    <n v="606.28"/>
    <s v="Customer C6194"/>
    <x v="1"/>
    <x v="4"/>
    <n v="5"/>
    <n v="2425.12"/>
  </r>
  <r>
    <x v="968"/>
    <x v="0"/>
    <d v="2023-02-04T00:00:00"/>
    <n v="2023"/>
    <x v="0"/>
    <n v="2"/>
    <x v="9"/>
    <x v="3"/>
    <n v="228.61"/>
    <s v="Customer C6200"/>
    <x v="1"/>
    <x v="2"/>
    <n v="2"/>
    <n v="1143.05"/>
  </r>
  <r>
    <x v="969"/>
    <x v="5"/>
    <d v="2025-02-20T00:00:00"/>
    <n v="2025"/>
    <x v="0"/>
    <n v="2"/>
    <x v="9"/>
    <x v="0"/>
    <n v="204.55"/>
    <s v="Customer C6203"/>
    <x v="2"/>
    <x v="2"/>
    <n v="5"/>
    <n v="1636.4"/>
  </r>
  <r>
    <x v="969"/>
    <x v="6"/>
    <d v="2024-11-28T00:00:00"/>
    <n v="2024"/>
    <x v="3"/>
    <n v="11"/>
    <x v="8"/>
    <x v="2"/>
    <n v="416.2"/>
    <s v="Customer C6203"/>
    <x v="0"/>
    <x v="0"/>
    <n v="3"/>
    <n v="2497.1999999999998"/>
  </r>
  <r>
    <x v="970"/>
    <x v="5"/>
    <d v="2024-06-24T00:00:00"/>
    <n v="2024"/>
    <x v="1"/>
    <n v="6"/>
    <x v="2"/>
    <x v="1"/>
    <n v="414.11"/>
    <s v="Customer C6215"/>
    <x v="0"/>
    <x v="4"/>
    <n v="3"/>
    <n v="1242.33"/>
  </r>
  <r>
    <x v="971"/>
    <x v="5"/>
    <d v="2024-06-08T00:00:00"/>
    <n v="2024"/>
    <x v="1"/>
    <n v="6"/>
    <x v="2"/>
    <x v="6"/>
    <n v="748.02"/>
    <s v="Customer C6218"/>
    <x v="2"/>
    <x v="1"/>
    <n v="4"/>
    <n v="5236.1400000000003"/>
  </r>
  <r>
    <x v="972"/>
    <x v="4"/>
    <d v="2024-01-27T00:00:00"/>
    <n v="2024"/>
    <x v="0"/>
    <n v="1"/>
    <x v="0"/>
    <x v="4"/>
    <n v="75.2"/>
    <s v="Customer C6228"/>
    <x v="2"/>
    <x v="2"/>
    <n v="2"/>
    <n v="75.2"/>
  </r>
  <r>
    <x v="973"/>
    <x v="1"/>
    <d v="2024-08-03T00:00:00"/>
    <n v="2024"/>
    <x v="2"/>
    <n v="8"/>
    <x v="6"/>
    <x v="0"/>
    <n v="401.32"/>
    <s v="Customer C6229"/>
    <x v="0"/>
    <x v="3"/>
    <n v="3"/>
    <n v="3210.56"/>
  </r>
  <r>
    <x v="974"/>
    <x v="0"/>
    <d v="2025-06-21T00:00:00"/>
    <n v="2025"/>
    <x v="1"/>
    <n v="6"/>
    <x v="2"/>
    <x v="6"/>
    <n v="366.22"/>
    <s v="Customer C6231"/>
    <x v="1"/>
    <x v="4"/>
    <n v="3"/>
    <n v="2563.54"/>
  </r>
  <r>
    <x v="975"/>
    <x v="0"/>
    <d v="2023-07-19T00:00:00"/>
    <n v="2023"/>
    <x v="2"/>
    <n v="7"/>
    <x v="3"/>
    <x v="2"/>
    <n v="754.16"/>
    <s v="Customer C6239"/>
    <x v="2"/>
    <x v="4"/>
    <n v="1"/>
    <n v="4524.96"/>
  </r>
  <r>
    <x v="976"/>
    <x v="2"/>
    <d v="2025-01-11T00:00:00"/>
    <n v="2025"/>
    <x v="0"/>
    <n v="1"/>
    <x v="0"/>
    <x v="6"/>
    <n v="615.9"/>
    <s v="Customer C6256"/>
    <x v="1"/>
    <x v="3"/>
    <n v="4"/>
    <n v="4311.3"/>
  </r>
  <r>
    <x v="977"/>
    <x v="4"/>
    <d v="2025-04-05T00:00:00"/>
    <n v="2025"/>
    <x v="1"/>
    <n v="4"/>
    <x v="5"/>
    <x v="0"/>
    <n v="207.35"/>
    <s v="Customer C6267"/>
    <x v="0"/>
    <x v="1"/>
    <n v="5"/>
    <n v="1658.8"/>
  </r>
  <r>
    <x v="978"/>
    <x v="0"/>
    <d v="2024-07-15T00:00:00"/>
    <n v="2024"/>
    <x v="2"/>
    <n v="7"/>
    <x v="3"/>
    <x v="1"/>
    <n v="773.39"/>
    <s v="Customer C6270"/>
    <x v="2"/>
    <x v="2"/>
    <n v="5"/>
    <n v="2320.17"/>
  </r>
  <r>
    <x v="979"/>
    <x v="5"/>
    <d v="2025-05-09T00:00:00"/>
    <n v="2025"/>
    <x v="1"/>
    <n v="5"/>
    <x v="1"/>
    <x v="7"/>
    <n v="708.45"/>
    <s v="Customer C6278"/>
    <x v="2"/>
    <x v="1"/>
    <n v="3"/>
    <n v="2833.8"/>
  </r>
  <r>
    <x v="980"/>
    <x v="5"/>
    <d v="2023-07-29T00:00:00"/>
    <n v="2023"/>
    <x v="2"/>
    <n v="7"/>
    <x v="3"/>
    <x v="2"/>
    <n v="536.55999999999995"/>
    <s v="Customer C6283"/>
    <x v="2"/>
    <x v="1"/>
    <n v="4"/>
    <n v="3219.36"/>
  </r>
  <r>
    <x v="981"/>
    <x v="5"/>
    <d v="2025-05-02T00:00:00"/>
    <n v="2025"/>
    <x v="1"/>
    <n v="5"/>
    <x v="1"/>
    <x v="2"/>
    <n v="428.89"/>
    <s v="Customer C6286"/>
    <x v="2"/>
    <x v="2"/>
    <n v="4"/>
    <n v="2573.34"/>
  </r>
  <r>
    <x v="982"/>
    <x v="6"/>
    <d v="2024-09-15T00:00:00"/>
    <n v="2024"/>
    <x v="2"/>
    <n v="9"/>
    <x v="11"/>
    <x v="4"/>
    <n v="554.09"/>
    <s v="Customer C6288"/>
    <x v="2"/>
    <x v="0"/>
    <n v="1"/>
    <n v="554.09"/>
  </r>
  <r>
    <x v="983"/>
    <x v="1"/>
    <d v="2023-02-24T00:00:00"/>
    <n v="2023"/>
    <x v="0"/>
    <n v="2"/>
    <x v="9"/>
    <x v="7"/>
    <n v="174.7"/>
    <s v="Customer C6296"/>
    <x v="0"/>
    <x v="3"/>
    <n v="1"/>
    <n v="698.8"/>
  </r>
  <r>
    <x v="984"/>
    <x v="1"/>
    <d v="2024-05-03T00:00:00"/>
    <n v="2024"/>
    <x v="1"/>
    <n v="5"/>
    <x v="1"/>
    <x v="6"/>
    <n v="41.71"/>
    <s v="Customer C6301"/>
    <x v="1"/>
    <x v="0"/>
    <n v="5"/>
    <n v="291.97000000000003"/>
  </r>
  <r>
    <x v="985"/>
    <x v="1"/>
    <d v="2025-03-18T00:00:00"/>
    <n v="2025"/>
    <x v="0"/>
    <n v="3"/>
    <x v="10"/>
    <x v="6"/>
    <n v="354.2"/>
    <s v="Customer C6308"/>
    <x v="0"/>
    <x v="3"/>
    <n v="3"/>
    <n v="2479.4"/>
  </r>
  <r>
    <x v="986"/>
    <x v="5"/>
    <d v="2024-08-03T00:00:00"/>
    <n v="2024"/>
    <x v="2"/>
    <n v="8"/>
    <x v="6"/>
    <x v="4"/>
    <n v="82.89"/>
    <s v="Customer C6316"/>
    <x v="2"/>
    <x v="2"/>
    <n v="2"/>
    <n v="82.89"/>
  </r>
  <r>
    <x v="987"/>
    <x v="3"/>
    <d v="2024-12-06T00:00:00"/>
    <n v="2024"/>
    <x v="3"/>
    <n v="12"/>
    <x v="7"/>
    <x v="2"/>
    <n v="360.05"/>
    <s v="Customer C6318"/>
    <x v="2"/>
    <x v="2"/>
    <n v="4"/>
    <n v="2160.3000000000002"/>
  </r>
  <r>
    <x v="988"/>
    <x v="6"/>
    <d v="2025-01-26T00:00:00"/>
    <n v="2025"/>
    <x v="0"/>
    <n v="1"/>
    <x v="0"/>
    <x v="0"/>
    <n v="751.94"/>
    <s v="Customer C6326"/>
    <x v="2"/>
    <x v="2"/>
    <n v="3"/>
    <n v="6015.52"/>
  </r>
  <r>
    <x v="989"/>
    <x v="5"/>
    <d v="2024-02-13T00:00:00"/>
    <n v="2024"/>
    <x v="0"/>
    <n v="2"/>
    <x v="9"/>
    <x v="2"/>
    <n v="295.33999999999997"/>
    <s v="Customer C6341"/>
    <x v="2"/>
    <x v="4"/>
    <n v="3"/>
    <n v="1772.04"/>
  </r>
  <r>
    <x v="990"/>
    <x v="0"/>
    <d v="2024-11-03T00:00:00"/>
    <n v="2024"/>
    <x v="3"/>
    <n v="11"/>
    <x v="8"/>
    <x v="3"/>
    <n v="173.25"/>
    <s v="Customer C6343"/>
    <x v="1"/>
    <x v="0"/>
    <n v="3"/>
    <n v="866.25"/>
  </r>
  <r>
    <x v="991"/>
    <x v="2"/>
    <d v="2024-10-05T00:00:00"/>
    <n v="2024"/>
    <x v="3"/>
    <n v="10"/>
    <x v="4"/>
    <x v="2"/>
    <n v="55.56"/>
    <s v="Customer C6344"/>
    <x v="2"/>
    <x v="4"/>
    <n v="4"/>
    <n v="333.36"/>
  </r>
  <r>
    <x v="992"/>
    <x v="6"/>
    <d v="2024-03-09T00:00:00"/>
    <n v="2024"/>
    <x v="0"/>
    <n v="3"/>
    <x v="10"/>
    <x v="7"/>
    <n v="480.82"/>
    <s v="Customer C6350"/>
    <x v="1"/>
    <x v="1"/>
    <n v="5"/>
    <n v="1923.28"/>
  </r>
  <r>
    <x v="993"/>
    <x v="2"/>
    <d v="2023-02-17T00:00:00"/>
    <n v="2023"/>
    <x v="0"/>
    <n v="2"/>
    <x v="9"/>
    <x v="0"/>
    <n v="357.56"/>
    <s v="Customer C6355"/>
    <x v="0"/>
    <x v="0"/>
    <n v="5"/>
    <n v="2860.48"/>
  </r>
  <r>
    <x v="994"/>
    <x v="4"/>
    <d v="2025-03-24T00:00:00"/>
    <n v="2025"/>
    <x v="0"/>
    <n v="3"/>
    <x v="10"/>
    <x v="3"/>
    <n v="650.99"/>
    <s v="Customer C6372"/>
    <x v="1"/>
    <x v="0"/>
    <n v="3"/>
    <n v="3254.95"/>
  </r>
  <r>
    <x v="995"/>
    <x v="1"/>
    <d v="2023-12-16T00:00:00"/>
    <n v="2023"/>
    <x v="3"/>
    <n v="12"/>
    <x v="7"/>
    <x v="2"/>
    <n v="110"/>
    <s v="Customer C6373"/>
    <x v="1"/>
    <x v="3"/>
    <n v="1"/>
    <n v="660"/>
  </r>
  <r>
    <x v="996"/>
    <x v="2"/>
    <d v="2023-01-14T00:00:00"/>
    <n v="2023"/>
    <x v="0"/>
    <n v="1"/>
    <x v="0"/>
    <x v="7"/>
    <n v="566.23"/>
    <s v="Customer C6377"/>
    <x v="2"/>
    <x v="1"/>
    <n v="3"/>
    <n v="2264.92"/>
  </r>
  <r>
    <x v="997"/>
    <x v="0"/>
    <d v="2023-04-30T00:00:00"/>
    <n v="2023"/>
    <x v="1"/>
    <n v="4"/>
    <x v="5"/>
    <x v="4"/>
    <n v="784.11"/>
    <s v="Customer C6385"/>
    <x v="1"/>
    <x v="4"/>
    <n v="2"/>
    <n v="784.11"/>
  </r>
  <r>
    <x v="998"/>
    <x v="3"/>
    <d v="2023-05-01T00:00:00"/>
    <n v="2023"/>
    <x v="1"/>
    <n v="5"/>
    <x v="1"/>
    <x v="2"/>
    <n v="583.1"/>
    <s v="Customer C6408"/>
    <x v="2"/>
    <x v="2"/>
    <n v="1"/>
    <n v="3498.6"/>
  </r>
  <r>
    <x v="999"/>
    <x v="0"/>
    <d v="2024-07-26T00:00:00"/>
    <n v="2024"/>
    <x v="2"/>
    <n v="7"/>
    <x v="3"/>
    <x v="7"/>
    <n v="223.88"/>
    <s v="Customer C6415"/>
    <x v="1"/>
    <x v="2"/>
    <n v="2"/>
    <n v="895.52"/>
  </r>
  <r>
    <x v="999"/>
    <x v="6"/>
    <d v="2024-10-17T00:00:00"/>
    <n v="2024"/>
    <x v="3"/>
    <n v="10"/>
    <x v="4"/>
    <x v="3"/>
    <n v="689.03"/>
    <s v="Customer C6415"/>
    <x v="2"/>
    <x v="3"/>
    <n v="2"/>
    <n v="3445.15"/>
  </r>
  <r>
    <x v="1000"/>
    <x v="1"/>
    <d v="2025-02-26T00:00:00"/>
    <n v="2025"/>
    <x v="0"/>
    <n v="2"/>
    <x v="9"/>
    <x v="5"/>
    <n v="15.63"/>
    <s v="Customer C6424"/>
    <x v="2"/>
    <x v="1"/>
    <n v="1"/>
    <n v="31.26"/>
  </r>
  <r>
    <x v="1000"/>
    <x v="6"/>
    <d v="2025-05-09T00:00:00"/>
    <n v="2025"/>
    <x v="1"/>
    <n v="5"/>
    <x v="1"/>
    <x v="0"/>
    <n v="507.73"/>
    <s v="Customer C6424"/>
    <x v="2"/>
    <x v="2"/>
    <n v="5"/>
    <n v="4061.84"/>
  </r>
  <r>
    <x v="1001"/>
    <x v="6"/>
    <d v="2023-10-31T00:00:00"/>
    <n v="2023"/>
    <x v="3"/>
    <n v="10"/>
    <x v="4"/>
    <x v="1"/>
    <n v="371.15"/>
    <s v="Customer C6425"/>
    <x v="2"/>
    <x v="0"/>
    <n v="5"/>
    <n v="1113.45"/>
  </r>
  <r>
    <x v="1002"/>
    <x v="2"/>
    <d v="2025-03-23T00:00:00"/>
    <n v="2025"/>
    <x v="0"/>
    <n v="3"/>
    <x v="10"/>
    <x v="3"/>
    <n v="446.59"/>
    <s v="Customer C6426"/>
    <x v="0"/>
    <x v="3"/>
    <n v="2"/>
    <n v="2232.9499999999998"/>
  </r>
  <r>
    <x v="1003"/>
    <x v="2"/>
    <d v="2023-08-08T00:00:00"/>
    <n v="2023"/>
    <x v="2"/>
    <n v="8"/>
    <x v="6"/>
    <x v="2"/>
    <n v="658.7"/>
    <s v="Customer C6431"/>
    <x v="1"/>
    <x v="1"/>
    <n v="2"/>
    <n v="3952.2"/>
  </r>
  <r>
    <x v="1004"/>
    <x v="1"/>
    <d v="2025-03-04T00:00:00"/>
    <n v="2025"/>
    <x v="0"/>
    <n v="3"/>
    <x v="10"/>
    <x v="0"/>
    <n v="549.37"/>
    <s v="Customer C6441"/>
    <x v="1"/>
    <x v="2"/>
    <n v="3"/>
    <n v="4394.96"/>
  </r>
  <r>
    <x v="1005"/>
    <x v="1"/>
    <d v="2024-10-12T00:00:00"/>
    <n v="2024"/>
    <x v="3"/>
    <n v="10"/>
    <x v="4"/>
    <x v="1"/>
    <n v="88.31"/>
    <s v="Customer C6442"/>
    <x v="0"/>
    <x v="0"/>
    <n v="1"/>
    <n v="264.93"/>
  </r>
  <r>
    <x v="1006"/>
    <x v="3"/>
    <d v="2023-08-17T00:00:00"/>
    <n v="2023"/>
    <x v="2"/>
    <n v="8"/>
    <x v="6"/>
    <x v="5"/>
    <n v="58.06"/>
    <s v="Customer C6444"/>
    <x v="1"/>
    <x v="1"/>
    <n v="4"/>
    <n v="116.12"/>
  </r>
  <r>
    <x v="1007"/>
    <x v="1"/>
    <d v="2023-11-09T00:00:00"/>
    <n v="2023"/>
    <x v="3"/>
    <n v="11"/>
    <x v="8"/>
    <x v="7"/>
    <n v="495.76"/>
    <s v="Customer C6458"/>
    <x v="0"/>
    <x v="4"/>
    <n v="5"/>
    <n v="1983.04"/>
  </r>
  <r>
    <x v="1008"/>
    <x v="1"/>
    <d v="2023-11-01T00:00:00"/>
    <n v="2023"/>
    <x v="3"/>
    <n v="11"/>
    <x v="8"/>
    <x v="6"/>
    <n v="568.24"/>
    <s v="Customer C6469"/>
    <x v="2"/>
    <x v="2"/>
    <n v="1"/>
    <n v="3977.68"/>
  </r>
  <r>
    <x v="1009"/>
    <x v="2"/>
    <d v="2024-07-19T00:00:00"/>
    <n v="2024"/>
    <x v="2"/>
    <n v="7"/>
    <x v="3"/>
    <x v="5"/>
    <n v="60.32"/>
    <s v="Customer C6498"/>
    <x v="0"/>
    <x v="4"/>
    <n v="2"/>
    <n v="120.64"/>
  </r>
  <r>
    <x v="1010"/>
    <x v="1"/>
    <d v="2023-04-15T00:00:00"/>
    <n v="2023"/>
    <x v="1"/>
    <n v="4"/>
    <x v="5"/>
    <x v="1"/>
    <n v="483.11"/>
    <s v="Customer C6503"/>
    <x v="0"/>
    <x v="2"/>
    <n v="4"/>
    <n v="1449.33"/>
  </r>
  <r>
    <x v="1011"/>
    <x v="6"/>
    <d v="2024-02-08T00:00:00"/>
    <n v="2024"/>
    <x v="0"/>
    <n v="2"/>
    <x v="9"/>
    <x v="5"/>
    <n v="267.7"/>
    <s v="Customer C6504"/>
    <x v="0"/>
    <x v="0"/>
    <n v="3"/>
    <n v="535.4"/>
  </r>
  <r>
    <x v="1012"/>
    <x v="3"/>
    <d v="2024-08-08T00:00:00"/>
    <n v="2024"/>
    <x v="2"/>
    <n v="8"/>
    <x v="6"/>
    <x v="3"/>
    <n v="129.86000000000001"/>
    <s v="Customer C6514"/>
    <x v="1"/>
    <x v="0"/>
    <n v="3"/>
    <n v="649.29999999999995"/>
  </r>
  <r>
    <x v="1013"/>
    <x v="4"/>
    <d v="2023-11-04T00:00:00"/>
    <n v="2023"/>
    <x v="3"/>
    <n v="11"/>
    <x v="8"/>
    <x v="2"/>
    <n v="548.88"/>
    <s v="Customer C6520"/>
    <x v="0"/>
    <x v="0"/>
    <n v="1"/>
    <n v="3293.28"/>
  </r>
  <r>
    <x v="1014"/>
    <x v="2"/>
    <d v="2025-04-18T00:00:00"/>
    <n v="2025"/>
    <x v="1"/>
    <n v="4"/>
    <x v="5"/>
    <x v="1"/>
    <n v="27.28"/>
    <s v="Customer C6524"/>
    <x v="2"/>
    <x v="4"/>
    <n v="1"/>
    <n v="81.84"/>
  </r>
  <r>
    <x v="1015"/>
    <x v="2"/>
    <d v="2024-10-24T00:00:00"/>
    <n v="2024"/>
    <x v="3"/>
    <n v="10"/>
    <x v="4"/>
    <x v="3"/>
    <n v="42.01"/>
    <s v="Customer C6526"/>
    <x v="2"/>
    <x v="4"/>
    <n v="1"/>
    <n v="210.05"/>
  </r>
  <r>
    <x v="1016"/>
    <x v="5"/>
    <d v="2023-12-31T00:00:00"/>
    <n v="2023"/>
    <x v="3"/>
    <n v="12"/>
    <x v="7"/>
    <x v="3"/>
    <n v="739.34"/>
    <s v="Customer C6539"/>
    <x v="1"/>
    <x v="3"/>
    <n v="2"/>
    <n v="3696.7"/>
  </r>
  <r>
    <x v="1017"/>
    <x v="2"/>
    <d v="2024-08-16T00:00:00"/>
    <n v="2024"/>
    <x v="2"/>
    <n v="8"/>
    <x v="6"/>
    <x v="3"/>
    <n v="388.21"/>
    <s v="Customer C6547"/>
    <x v="2"/>
    <x v="4"/>
    <n v="3"/>
    <n v="1941.05"/>
  </r>
  <r>
    <x v="1018"/>
    <x v="4"/>
    <d v="2023-05-06T00:00:00"/>
    <n v="2023"/>
    <x v="1"/>
    <n v="5"/>
    <x v="1"/>
    <x v="4"/>
    <n v="122.06"/>
    <s v="Customer C6550"/>
    <x v="1"/>
    <x v="2"/>
    <n v="4"/>
    <n v="122.06"/>
  </r>
  <r>
    <x v="1019"/>
    <x v="3"/>
    <d v="2023-01-13T00:00:00"/>
    <n v="2023"/>
    <x v="0"/>
    <n v="1"/>
    <x v="0"/>
    <x v="6"/>
    <n v="113.4"/>
    <s v="Customer C6551"/>
    <x v="1"/>
    <x v="0"/>
    <n v="3"/>
    <n v="793.8"/>
  </r>
  <r>
    <x v="1020"/>
    <x v="1"/>
    <d v="2025-06-18T00:00:00"/>
    <n v="2025"/>
    <x v="1"/>
    <n v="6"/>
    <x v="2"/>
    <x v="4"/>
    <n v="52.44"/>
    <s v="Customer C6559"/>
    <x v="0"/>
    <x v="1"/>
    <n v="5"/>
    <n v="52.44"/>
  </r>
  <r>
    <x v="1021"/>
    <x v="6"/>
    <d v="2024-02-28T00:00:00"/>
    <n v="2024"/>
    <x v="0"/>
    <n v="2"/>
    <x v="9"/>
    <x v="0"/>
    <n v="68.13"/>
    <s v="Customer C6560"/>
    <x v="2"/>
    <x v="2"/>
    <n v="3"/>
    <n v="545.04"/>
  </r>
  <r>
    <x v="1022"/>
    <x v="4"/>
    <d v="2025-06-09T00:00:00"/>
    <n v="2025"/>
    <x v="1"/>
    <n v="6"/>
    <x v="2"/>
    <x v="4"/>
    <n v="697.16"/>
    <s v="Customer C6576"/>
    <x v="2"/>
    <x v="2"/>
    <n v="2"/>
    <n v="697.16"/>
  </r>
  <r>
    <x v="1023"/>
    <x v="2"/>
    <d v="2024-01-07T00:00:00"/>
    <n v="2024"/>
    <x v="0"/>
    <n v="1"/>
    <x v="0"/>
    <x v="4"/>
    <n v="656.2"/>
    <s v="Customer C6584"/>
    <x v="1"/>
    <x v="3"/>
    <n v="4"/>
    <n v="656.2"/>
  </r>
  <r>
    <x v="1024"/>
    <x v="5"/>
    <d v="2023-12-24T00:00:00"/>
    <n v="2023"/>
    <x v="3"/>
    <n v="12"/>
    <x v="7"/>
    <x v="7"/>
    <n v="386.07"/>
    <s v="Customer C6587"/>
    <x v="2"/>
    <x v="0"/>
    <n v="2"/>
    <n v="1544.28"/>
  </r>
  <r>
    <x v="1025"/>
    <x v="6"/>
    <d v="2024-12-06T00:00:00"/>
    <n v="2024"/>
    <x v="3"/>
    <n v="12"/>
    <x v="7"/>
    <x v="5"/>
    <n v="179.16"/>
    <s v="Customer C6591"/>
    <x v="2"/>
    <x v="2"/>
    <n v="3"/>
    <n v="358.32"/>
  </r>
  <r>
    <x v="1026"/>
    <x v="5"/>
    <d v="2023-10-23T00:00:00"/>
    <n v="2023"/>
    <x v="3"/>
    <n v="10"/>
    <x v="4"/>
    <x v="7"/>
    <n v="570.12"/>
    <s v="Customer C6599"/>
    <x v="2"/>
    <x v="4"/>
    <n v="5"/>
    <n v="2280.48"/>
  </r>
  <r>
    <x v="1027"/>
    <x v="5"/>
    <d v="2024-12-11T00:00:00"/>
    <n v="2024"/>
    <x v="3"/>
    <n v="12"/>
    <x v="7"/>
    <x v="4"/>
    <n v="781.99"/>
    <s v="Customer C6600"/>
    <x v="0"/>
    <x v="3"/>
    <n v="3"/>
    <n v="781.99"/>
  </r>
  <r>
    <x v="1028"/>
    <x v="2"/>
    <d v="2023-05-25T00:00:00"/>
    <n v="2023"/>
    <x v="1"/>
    <n v="5"/>
    <x v="1"/>
    <x v="7"/>
    <n v="620.34"/>
    <s v="Customer C6607"/>
    <x v="2"/>
    <x v="0"/>
    <n v="2"/>
    <n v="2481.36"/>
  </r>
  <r>
    <x v="1028"/>
    <x v="4"/>
    <d v="2023-08-09T00:00:00"/>
    <n v="2023"/>
    <x v="2"/>
    <n v="8"/>
    <x v="6"/>
    <x v="5"/>
    <n v="595.6"/>
    <s v="Customer C6607"/>
    <x v="0"/>
    <x v="3"/>
    <n v="5"/>
    <n v="1191.2"/>
  </r>
  <r>
    <x v="1029"/>
    <x v="4"/>
    <d v="2024-03-16T00:00:00"/>
    <n v="2024"/>
    <x v="0"/>
    <n v="3"/>
    <x v="10"/>
    <x v="4"/>
    <n v="463.78"/>
    <s v="Customer C6609"/>
    <x v="2"/>
    <x v="4"/>
    <n v="3"/>
    <n v="463.78"/>
  </r>
  <r>
    <x v="1030"/>
    <x v="0"/>
    <d v="2024-12-21T00:00:00"/>
    <n v="2024"/>
    <x v="3"/>
    <n v="12"/>
    <x v="7"/>
    <x v="3"/>
    <n v="37.74"/>
    <s v="Customer C6614"/>
    <x v="0"/>
    <x v="3"/>
    <n v="5"/>
    <n v="188.7"/>
  </r>
  <r>
    <x v="1031"/>
    <x v="6"/>
    <d v="2023-07-10T00:00:00"/>
    <n v="2023"/>
    <x v="2"/>
    <n v="7"/>
    <x v="3"/>
    <x v="0"/>
    <n v="257.74"/>
    <s v="Customer C6619"/>
    <x v="1"/>
    <x v="4"/>
    <n v="1"/>
    <n v="2061.92"/>
  </r>
  <r>
    <x v="1032"/>
    <x v="1"/>
    <d v="2024-05-31T00:00:00"/>
    <n v="2024"/>
    <x v="1"/>
    <n v="5"/>
    <x v="1"/>
    <x v="3"/>
    <n v="521.72"/>
    <s v="Customer C6620"/>
    <x v="1"/>
    <x v="4"/>
    <n v="2"/>
    <n v="2608.6"/>
  </r>
  <r>
    <x v="1033"/>
    <x v="6"/>
    <d v="2024-01-28T00:00:00"/>
    <n v="2024"/>
    <x v="0"/>
    <n v="1"/>
    <x v="0"/>
    <x v="3"/>
    <n v="251.41"/>
    <s v="Customer C6627"/>
    <x v="0"/>
    <x v="4"/>
    <n v="5"/>
    <n v="1257.05"/>
  </r>
  <r>
    <x v="1034"/>
    <x v="6"/>
    <d v="2025-06-20T00:00:00"/>
    <n v="2025"/>
    <x v="1"/>
    <n v="6"/>
    <x v="2"/>
    <x v="4"/>
    <n v="450.66"/>
    <s v="Customer C6629"/>
    <x v="2"/>
    <x v="0"/>
    <n v="1"/>
    <n v="450.66"/>
  </r>
  <r>
    <x v="1035"/>
    <x v="0"/>
    <d v="2023-04-23T00:00:00"/>
    <n v="2023"/>
    <x v="1"/>
    <n v="4"/>
    <x v="5"/>
    <x v="4"/>
    <n v="358.65"/>
    <s v="Customer C6632"/>
    <x v="1"/>
    <x v="3"/>
    <n v="4"/>
    <n v="358.65"/>
  </r>
  <r>
    <x v="1036"/>
    <x v="0"/>
    <d v="2023-03-07T00:00:00"/>
    <n v="2023"/>
    <x v="0"/>
    <n v="3"/>
    <x v="10"/>
    <x v="2"/>
    <n v="279.77999999999997"/>
    <s v="Customer C6633"/>
    <x v="1"/>
    <x v="1"/>
    <n v="4"/>
    <n v="1678.68"/>
  </r>
  <r>
    <x v="1037"/>
    <x v="2"/>
    <d v="2024-09-20T00:00:00"/>
    <n v="2024"/>
    <x v="2"/>
    <n v="9"/>
    <x v="11"/>
    <x v="7"/>
    <n v="709.04"/>
    <s v="Customer C6636"/>
    <x v="0"/>
    <x v="4"/>
    <n v="2"/>
    <n v="2836.16"/>
  </r>
  <r>
    <x v="1038"/>
    <x v="1"/>
    <d v="2023-07-05T00:00:00"/>
    <n v="2023"/>
    <x v="2"/>
    <n v="7"/>
    <x v="3"/>
    <x v="1"/>
    <n v="611.67999999999995"/>
    <s v="Customer C6643"/>
    <x v="2"/>
    <x v="1"/>
    <n v="3"/>
    <n v="1835.04"/>
  </r>
  <r>
    <x v="1039"/>
    <x v="5"/>
    <d v="2023-03-05T00:00:00"/>
    <n v="2023"/>
    <x v="0"/>
    <n v="3"/>
    <x v="10"/>
    <x v="2"/>
    <n v="411.62"/>
    <s v="Customer C6647"/>
    <x v="2"/>
    <x v="3"/>
    <n v="1"/>
    <n v="2469.7199999999998"/>
  </r>
  <r>
    <x v="1040"/>
    <x v="5"/>
    <d v="2025-04-07T00:00:00"/>
    <n v="2025"/>
    <x v="1"/>
    <n v="4"/>
    <x v="5"/>
    <x v="2"/>
    <n v="46.22"/>
    <s v="Customer C6653"/>
    <x v="1"/>
    <x v="4"/>
    <n v="1"/>
    <n v="277.32"/>
  </r>
  <r>
    <x v="1041"/>
    <x v="1"/>
    <d v="2023-05-16T00:00:00"/>
    <n v="2023"/>
    <x v="1"/>
    <n v="5"/>
    <x v="1"/>
    <x v="2"/>
    <n v="431.45"/>
    <s v="Customer C6671"/>
    <x v="2"/>
    <x v="4"/>
    <n v="5"/>
    <n v="2588.6999999999998"/>
  </r>
  <r>
    <x v="1042"/>
    <x v="6"/>
    <d v="2023-11-22T00:00:00"/>
    <n v="2023"/>
    <x v="3"/>
    <n v="11"/>
    <x v="8"/>
    <x v="3"/>
    <n v="15.54"/>
    <s v="Customer C6675"/>
    <x v="1"/>
    <x v="3"/>
    <n v="5"/>
    <n v="77.7"/>
  </r>
  <r>
    <x v="1043"/>
    <x v="1"/>
    <d v="2024-10-01T00:00:00"/>
    <n v="2024"/>
    <x v="3"/>
    <n v="10"/>
    <x v="4"/>
    <x v="3"/>
    <n v="22.01"/>
    <s v="Customer C6676"/>
    <x v="2"/>
    <x v="4"/>
    <n v="4"/>
    <n v="110.05"/>
  </r>
  <r>
    <x v="1044"/>
    <x v="5"/>
    <d v="2025-04-07T00:00:00"/>
    <n v="2025"/>
    <x v="1"/>
    <n v="4"/>
    <x v="5"/>
    <x v="2"/>
    <n v="60.99"/>
    <s v="Customer C6688"/>
    <x v="0"/>
    <x v="3"/>
    <n v="5"/>
    <n v="365.94"/>
  </r>
  <r>
    <x v="1045"/>
    <x v="3"/>
    <d v="2023-10-31T00:00:00"/>
    <n v="2023"/>
    <x v="3"/>
    <n v="10"/>
    <x v="4"/>
    <x v="4"/>
    <n v="72.25"/>
    <s v="Customer C6695"/>
    <x v="0"/>
    <x v="1"/>
    <n v="2"/>
    <n v="72.25"/>
  </r>
  <r>
    <x v="1046"/>
    <x v="3"/>
    <d v="2024-12-30T00:00:00"/>
    <n v="2024"/>
    <x v="3"/>
    <n v="12"/>
    <x v="7"/>
    <x v="3"/>
    <n v="11.95"/>
    <s v="Customer C6697"/>
    <x v="1"/>
    <x v="0"/>
    <n v="5"/>
    <n v="59.75"/>
  </r>
  <r>
    <x v="1047"/>
    <x v="6"/>
    <d v="2023-04-10T00:00:00"/>
    <n v="2023"/>
    <x v="1"/>
    <n v="4"/>
    <x v="5"/>
    <x v="4"/>
    <n v="770.68"/>
    <s v="Customer C6705"/>
    <x v="2"/>
    <x v="2"/>
    <n v="2"/>
    <n v="770.68"/>
  </r>
  <r>
    <x v="1048"/>
    <x v="4"/>
    <d v="2024-05-24T00:00:00"/>
    <n v="2024"/>
    <x v="1"/>
    <n v="5"/>
    <x v="1"/>
    <x v="0"/>
    <n v="594.75"/>
    <s v="Customer C6707"/>
    <x v="0"/>
    <x v="2"/>
    <n v="5"/>
    <n v="4758"/>
  </r>
  <r>
    <x v="1049"/>
    <x v="1"/>
    <d v="2024-04-15T00:00:00"/>
    <n v="2024"/>
    <x v="1"/>
    <n v="4"/>
    <x v="5"/>
    <x v="7"/>
    <n v="775.29"/>
    <s v="Customer C6723"/>
    <x v="2"/>
    <x v="0"/>
    <n v="5"/>
    <n v="3101.16"/>
  </r>
  <r>
    <x v="1049"/>
    <x v="1"/>
    <d v="2024-11-01T00:00:00"/>
    <n v="2024"/>
    <x v="3"/>
    <n v="11"/>
    <x v="8"/>
    <x v="1"/>
    <n v="85.35"/>
    <s v="Customer C6723"/>
    <x v="0"/>
    <x v="3"/>
    <n v="5"/>
    <n v="256.05"/>
  </r>
  <r>
    <x v="1050"/>
    <x v="0"/>
    <d v="2023-07-17T00:00:00"/>
    <n v="2023"/>
    <x v="2"/>
    <n v="7"/>
    <x v="3"/>
    <x v="0"/>
    <n v="7.01"/>
    <s v="Customer C6726"/>
    <x v="0"/>
    <x v="2"/>
    <n v="1"/>
    <n v="56.08"/>
  </r>
  <r>
    <x v="1051"/>
    <x v="0"/>
    <d v="2023-04-24T00:00:00"/>
    <n v="2023"/>
    <x v="1"/>
    <n v="4"/>
    <x v="5"/>
    <x v="2"/>
    <n v="525.79"/>
    <s v="Customer C6727"/>
    <x v="0"/>
    <x v="0"/>
    <n v="1"/>
    <n v="3154.74"/>
  </r>
  <r>
    <x v="1052"/>
    <x v="2"/>
    <d v="2023-11-25T00:00:00"/>
    <n v="2023"/>
    <x v="3"/>
    <n v="11"/>
    <x v="8"/>
    <x v="1"/>
    <n v="103.61"/>
    <s v="Customer C6729"/>
    <x v="1"/>
    <x v="3"/>
    <n v="4"/>
    <n v="310.83"/>
  </r>
  <r>
    <x v="1053"/>
    <x v="5"/>
    <d v="2023-10-22T00:00:00"/>
    <n v="2023"/>
    <x v="3"/>
    <n v="10"/>
    <x v="4"/>
    <x v="0"/>
    <n v="555.17999999999995"/>
    <s v="Customer C6730"/>
    <x v="1"/>
    <x v="0"/>
    <n v="2"/>
    <n v="4441.4399999999996"/>
  </r>
  <r>
    <x v="1054"/>
    <x v="0"/>
    <d v="2024-10-05T00:00:00"/>
    <n v="2024"/>
    <x v="3"/>
    <n v="10"/>
    <x v="4"/>
    <x v="4"/>
    <n v="91.01"/>
    <s v="Customer C6734"/>
    <x v="0"/>
    <x v="3"/>
    <n v="5"/>
    <n v="91.01"/>
  </r>
  <r>
    <x v="1055"/>
    <x v="1"/>
    <d v="2024-02-20T00:00:00"/>
    <n v="2024"/>
    <x v="0"/>
    <n v="2"/>
    <x v="9"/>
    <x v="6"/>
    <n v="580.99"/>
    <s v="Customer C6735"/>
    <x v="2"/>
    <x v="0"/>
    <n v="1"/>
    <n v="4066.93"/>
  </r>
  <r>
    <x v="1056"/>
    <x v="4"/>
    <d v="2025-03-03T00:00:00"/>
    <n v="2025"/>
    <x v="0"/>
    <n v="3"/>
    <x v="10"/>
    <x v="4"/>
    <n v="264.41000000000003"/>
    <s v="Customer C6737"/>
    <x v="0"/>
    <x v="4"/>
    <n v="3"/>
    <n v="264.41000000000003"/>
  </r>
  <r>
    <x v="1057"/>
    <x v="2"/>
    <d v="2024-04-05T00:00:00"/>
    <n v="2024"/>
    <x v="1"/>
    <n v="4"/>
    <x v="5"/>
    <x v="2"/>
    <n v="220.73"/>
    <s v="Customer C6738"/>
    <x v="2"/>
    <x v="4"/>
    <n v="3"/>
    <n v="1324.38"/>
  </r>
  <r>
    <x v="1058"/>
    <x v="2"/>
    <d v="2024-10-12T00:00:00"/>
    <n v="2024"/>
    <x v="3"/>
    <n v="10"/>
    <x v="4"/>
    <x v="4"/>
    <n v="102.17"/>
    <s v="Customer C6744"/>
    <x v="2"/>
    <x v="0"/>
    <n v="5"/>
    <n v="102.17"/>
  </r>
  <r>
    <x v="1059"/>
    <x v="5"/>
    <d v="2025-06-24T00:00:00"/>
    <n v="2025"/>
    <x v="1"/>
    <n v="6"/>
    <x v="2"/>
    <x v="5"/>
    <n v="330"/>
    <s v="Customer C6753"/>
    <x v="0"/>
    <x v="4"/>
    <n v="2"/>
    <n v="660"/>
  </r>
  <r>
    <x v="1060"/>
    <x v="4"/>
    <d v="2024-01-26T00:00:00"/>
    <n v="2024"/>
    <x v="0"/>
    <n v="1"/>
    <x v="0"/>
    <x v="5"/>
    <n v="722.32"/>
    <s v="Customer C6758"/>
    <x v="0"/>
    <x v="4"/>
    <n v="4"/>
    <n v="1444.64"/>
  </r>
  <r>
    <x v="1061"/>
    <x v="0"/>
    <d v="2023-08-19T00:00:00"/>
    <n v="2023"/>
    <x v="2"/>
    <n v="8"/>
    <x v="6"/>
    <x v="7"/>
    <n v="601.41999999999996"/>
    <s v="Customer C6759"/>
    <x v="1"/>
    <x v="2"/>
    <n v="1"/>
    <n v="2405.6799999999998"/>
  </r>
  <r>
    <x v="1062"/>
    <x v="0"/>
    <d v="2024-07-16T00:00:00"/>
    <n v="2024"/>
    <x v="2"/>
    <n v="7"/>
    <x v="3"/>
    <x v="1"/>
    <n v="279.64999999999998"/>
    <s v="Customer C6767"/>
    <x v="0"/>
    <x v="3"/>
    <n v="1"/>
    <n v="838.95"/>
  </r>
  <r>
    <x v="1063"/>
    <x v="4"/>
    <d v="2024-04-03T00:00:00"/>
    <n v="2024"/>
    <x v="1"/>
    <n v="4"/>
    <x v="5"/>
    <x v="4"/>
    <n v="160.57"/>
    <s v="Customer C6776"/>
    <x v="1"/>
    <x v="1"/>
    <n v="5"/>
    <n v="160.57"/>
  </r>
  <r>
    <x v="1063"/>
    <x v="1"/>
    <d v="2023-08-19T00:00:00"/>
    <n v="2023"/>
    <x v="2"/>
    <n v="8"/>
    <x v="6"/>
    <x v="5"/>
    <n v="756.25"/>
    <s v="Customer C6776"/>
    <x v="2"/>
    <x v="2"/>
    <n v="5"/>
    <n v="1512.5"/>
  </r>
  <r>
    <x v="1064"/>
    <x v="4"/>
    <d v="2024-11-08T00:00:00"/>
    <n v="2024"/>
    <x v="3"/>
    <n v="11"/>
    <x v="8"/>
    <x v="1"/>
    <n v="244.2"/>
    <s v="Customer C6777"/>
    <x v="1"/>
    <x v="3"/>
    <n v="1"/>
    <n v="732.6"/>
  </r>
  <r>
    <x v="1064"/>
    <x v="1"/>
    <d v="2024-11-04T00:00:00"/>
    <n v="2024"/>
    <x v="3"/>
    <n v="11"/>
    <x v="8"/>
    <x v="4"/>
    <n v="693.07"/>
    <s v="Customer C6777"/>
    <x v="1"/>
    <x v="3"/>
    <n v="3"/>
    <n v="693.07"/>
  </r>
  <r>
    <x v="1065"/>
    <x v="4"/>
    <d v="2024-10-15T00:00:00"/>
    <n v="2024"/>
    <x v="3"/>
    <n v="10"/>
    <x v="4"/>
    <x v="2"/>
    <n v="43.52"/>
    <s v="Customer C6780"/>
    <x v="1"/>
    <x v="1"/>
    <n v="5"/>
    <n v="261.12"/>
  </r>
  <r>
    <x v="1066"/>
    <x v="3"/>
    <d v="2025-02-18T00:00:00"/>
    <n v="2025"/>
    <x v="0"/>
    <n v="2"/>
    <x v="9"/>
    <x v="3"/>
    <n v="339.15"/>
    <s v="Customer C6781"/>
    <x v="1"/>
    <x v="1"/>
    <n v="2"/>
    <n v="1695.75"/>
  </r>
  <r>
    <x v="1067"/>
    <x v="3"/>
    <d v="2023-04-14T00:00:00"/>
    <n v="2023"/>
    <x v="1"/>
    <n v="4"/>
    <x v="5"/>
    <x v="5"/>
    <n v="524.03"/>
    <s v="Customer C6785"/>
    <x v="0"/>
    <x v="4"/>
    <n v="4"/>
    <n v="1048.06"/>
  </r>
  <r>
    <x v="1068"/>
    <x v="4"/>
    <d v="2023-08-01T00:00:00"/>
    <n v="2023"/>
    <x v="2"/>
    <n v="8"/>
    <x v="6"/>
    <x v="2"/>
    <n v="633.4"/>
    <s v="Customer C6789"/>
    <x v="0"/>
    <x v="0"/>
    <n v="2"/>
    <n v="3800.4"/>
  </r>
  <r>
    <x v="1069"/>
    <x v="5"/>
    <d v="2024-10-07T00:00:00"/>
    <n v="2024"/>
    <x v="3"/>
    <n v="10"/>
    <x v="4"/>
    <x v="0"/>
    <n v="129.57"/>
    <s v="Customer C6802"/>
    <x v="1"/>
    <x v="1"/>
    <n v="5"/>
    <n v="1036.56"/>
  </r>
  <r>
    <x v="1070"/>
    <x v="6"/>
    <d v="2023-05-06T00:00:00"/>
    <n v="2023"/>
    <x v="1"/>
    <n v="5"/>
    <x v="1"/>
    <x v="0"/>
    <n v="301.75"/>
    <s v="Customer C6805"/>
    <x v="1"/>
    <x v="1"/>
    <n v="3"/>
    <n v="2414"/>
  </r>
  <r>
    <x v="1071"/>
    <x v="5"/>
    <d v="2024-07-19T00:00:00"/>
    <n v="2024"/>
    <x v="2"/>
    <n v="7"/>
    <x v="3"/>
    <x v="0"/>
    <n v="154.93"/>
    <s v="Customer C6807"/>
    <x v="0"/>
    <x v="3"/>
    <n v="1"/>
    <n v="1239.44"/>
  </r>
  <r>
    <x v="1071"/>
    <x v="3"/>
    <d v="2025-01-05T00:00:00"/>
    <n v="2025"/>
    <x v="0"/>
    <n v="1"/>
    <x v="0"/>
    <x v="2"/>
    <n v="139.58000000000001"/>
    <s v="Customer C6807"/>
    <x v="2"/>
    <x v="4"/>
    <n v="4"/>
    <n v="837.48"/>
  </r>
  <r>
    <x v="1072"/>
    <x v="0"/>
    <d v="2024-10-21T00:00:00"/>
    <n v="2024"/>
    <x v="3"/>
    <n v="10"/>
    <x v="4"/>
    <x v="4"/>
    <n v="531.54"/>
    <s v="Customer C6809"/>
    <x v="2"/>
    <x v="0"/>
    <n v="1"/>
    <n v="531.54"/>
  </r>
  <r>
    <x v="1073"/>
    <x v="2"/>
    <d v="2024-04-12T00:00:00"/>
    <n v="2024"/>
    <x v="1"/>
    <n v="4"/>
    <x v="5"/>
    <x v="0"/>
    <n v="152.71"/>
    <s v="Customer C6812"/>
    <x v="0"/>
    <x v="0"/>
    <n v="4"/>
    <n v="1221.68"/>
  </r>
  <r>
    <x v="1074"/>
    <x v="5"/>
    <d v="2025-06-28T00:00:00"/>
    <n v="2025"/>
    <x v="1"/>
    <n v="6"/>
    <x v="2"/>
    <x v="3"/>
    <n v="375.93"/>
    <s v="Customer C6826"/>
    <x v="1"/>
    <x v="0"/>
    <n v="2"/>
    <n v="1879.65"/>
  </r>
  <r>
    <x v="1075"/>
    <x v="5"/>
    <d v="2023-02-01T00:00:00"/>
    <n v="2023"/>
    <x v="0"/>
    <n v="2"/>
    <x v="9"/>
    <x v="7"/>
    <n v="14.21"/>
    <s v="Customer C6835"/>
    <x v="1"/>
    <x v="1"/>
    <n v="3"/>
    <n v="56.84"/>
  </r>
  <r>
    <x v="1076"/>
    <x v="3"/>
    <d v="2024-10-08T00:00:00"/>
    <n v="2024"/>
    <x v="3"/>
    <n v="10"/>
    <x v="4"/>
    <x v="1"/>
    <n v="77.41"/>
    <s v="Customer C6836"/>
    <x v="0"/>
    <x v="0"/>
    <n v="1"/>
    <n v="232.23"/>
  </r>
  <r>
    <x v="1077"/>
    <x v="2"/>
    <d v="2023-02-10T00:00:00"/>
    <n v="2023"/>
    <x v="0"/>
    <n v="2"/>
    <x v="9"/>
    <x v="6"/>
    <n v="710.8"/>
    <s v="Customer C6843"/>
    <x v="0"/>
    <x v="0"/>
    <n v="1"/>
    <n v="4975.6000000000004"/>
  </r>
  <r>
    <x v="1078"/>
    <x v="4"/>
    <d v="2023-12-10T00:00:00"/>
    <n v="2023"/>
    <x v="3"/>
    <n v="12"/>
    <x v="7"/>
    <x v="4"/>
    <n v="766.75"/>
    <s v="Customer C6852"/>
    <x v="1"/>
    <x v="4"/>
    <n v="4"/>
    <n v="766.75"/>
  </r>
  <r>
    <x v="1079"/>
    <x v="0"/>
    <d v="2023-05-27T00:00:00"/>
    <n v="2023"/>
    <x v="1"/>
    <n v="5"/>
    <x v="1"/>
    <x v="5"/>
    <n v="541.28"/>
    <s v="Customer C6871"/>
    <x v="0"/>
    <x v="0"/>
    <n v="3"/>
    <n v="1082.56"/>
  </r>
  <r>
    <x v="1079"/>
    <x v="6"/>
    <d v="2024-05-17T00:00:00"/>
    <n v="2024"/>
    <x v="1"/>
    <n v="5"/>
    <x v="1"/>
    <x v="2"/>
    <n v="450.3"/>
    <s v="Customer C6871"/>
    <x v="2"/>
    <x v="2"/>
    <n v="1"/>
    <n v="2701.8"/>
  </r>
  <r>
    <x v="1080"/>
    <x v="1"/>
    <d v="2025-01-03T00:00:00"/>
    <n v="2025"/>
    <x v="0"/>
    <n v="1"/>
    <x v="0"/>
    <x v="4"/>
    <n v="12.7"/>
    <s v="Customer C6873"/>
    <x v="1"/>
    <x v="3"/>
    <n v="1"/>
    <n v="12.7"/>
  </r>
  <r>
    <x v="1081"/>
    <x v="3"/>
    <d v="2024-08-27T00:00:00"/>
    <n v="2024"/>
    <x v="2"/>
    <n v="8"/>
    <x v="6"/>
    <x v="2"/>
    <n v="793.19"/>
    <s v="Customer C6883"/>
    <x v="0"/>
    <x v="4"/>
    <n v="1"/>
    <n v="4759.1400000000003"/>
  </r>
  <r>
    <x v="1082"/>
    <x v="4"/>
    <d v="2025-06-09T00:00:00"/>
    <n v="2025"/>
    <x v="1"/>
    <n v="6"/>
    <x v="2"/>
    <x v="0"/>
    <n v="253.18"/>
    <s v="Customer C6898"/>
    <x v="1"/>
    <x v="4"/>
    <n v="4"/>
    <n v="2025.44"/>
  </r>
  <r>
    <x v="1083"/>
    <x v="6"/>
    <d v="2023-12-22T00:00:00"/>
    <n v="2023"/>
    <x v="3"/>
    <n v="12"/>
    <x v="7"/>
    <x v="6"/>
    <n v="375"/>
    <s v="Customer C6901"/>
    <x v="2"/>
    <x v="2"/>
    <n v="4"/>
    <n v="2625"/>
  </r>
  <r>
    <x v="1084"/>
    <x v="4"/>
    <d v="2024-10-26T00:00:00"/>
    <n v="2024"/>
    <x v="3"/>
    <n v="10"/>
    <x v="4"/>
    <x v="5"/>
    <n v="271.44"/>
    <s v="Customer C6903"/>
    <x v="2"/>
    <x v="2"/>
    <n v="5"/>
    <n v="542.88"/>
  </r>
  <r>
    <x v="1085"/>
    <x v="2"/>
    <d v="2023-05-09T00:00:00"/>
    <n v="2023"/>
    <x v="1"/>
    <n v="5"/>
    <x v="1"/>
    <x v="4"/>
    <n v="259.45"/>
    <s v="Customer C6915"/>
    <x v="0"/>
    <x v="2"/>
    <n v="4"/>
    <n v="259.45"/>
  </r>
  <r>
    <x v="1086"/>
    <x v="2"/>
    <d v="2023-08-22T00:00:00"/>
    <n v="2023"/>
    <x v="2"/>
    <n v="8"/>
    <x v="6"/>
    <x v="4"/>
    <n v="521.99"/>
    <s v="Customer C6918"/>
    <x v="2"/>
    <x v="1"/>
    <n v="5"/>
    <n v="521.99"/>
  </r>
  <r>
    <x v="1087"/>
    <x v="3"/>
    <d v="2024-01-22T00:00:00"/>
    <n v="2024"/>
    <x v="0"/>
    <n v="1"/>
    <x v="0"/>
    <x v="7"/>
    <n v="657.75"/>
    <s v="Customer C6921"/>
    <x v="1"/>
    <x v="1"/>
    <n v="1"/>
    <n v="2631"/>
  </r>
  <r>
    <x v="1088"/>
    <x v="4"/>
    <d v="2024-09-15T00:00:00"/>
    <n v="2024"/>
    <x v="2"/>
    <n v="9"/>
    <x v="11"/>
    <x v="4"/>
    <n v="349.98"/>
    <s v="Customer C6942"/>
    <x v="1"/>
    <x v="4"/>
    <n v="4"/>
    <n v="349.98"/>
  </r>
  <r>
    <x v="1089"/>
    <x v="6"/>
    <d v="2023-03-01T00:00:00"/>
    <n v="2023"/>
    <x v="0"/>
    <n v="3"/>
    <x v="10"/>
    <x v="1"/>
    <n v="30.16"/>
    <s v="Customer C6953"/>
    <x v="0"/>
    <x v="2"/>
    <n v="1"/>
    <n v="90.48"/>
  </r>
  <r>
    <x v="1090"/>
    <x v="4"/>
    <d v="2024-04-21T00:00:00"/>
    <n v="2024"/>
    <x v="1"/>
    <n v="4"/>
    <x v="5"/>
    <x v="4"/>
    <n v="99.7"/>
    <s v="Customer C6979"/>
    <x v="1"/>
    <x v="2"/>
    <n v="4"/>
    <n v="99.7"/>
  </r>
  <r>
    <x v="1091"/>
    <x v="4"/>
    <d v="2025-05-21T00:00:00"/>
    <n v="2025"/>
    <x v="1"/>
    <n v="5"/>
    <x v="1"/>
    <x v="5"/>
    <n v="594.86"/>
    <s v="Customer C6982"/>
    <x v="2"/>
    <x v="4"/>
    <n v="4"/>
    <n v="1189.72"/>
  </r>
  <r>
    <x v="1092"/>
    <x v="0"/>
    <d v="2024-08-02T00:00:00"/>
    <n v="2024"/>
    <x v="2"/>
    <n v="8"/>
    <x v="6"/>
    <x v="5"/>
    <n v="132.49"/>
    <s v="Customer C6985"/>
    <x v="0"/>
    <x v="4"/>
    <n v="4"/>
    <n v="264.98"/>
  </r>
  <r>
    <x v="1093"/>
    <x v="5"/>
    <d v="2023-05-20T00:00:00"/>
    <n v="2023"/>
    <x v="1"/>
    <n v="5"/>
    <x v="1"/>
    <x v="1"/>
    <n v="63.43"/>
    <s v="Customer C6992"/>
    <x v="1"/>
    <x v="4"/>
    <n v="2"/>
    <n v="190.29"/>
  </r>
  <r>
    <x v="1094"/>
    <x v="2"/>
    <d v="2024-11-07T00:00:00"/>
    <n v="2024"/>
    <x v="3"/>
    <n v="11"/>
    <x v="8"/>
    <x v="3"/>
    <n v="536.15"/>
    <s v="Customer C6997"/>
    <x v="1"/>
    <x v="2"/>
    <n v="2"/>
    <n v="2680.75"/>
  </r>
  <r>
    <x v="1095"/>
    <x v="0"/>
    <d v="2024-06-15T00:00:00"/>
    <n v="2024"/>
    <x v="1"/>
    <n v="6"/>
    <x v="2"/>
    <x v="3"/>
    <n v="448.93"/>
    <s v="Customer C7004"/>
    <x v="2"/>
    <x v="2"/>
    <n v="1"/>
    <n v="2244.65"/>
  </r>
  <r>
    <x v="1096"/>
    <x v="3"/>
    <d v="2024-06-17T00:00:00"/>
    <n v="2024"/>
    <x v="1"/>
    <n v="6"/>
    <x v="2"/>
    <x v="6"/>
    <n v="612.41"/>
    <s v="Customer C7009"/>
    <x v="2"/>
    <x v="3"/>
    <n v="5"/>
    <n v="4286.87"/>
  </r>
  <r>
    <x v="1097"/>
    <x v="4"/>
    <d v="2024-07-26T00:00:00"/>
    <n v="2024"/>
    <x v="2"/>
    <n v="7"/>
    <x v="3"/>
    <x v="2"/>
    <n v="244.4"/>
    <s v="Customer C7015"/>
    <x v="1"/>
    <x v="4"/>
    <n v="2"/>
    <n v="1466.4"/>
  </r>
  <r>
    <x v="1098"/>
    <x v="3"/>
    <d v="2023-12-14T00:00:00"/>
    <n v="2023"/>
    <x v="3"/>
    <n v="12"/>
    <x v="7"/>
    <x v="1"/>
    <n v="49.19"/>
    <s v="Customer C7016"/>
    <x v="0"/>
    <x v="4"/>
    <n v="5"/>
    <n v="147.57"/>
  </r>
  <r>
    <x v="1099"/>
    <x v="0"/>
    <d v="2025-06-29T00:00:00"/>
    <n v="2025"/>
    <x v="1"/>
    <n v="6"/>
    <x v="2"/>
    <x v="4"/>
    <n v="626.28"/>
    <s v="Customer C7027"/>
    <x v="2"/>
    <x v="4"/>
    <n v="3"/>
    <n v="626.28"/>
  </r>
  <r>
    <x v="1099"/>
    <x v="0"/>
    <d v="2024-12-13T00:00:00"/>
    <n v="2024"/>
    <x v="3"/>
    <n v="12"/>
    <x v="7"/>
    <x v="5"/>
    <n v="155.1"/>
    <s v="Customer C7027"/>
    <x v="0"/>
    <x v="4"/>
    <n v="1"/>
    <n v="310.2"/>
  </r>
  <r>
    <x v="1100"/>
    <x v="4"/>
    <d v="2023-09-01T00:00:00"/>
    <n v="2023"/>
    <x v="2"/>
    <n v="9"/>
    <x v="11"/>
    <x v="5"/>
    <n v="742.51"/>
    <s v="Customer C7031"/>
    <x v="2"/>
    <x v="3"/>
    <n v="2"/>
    <n v="1485.02"/>
  </r>
  <r>
    <x v="1101"/>
    <x v="0"/>
    <d v="2024-08-22T00:00:00"/>
    <n v="2024"/>
    <x v="2"/>
    <n v="8"/>
    <x v="6"/>
    <x v="6"/>
    <n v="233.93"/>
    <s v="Customer C7038"/>
    <x v="1"/>
    <x v="0"/>
    <n v="3"/>
    <n v="1637.51"/>
  </r>
  <r>
    <x v="1101"/>
    <x v="6"/>
    <d v="2023-06-03T00:00:00"/>
    <n v="2023"/>
    <x v="1"/>
    <n v="6"/>
    <x v="2"/>
    <x v="7"/>
    <n v="210.3"/>
    <s v="Customer C7038"/>
    <x v="1"/>
    <x v="2"/>
    <n v="1"/>
    <n v="841.2"/>
  </r>
  <r>
    <x v="1102"/>
    <x v="4"/>
    <d v="2023-01-20T00:00:00"/>
    <n v="2023"/>
    <x v="0"/>
    <n v="1"/>
    <x v="0"/>
    <x v="7"/>
    <n v="375.05"/>
    <s v="Customer C7045"/>
    <x v="2"/>
    <x v="3"/>
    <n v="3"/>
    <n v="1500.2"/>
  </r>
  <r>
    <x v="1103"/>
    <x v="6"/>
    <d v="2024-06-13T00:00:00"/>
    <n v="2024"/>
    <x v="1"/>
    <n v="6"/>
    <x v="2"/>
    <x v="6"/>
    <n v="741.81"/>
    <s v="Customer C7046"/>
    <x v="1"/>
    <x v="4"/>
    <n v="4"/>
    <n v="5192.67"/>
  </r>
  <r>
    <x v="1104"/>
    <x v="3"/>
    <d v="2025-05-19T00:00:00"/>
    <n v="2025"/>
    <x v="1"/>
    <n v="5"/>
    <x v="1"/>
    <x v="6"/>
    <n v="237.3"/>
    <s v="Customer C7052"/>
    <x v="0"/>
    <x v="0"/>
    <n v="3"/>
    <n v="1661.1"/>
  </r>
  <r>
    <x v="1105"/>
    <x v="2"/>
    <d v="2025-05-20T00:00:00"/>
    <n v="2025"/>
    <x v="1"/>
    <n v="5"/>
    <x v="1"/>
    <x v="1"/>
    <n v="539.44000000000005"/>
    <s v="Customer C7058"/>
    <x v="1"/>
    <x v="4"/>
    <n v="1"/>
    <n v="1618.32"/>
  </r>
  <r>
    <x v="1105"/>
    <x v="0"/>
    <d v="2024-09-28T00:00:00"/>
    <n v="2024"/>
    <x v="2"/>
    <n v="9"/>
    <x v="11"/>
    <x v="4"/>
    <n v="539.66999999999996"/>
    <s v="Customer C7058"/>
    <x v="2"/>
    <x v="0"/>
    <n v="3"/>
    <n v="539.66999999999996"/>
  </r>
  <r>
    <x v="1106"/>
    <x v="6"/>
    <d v="2023-07-26T00:00:00"/>
    <n v="2023"/>
    <x v="2"/>
    <n v="7"/>
    <x v="3"/>
    <x v="7"/>
    <n v="575.29"/>
    <s v="Customer C7065"/>
    <x v="0"/>
    <x v="4"/>
    <n v="2"/>
    <n v="2301.16"/>
  </r>
  <r>
    <x v="1107"/>
    <x v="5"/>
    <d v="2024-06-12T00:00:00"/>
    <n v="2024"/>
    <x v="1"/>
    <n v="6"/>
    <x v="2"/>
    <x v="2"/>
    <n v="370.95"/>
    <s v="Customer C7069"/>
    <x v="2"/>
    <x v="1"/>
    <n v="4"/>
    <n v="2225.6999999999998"/>
  </r>
  <r>
    <x v="1108"/>
    <x v="6"/>
    <d v="2024-01-03T00:00:00"/>
    <n v="2024"/>
    <x v="0"/>
    <n v="1"/>
    <x v="0"/>
    <x v="2"/>
    <n v="475.09"/>
    <s v="Customer C7071"/>
    <x v="1"/>
    <x v="0"/>
    <n v="4"/>
    <n v="2850.54"/>
  </r>
  <r>
    <x v="1109"/>
    <x v="3"/>
    <d v="2025-05-03T00:00:00"/>
    <n v="2025"/>
    <x v="1"/>
    <n v="5"/>
    <x v="1"/>
    <x v="1"/>
    <n v="180.86"/>
    <s v="Customer C7089"/>
    <x v="2"/>
    <x v="4"/>
    <n v="3"/>
    <n v="542.58000000000004"/>
  </r>
  <r>
    <x v="1110"/>
    <x v="2"/>
    <d v="2024-02-22T00:00:00"/>
    <n v="2024"/>
    <x v="0"/>
    <n v="2"/>
    <x v="9"/>
    <x v="1"/>
    <n v="239.55"/>
    <s v="Customer C7102"/>
    <x v="2"/>
    <x v="0"/>
    <n v="4"/>
    <n v="718.65"/>
  </r>
  <r>
    <x v="1111"/>
    <x v="4"/>
    <d v="2024-09-08T00:00:00"/>
    <n v="2024"/>
    <x v="2"/>
    <n v="9"/>
    <x v="11"/>
    <x v="7"/>
    <n v="621.19000000000005"/>
    <s v="Customer C7107"/>
    <x v="1"/>
    <x v="2"/>
    <n v="1"/>
    <n v="2484.7600000000002"/>
  </r>
  <r>
    <x v="1112"/>
    <x v="4"/>
    <d v="2025-03-29T00:00:00"/>
    <n v="2025"/>
    <x v="0"/>
    <n v="3"/>
    <x v="10"/>
    <x v="6"/>
    <n v="177.44"/>
    <s v="Customer C7108"/>
    <x v="1"/>
    <x v="3"/>
    <n v="3"/>
    <n v="1242.08"/>
  </r>
  <r>
    <x v="1113"/>
    <x v="2"/>
    <d v="2023-07-04T00:00:00"/>
    <n v="2023"/>
    <x v="2"/>
    <n v="7"/>
    <x v="3"/>
    <x v="1"/>
    <n v="765.71"/>
    <s v="Customer C7113"/>
    <x v="1"/>
    <x v="0"/>
    <n v="2"/>
    <n v="2297.13"/>
  </r>
  <r>
    <x v="1114"/>
    <x v="4"/>
    <d v="2024-12-22T00:00:00"/>
    <n v="2024"/>
    <x v="3"/>
    <n v="12"/>
    <x v="7"/>
    <x v="0"/>
    <n v="171.58"/>
    <s v="Customer C7115"/>
    <x v="0"/>
    <x v="2"/>
    <n v="4"/>
    <n v="1372.64"/>
  </r>
  <r>
    <x v="1115"/>
    <x v="5"/>
    <d v="2023-05-25T00:00:00"/>
    <n v="2023"/>
    <x v="1"/>
    <n v="5"/>
    <x v="1"/>
    <x v="2"/>
    <n v="31.97"/>
    <s v="Customer C7118"/>
    <x v="0"/>
    <x v="2"/>
    <n v="1"/>
    <n v="191.82"/>
  </r>
  <r>
    <x v="1116"/>
    <x v="1"/>
    <d v="2024-06-29T00:00:00"/>
    <n v="2024"/>
    <x v="1"/>
    <n v="6"/>
    <x v="2"/>
    <x v="7"/>
    <n v="661.91"/>
    <s v="Customer C7122"/>
    <x v="2"/>
    <x v="2"/>
    <n v="2"/>
    <n v="2647.64"/>
  </r>
  <r>
    <x v="1117"/>
    <x v="2"/>
    <d v="2025-01-16T00:00:00"/>
    <n v="2025"/>
    <x v="0"/>
    <n v="1"/>
    <x v="0"/>
    <x v="3"/>
    <n v="69.94"/>
    <s v="Customer C7132"/>
    <x v="2"/>
    <x v="4"/>
    <n v="1"/>
    <n v="349.7"/>
  </r>
  <r>
    <x v="1118"/>
    <x v="6"/>
    <d v="2023-09-02T00:00:00"/>
    <n v="2023"/>
    <x v="2"/>
    <n v="9"/>
    <x v="11"/>
    <x v="0"/>
    <n v="242.59"/>
    <s v="Customer C7143"/>
    <x v="0"/>
    <x v="4"/>
    <n v="3"/>
    <n v="1940.72"/>
  </r>
  <r>
    <x v="1119"/>
    <x v="1"/>
    <d v="2023-05-31T00:00:00"/>
    <n v="2023"/>
    <x v="1"/>
    <n v="5"/>
    <x v="1"/>
    <x v="4"/>
    <n v="530.29"/>
    <s v="Customer C7147"/>
    <x v="1"/>
    <x v="1"/>
    <n v="4"/>
    <n v="530.29"/>
  </r>
  <r>
    <x v="1120"/>
    <x v="4"/>
    <d v="2023-07-31T00:00:00"/>
    <n v="2023"/>
    <x v="2"/>
    <n v="7"/>
    <x v="3"/>
    <x v="2"/>
    <n v="553.39"/>
    <s v="Customer C7149"/>
    <x v="0"/>
    <x v="2"/>
    <n v="1"/>
    <n v="3320.34"/>
  </r>
  <r>
    <x v="1121"/>
    <x v="5"/>
    <d v="2023-11-21T00:00:00"/>
    <n v="2023"/>
    <x v="3"/>
    <n v="11"/>
    <x v="8"/>
    <x v="4"/>
    <n v="139.83000000000001"/>
    <s v="Customer C7152"/>
    <x v="2"/>
    <x v="1"/>
    <n v="5"/>
    <n v="139.83000000000001"/>
  </r>
  <r>
    <x v="1122"/>
    <x v="4"/>
    <d v="2024-09-26T00:00:00"/>
    <n v="2024"/>
    <x v="2"/>
    <n v="9"/>
    <x v="11"/>
    <x v="7"/>
    <n v="733.97"/>
    <s v="Customer C7153"/>
    <x v="0"/>
    <x v="0"/>
    <n v="5"/>
    <n v="2935.88"/>
  </r>
  <r>
    <x v="1123"/>
    <x v="0"/>
    <d v="2025-05-27T00:00:00"/>
    <n v="2025"/>
    <x v="1"/>
    <n v="5"/>
    <x v="1"/>
    <x v="1"/>
    <n v="109.9"/>
    <s v="Customer C7155"/>
    <x v="1"/>
    <x v="0"/>
    <n v="1"/>
    <n v="329.7"/>
  </r>
  <r>
    <x v="1124"/>
    <x v="2"/>
    <d v="2023-12-12T00:00:00"/>
    <n v="2023"/>
    <x v="3"/>
    <n v="12"/>
    <x v="7"/>
    <x v="3"/>
    <n v="739.13"/>
    <s v="Customer C7163"/>
    <x v="0"/>
    <x v="1"/>
    <n v="4"/>
    <n v="3695.65"/>
  </r>
  <r>
    <x v="1125"/>
    <x v="1"/>
    <d v="2023-08-15T00:00:00"/>
    <n v="2023"/>
    <x v="2"/>
    <n v="8"/>
    <x v="6"/>
    <x v="2"/>
    <n v="338.59"/>
    <s v="Customer C7167"/>
    <x v="2"/>
    <x v="3"/>
    <n v="3"/>
    <n v="2031.54"/>
  </r>
  <r>
    <x v="1126"/>
    <x v="6"/>
    <d v="2024-05-11T00:00:00"/>
    <n v="2024"/>
    <x v="1"/>
    <n v="5"/>
    <x v="1"/>
    <x v="3"/>
    <n v="432.75"/>
    <s v="Customer C7175"/>
    <x v="2"/>
    <x v="3"/>
    <n v="5"/>
    <n v="2163.75"/>
  </r>
  <r>
    <x v="1127"/>
    <x v="0"/>
    <d v="2023-09-30T00:00:00"/>
    <n v="2023"/>
    <x v="2"/>
    <n v="9"/>
    <x v="11"/>
    <x v="7"/>
    <n v="56.84"/>
    <s v="Customer C7183"/>
    <x v="1"/>
    <x v="4"/>
    <n v="4"/>
    <n v="227.36"/>
  </r>
  <r>
    <x v="1128"/>
    <x v="3"/>
    <d v="2025-04-13T00:00:00"/>
    <n v="2025"/>
    <x v="1"/>
    <n v="4"/>
    <x v="5"/>
    <x v="6"/>
    <n v="699.99"/>
    <s v="Customer C7184"/>
    <x v="2"/>
    <x v="1"/>
    <n v="4"/>
    <n v="4899.93"/>
  </r>
  <r>
    <x v="1129"/>
    <x v="3"/>
    <d v="2024-07-26T00:00:00"/>
    <n v="2024"/>
    <x v="2"/>
    <n v="7"/>
    <x v="3"/>
    <x v="1"/>
    <n v="516.73"/>
    <s v="Customer C7185"/>
    <x v="2"/>
    <x v="2"/>
    <n v="5"/>
    <n v="1550.19"/>
  </r>
  <r>
    <x v="1130"/>
    <x v="1"/>
    <d v="2023-08-22T00:00:00"/>
    <n v="2023"/>
    <x v="2"/>
    <n v="8"/>
    <x v="6"/>
    <x v="0"/>
    <n v="439.21"/>
    <s v="Customer C7194"/>
    <x v="2"/>
    <x v="1"/>
    <n v="3"/>
    <n v="3513.68"/>
  </r>
  <r>
    <x v="1131"/>
    <x v="1"/>
    <d v="2024-12-26T00:00:00"/>
    <n v="2024"/>
    <x v="3"/>
    <n v="12"/>
    <x v="7"/>
    <x v="0"/>
    <n v="90.3"/>
    <s v="Customer C7195"/>
    <x v="0"/>
    <x v="0"/>
    <n v="3"/>
    <n v="722.4"/>
  </r>
  <r>
    <x v="1132"/>
    <x v="5"/>
    <d v="2025-01-23T00:00:00"/>
    <n v="2025"/>
    <x v="0"/>
    <n v="1"/>
    <x v="0"/>
    <x v="6"/>
    <n v="234.13"/>
    <s v="Customer C7210"/>
    <x v="0"/>
    <x v="0"/>
    <n v="3"/>
    <n v="1638.91"/>
  </r>
  <r>
    <x v="1133"/>
    <x v="1"/>
    <d v="2023-04-08T00:00:00"/>
    <n v="2023"/>
    <x v="1"/>
    <n v="4"/>
    <x v="5"/>
    <x v="2"/>
    <n v="151.15"/>
    <s v="Customer C7220"/>
    <x v="2"/>
    <x v="0"/>
    <n v="2"/>
    <n v="906.9"/>
  </r>
  <r>
    <x v="1134"/>
    <x v="5"/>
    <d v="2023-02-22T00:00:00"/>
    <n v="2023"/>
    <x v="0"/>
    <n v="2"/>
    <x v="9"/>
    <x v="0"/>
    <n v="165.92"/>
    <s v="Customer C7227"/>
    <x v="0"/>
    <x v="3"/>
    <n v="1"/>
    <n v="1327.36"/>
  </r>
  <r>
    <x v="1135"/>
    <x v="2"/>
    <d v="2024-07-07T00:00:00"/>
    <n v="2024"/>
    <x v="2"/>
    <n v="7"/>
    <x v="3"/>
    <x v="4"/>
    <n v="127.54"/>
    <s v="Customer C7231"/>
    <x v="1"/>
    <x v="4"/>
    <n v="4"/>
    <n v="127.54"/>
  </r>
  <r>
    <x v="1136"/>
    <x v="3"/>
    <d v="2024-05-01T00:00:00"/>
    <n v="2024"/>
    <x v="1"/>
    <n v="5"/>
    <x v="1"/>
    <x v="4"/>
    <n v="50.19"/>
    <s v="Customer C7242"/>
    <x v="2"/>
    <x v="2"/>
    <n v="4"/>
    <n v="50.19"/>
  </r>
  <r>
    <x v="1137"/>
    <x v="3"/>
    <d v="2024-12-11T00:00:00"/>
    <n v="2024"/>
    <x v="3"/>
    <n v="12"/>
    <x v="7"/>
    <x v="0"/>
    <n v="78.099999999999994"/>
    <s v="Customer C7243"/>
    <x v="1"/>
    <x v="2"/>
    <n v="5"/>
    <n v="624.79999999999995"/>
  </r>
  <r>
    <x v="1138"/>
    <x v="2"/>
    <d v="2024-04-15T00:00:00"/>
    <n v="2024"/>
    <x v="1"/>
    <n v="4"/>
    <x v="5"/>
    <x v="2"/>
    <n v="278.04000000000002"/>
    <s v="Customer C7248"/>
    <x v="0"/>
    <x v="4"/>
    <n v="3"/>
    <n v="1668.24"/>
  </r>
  <r>
    <x v="1139"/>
    <x v="3"/>
    <d v="2024-10-31T00:00:00"/>
    <n v="2024"/>
    <x v="3"/>
    <n v="10"/>
    <x v="4"/>
    <x v="0"/>
    <n v="165.23"/>
    <s v="Customer C7250"/>
    <x v="1"/>
    <x v="0"/>
    <n v="2"/>
    <n v="1321.84"/>
  </r>
  <r>
    <x v="1140"/>
    <x v="2"/>
    <d v="2024-12-19T00:00:00"/>
    <n v="2024"/>
    <x v="3"/>
    <n v="12"/>
    <x v="7"/>
    <x v="4"/>
    <n v="362.77"/>
    <s v="Customer C7254"/>
    <x v="2"/>
    <x v="0"/>
    <n v="1"/>
    <n v="362.77"/>
  </r>
  <r>
    <x v="1141"/>
    <x v="2"/>
    <d v="2024-01-12T00:00:00"/>
    <n v="2024"/>
    <x v="0"/>
    <n v="1"/>
    <x v="0"/>
    <x v="1"/>
    <n v="80.7"/>
    <s v="Customer C7272"/>
    <x v="2"/>
    <x v="4"/>
    <n v="1"/>
    <n v="242.1"/>
  </r>
  <r>
    <x v="1141"/>
    <x v="3"/>
    <d v="2023-11-20T00:00:00"/>
    <n v="2023"/>
    <x v="3"/>
    <n v="11"/>
    <x v="8"/>
    <x v="6"/>
    <n v="611.85"/>
    <s v="Customer C7272"/>
    <x v="2"/>
    <x v="1"/>
    <n v="2"/>
    <n v="4282.95"/>
  </r>
  <r>
    <x v="1142"/>
    <x v="5"/>
    <d v="2023-04-30T00:00:00"/>
    <n v="2023"/>
    <x v="1"/>
    <n v="4"/>
    <x v="5"/>
    <x v="7"/>
    <n v="698.77"/>
    <s v="Customer C7275"/>
    <x v="1"/>
    <x v="1"/>
    <n v="4"/>
    <n v="2795.08"/>
  </r>
  <r>
    <x v="1143"/>
    <x v="1"/>
    <d v="2024-08-22T00:00:00"/>
    <n v="2024"/>
    <x v="2"/>
    <n v="8"/>
    <x v="6"/>
    <x v="5"/>
    <n v="148.12"/>
    <s v="Customer C7284"/>
    <x v="2"/>
    <x v="4"/>
    <n v="5"/>
    <n v="296.24"/>
  </r>
  <r>
    <x v="1144"/>
    <x v="4"/>
    <d v="2023-07-11T00:00:00"/>
    <n v="2023"/>
    <x v="2"/>
    <n v="7"/>
    <x v="3"/>
    <x v="3"/>
    <n v="476.01"/>
    <s v="Customer C7286"/>
    <x v="2"/>
    <x v="2"/>
    <n v="4"/>
    <n v="2380.0500000000002"/>
  </r>
  <r>
    <x v="1145"/>
    <x v="2"/>
    <d v="2025-02-12T00:00:00"/>
    <n v="2025"/>
    <x v="0"/>
    <n v="2"/>
    <x v="9"/>
    <x v="5"/>
    <n v="173.26"/>
    <s v="Customer C7287"/>
    <x v="0"/>
    <x v="1"/>
    <n v="2"/>
    <n v="346.52"/>
  </r>
  <r>
    <x v="1146"/>
    <x v="4"/>
    <d v="2023-04-17T00:00:00"/>
    <n v="2023"/>
    <x v="1"/>
    <n v="4"/>
    <x v="5"/>
    <x v="5"/>
    <n v="477"/>
    <s v="Customer C7291"/>
    <x v="0"/>
    <x v="1"/>
    <n v="2"/>
    <n v="954"/>
  </r>
  <r>
    <x v="1146"/>
    <x v="5"/>
    <d v="2023-05-21T00:00:00"/>
    <n v="2023"/>
    <x v="1"/>
    <n v="5"/>
    <x v="1"/>
    <x v="7"/>
    <n v="695.57"/>
    <s v="Customer C7291"/>
    <x v="0"/>
    <x v="0"/>
    <n v="3"/>
    <n v="2782.28"/>
  </r>
  <r>
    <x v="1147"/>
    <x v="6"/>
    <d v="2023-06-16T00:00:00"/>
    <n v="2023"/>
    <x v="1"/>
    <n v="6"/>
    <x v="2"/>
    <x v="5"/>
    <n v="232.19"/>
    <s v="Customer C7298"/>
    <x v="2"/>
    <x v="2"/>
    <n v="3"/>
    <n v="464.38"/>
  </r>
  <r>
    <x v="1148"/>
    <x v="3"/>
    <d v="2025-05-25T00:00:00"/>
    <n v="2025"/>
    <x v="1"/>
    <n v="5"/>
    <x v="1"/>
    <x v="7"/>
    <n v="630.54999999999995"/>
    <s v="Customer C7304"/>
    <x v="0"/>
    <x v="3"/>
    <n v="3"/>
    <n v="2522.1999999999998"/>
  </r>
  <r>
    <x v="1149"/>
    <x v="2"/>
    <d v="2023-04-11T00:00:00"/>
    <n v="2023"/>
    <x v="1"/>
    <n v="4"/>
    <x v="5"/>
    <x v="1"/>
    <n v="209.79"/>
    <s v="Customer C7317"/>
    <x v="0"/>
    <x v="2"/>
    <n v="1"/>
    <n v="629.37"/>
  </r>
  <r>
    <x v="1150"/>
    <x v="3"/>
    <d v="2023-12-17T00:00:00"/>
    <n v="2023"/>
    <x v="3"/>
    <n v="12"/>
    <x v="7"/>
    <x v="4"/>
    <n v="654.47"/>
    <s v="Customer C7319"/>
    <x v="2"/>
    <x v="1"/>
    <n v="4"/>
    <n v="654.47"/>
  </r>
  <r>
    <x v="1151"/>
    <x v="0"/>
    <d v="2025-03-23T00:00:00"/>
    <n v="2025"/>
    <x v="0"/>
    <n v="3"/>
    <x v="10"/>
    <x v="2"/>
    <n v="316.60000000000002"/>
    <s v="Customer C7325"/>
    <x v="2"/>
    <x v="3"/>
    <n v="2"/>
    <n v="1899.6"/>
  </r>
  <r>
    <x v="1152"/>
    <x v="4"/>
    <d v="2025-06-18T00:00:00"/>
    <n v="2025"/>
    <x v="1"/>
    <n v="6"/>
    <x v="2"/>
    <x v="3"/>
    <n v="598.36"/>
    <s v="Customer C7328"/>
    <x v="0"/>
    <x v="3"/>
    <n v="2"/>
    <n v="2991.8"/>
  </r>
  <r>
    <x v="1153"/>
    <x v="6"/>
    <d v="2023-11-11T00:00:00"/>
    <n v="2023"/>
    <x v="3"/>
    <n v="11"/>
    <x v="8"/>
    <x v="4"/>
    <n v="776.79"/>
    <s v="Customer C7330"/>
    <x v="2"/>
    <x v="3"/>
    <n v="2"/>
    <n v="776.79"/>
  </r>
  <r>
    <x v="1154"/>
    <x v="6"/>
    <d v="2024-04-02T00:00:00"/>
    <n v="2024"/>
    <x v="1"/>
    <n v="4"/>
    <x v="5"/>
    <x v="1"/>
    <n v="241.55"/>
    <s v="Customer C7331"/>
    <x v="0"/>
    <x v="4"/>
    <n v="5"/>
    <n v="724.65"/>
  </r>
  <r>
    <x v="1155"/>
    <x v="0"/>
    <d v="2024-10-11T00:00:00"/>
    <n v="2024"/>
    <x v="3"/>
    <n v="10"/>
    <x v="4"/>
    <x v="5"/>
    <n v="697.26"/>
    <s v="Customer C7332"/>
    <x v="1"/>
    <x v="1"/>
    <n v="1"/>
    <n v="1394.52"/>
  </r>
  <r>
    <x v="1155"/>
    <x v="5"/>
    <d v="2025-01-18T00:00:00"/>
    <n v="2025"/>
    <x v="0"/>
    <n v="1"/>
    <x v="0"/>
    <x v="6"/>
    <n v="285.35000000000002"/>
    <s v="Customer C7332"/>
    <x v="0"/>
    <x v="1"/>
    <n v="1"/>
    <n v="1997.45"/>
  </r>
  <r>
    <x v="1156"/>
    <x v="0"/>
    <d v="2025-06-28T00:00:00"/>
    <n v="2025"/>
    <x v="1"/>
    <n v="6"/>
    <x v="2"/>
    <x v="3"/>
    <n v="748.08"/>
    <s v="Customer C7333"/>
    <x v="1"/>
    <x v="2"/>
    <n v="5"/>
    <n v="3740.4"/>
  </r>
  <r>
    <x v="1157"/>
    <x v="3"/>
    <d v="2023-04-02T00:00:00"/>
    <n v="2023"/>
    <x v="1"/>
    <n v="4"/>
    <x v="5"/>
    <x v="2"/>
    <n v="294.38"/>
    <s v="Customer C7339"/>
    <x v="2"/>
    <x v="4"/>
    <n v="1"/>
    <n v="1766.28"/>
  </r>
  <r>
    <x v="1158"/>
    <x v="0"/>
    <d v="2025-01-23T00:00:00"/>
    <n v="2025"/>
    <x v="0"/>
    <n v="1"/>
    <x v="0"/>
    <x v="4"/>
    <n v="95.7"/>
    <s v="Customer C7345"/>
    <x v="2"/>
    <x v="4"/>
    <n v="4"/>
    <n v="95.7"/>
  </r>
  <r>
    <x v="1159"/>
    <x v="3"/>
    <d v="2024-09-12T00:00:00"/>
    <n v="2024"/>
    <x v="2"/>
    <n v="9"/>
    <x v="11"/>
    <x v="5"/>
    <n v="571.9"/>
    <s v="Customer C7346"/>
    <x v="0"/>
    <x v="4"/>
    <n v="2"/>
    <n v="1143.8"/>
  </r>
  <r>
    <x v="1160"/>
    <x v="2"/>
    <d v="2023-09-29T00:00:00"/>
    <n v="2023"/>
    <x v="2"/>
    <n v="9"/>
    <x v="11"/>
    <x v="0"/>
    <n v="136.12"/>
    <s v="Customer C7355"/>
    <x v="0"/>
    <x v="2"/>
    <n v="3"/>
    <n v="1088.96"/>
  </r>
  <r>
    <x v="1161"/>
    <x v="4"/>
    <d v="2023-10-06T00:00:00"/>
    <n v="2023"/>
    <x v="3"/>
    <n v="10"/>
    <x v="4"/>
    <x v="4"/>
    <n v="20.53"/>
    <s v="Customer C7357"/>
    <x v="2"/>
    <x v="4"/>
    <n v="3"/>
    <n v="20.53"/>
  </r>
  <r>
    <x v="1161"/>
    <x v="0"/>
    <d v="2023-01-07T00:00:00"/>
    <n v="2023"/>
    <x v="0"/>
    <n v="1"/>
    <x v="0"/>
    <x v="7"/>
    <n v="231.12"/>
    <s v="Customer C7357"/>
    <x v="1"/>
    <x v="1"/>
    <n v="3"/>
    <n v="924.48"/>
  </r>
  <r>
    <x v="1162"/>
    <x v="5"/>
    <d v="2025-02-22T00:00:00"/>
    <n v="2025"/>
    <x v="0"/>
    <n v="2"/>
    <x v="9"/>
    <x v="2"/>
    <n v="181.87"/>
    <s v="Customer C7360"/>
    <x v="2"/>
    <x v="0"/>
    <n v="5"/>
    <n v="1091.22"/>
  </r>
  <r>
    <x v="1163"/>
    <x v="2"/>
    <d v="2023-11-06T00:00:00"/>
    <n v="2023"/>
    <x v="3"/>
    <n v="11"/>
    <x v="8"/>
    <x v="5"/>
    <n v="770.06"/>
    <s v="Customer C7363"/>
    <x v="0"/>
    <x v="1"/>
    <n v="5"/>
    <n v="1540.12"/>
  </r>
  <r>
    <x v="1164"/>
    <x v="6"/>
    <d v="2024-05-03T00:00:00"/>
    <n v="2024"/>
    <x v="1"/>
    <n v="5"/>
    <x v="1"/>
    <x v="0"/>
    <n v="258.83999999999997"/>
    <s v="Customer C7366"/>
    <x v="2"/>
    <x v="1"/>
    <n v="2"/>
    <n v="2070.7199999999998"/>
  </r>
  <r>
    <x v="1165"/>
    <x v="0"/>
    <d v="2023-02-25T00:00:00"/>
    <n v="2023"/>
    <x v="0"/>
    <n v="2"/>
    <x v="9"/>
    <x v="7"/>
    <n v="612.47"/>
    <s v="Customer C7382"/>
    <x v="2"/>
    <x v="2"/>
    <n v="1"/>
    <n v="2449.88"/>
  </r>
  <r>
    <x v="1166"/>
    <x v="1"/>
    <d v="2023-04-22T00:00:00"/>
    <n v="2023"/>
    <x v="1"/>
    <n v="4"/>
    <x v="5"/>
    <x v="6"/>
    <n v="127.4"/>
    <s v="Customer C7397"/>
    <x v="0"/>
    <x v="3"/>
    <n v="3"/>
    <n v="891.8"/>
  </r>
  <r>
    <x v="1167"/>
    <x v="5"/>
    <d v="2024-07-25T00:00:00"/>
    <n v="2024"/>
    <x v="2"/>
    <n v="7"/>
    <x v="3"/>
    <x v="5"/>
    <n v="674.66"/>
    <s v="Customer C7401"/>
    <x v="2"/>
    <x v="0"/>
    <n v="4"/>
    <n v="1349.32"/>
  </r>
  <r>
    <x v="1168"/>
    <x v="4"/>
    <d v="2024-05-26T00:00:00"/>
    <n v="2024"/>
    <x v="1"/>
    <n v="5"/>
    <x v="1"/>
    <x v="3"/>
    <n v="635.66"/>
    <s v="Customer C7405"/>
    <x v="0"/>
    <x v="3"/>
    <n v="1"/>
    <n v="3178.3"/>
  </r>
  <r>
    <x v="1169"/>
    <x v="4"/>
    <d v="2024-02-17T00:00:00"/>
    <n v="2024"/>
    <x v="0"/>
    <n v="2"/>
    <x v="9"/>
    <x v="0"/>
    <n v="675.18"/>
    <s v="Customer C7409"/>
    <x v="1"/>
    <x v="2"/>
    <n v="2"/>
    <n v="5401.44"/>
  </r>
  <r>
    <x v="1170"/>
    <x v="4"/>
    <d v="2024-10-28T00:00:00"/>
    <n v="2024"/>
    <x v="3"/>
    <n v="10"/>
    <x v="4"/>
    <x v="5"/>
    <n v="173.39"/>
    <s v="Customer C7411"/>
    <x v="1"/>
    <x v="1"/>
    <n v="1"/>
    <n v="346.78"/>
  </r>
  <r>
    <x v="1171"/>
    <x v="5"/>
    <d v="2024-12-27T00:00:00"/>
    <n v="2024"/>
    <x v="3"/>
    <n v="12"/>
    <x v="7"/>
    <x v="2"/>
    <n v="39.68"/>
    <s v="Customer C7413"/>
    <x v="0"/>
    <x v="0"/>
    <n v="2"/>
    <n v="238.08"/>
  </r>
  <r>
    <x v="1172"/>
    <x v="3"/>
    <d v="2025-02-01T00:00:00"/>
    <n v="2025"/>
    <x v="0"/>
    <n v="2"/>
    <x v="9"/>
    <x v="4"/>
    <n v="631.80999999999995"/>
    <s v="Customer C7426"/>
    <x v="2"/>
    <x v="1"/>
    <n v="3"/>
    <n v="631.80999999999995"/>
  </r>
  <r>
    <x v="1173"/>
    <x v="4"/>
    <d v="2024-01-04T00:00:00"/>
    <n v="2024"/>
    <x v="0"/>
    <n v="1"/>
    <x v="0"/>
    <x v="1"/>
    <n v="275.93"/>
    <s v="Customer C7433"/>
    <x v="1"/>
    <x v="0"/>
    <n v="4"/>
    <n v="827.79"/>
  </r>
  <r>
    <x v="1174"/>
    <x v="0"/>
    <d v="2024-11-20T00:00:00"/>
    <n v="2024"/>
    <x v="3"/>
    <n v="11"/>
    <x v="8"/>
    <x v="0"/>
    <n v="569.55999999999995"/>
    <s v="Customer C7436"/>
    <x v="1"/>
    <x v="4"/>
    <n v="5"/>
    <n v="4556.4799999999996"/>
  </r>
  <r>
    <x v="1175"/>
    <x v="5"/>
    <d v="2025-02-15T00:00:00"/>
    <n v="2025"/>
    <x v="0"/>
    <n v="2"/>
    <x v="9"/>
    <x v="7"/>
    <n v="111.52"/>
    <s v="Customer C7438"/>
    <x v="1"/>
    <x v="4"/>
    <n v="2"/>
    <n v="446.08"/>
  </r>
  <r>
    <x v="1176"/>
    <x v="0"/>
    <d v="2024-12-22T00:00:00"/>
    <n v="2024"/>
    <x v="3"/>
    <n v="12"/>
    <x v="7"/>
    <x v="5"/>
    <n v="285.51"/>
    <s v="Customer C7444"/>
    <x v="2"/>
    <x v="3"/>
    <n v="4"/>
    <n v="571.02"/>
  </r>
  <r>
    <x v="1177"/>
    <x v="1"/>
    <d v="2023-10-12T00:00:00"/>
    <n v="2023"/>
    <x v="3"/>
    <n v="10"/>
    <x v="4"/>
    <x v="5"/>
    <n v="458.15"/>
    <s v="Customer C7447"/>
    <x v="1"/>
    <x v="3"/>
    <n v="2"/>
    <n v="916.3"/>
  </r>
  <r>
    <x v="1178"/>
    <x v="1"/>
    <d v="2024-07-27T00:00:00"/>
    <n v="2024"/>
    <x v="2"/>
    <n v="7"/>
    <x v="3"/>
    <x v="2"/>
    <n v="740.37"/>
    <s v="Customer C7457"/>
    <x v="2"/>
    <x v="3"/>
    <n v="4"/>
    <n v="4442.22"/>
  </r>
  <r>
    <x v="1179"/>
    <x v="6"/>
    <d v="2024-08-17T00:00:00"/>
    <n v="2024"/>
    <x v="2"/>
    <n v="8"/>
    <x v="6"/>
    <x v="5"/>
    <n v="322.62"/>
    <s v="Customer C7459"/>
    <x v="0"/>
    <x v="0"/>
    <n v="1"/>
    <n v="645.24"/>
  </r>
  <r>
    <x v="1180"/>
    <x v="4"/>
    <d v="2024-10-26T00:00:00"/>
    <n v="2024"/>
    <x v="3"/>
    <n v="10"/>
    <x v="4"/>
    <x v="1"/>
    <n v="554.78"/>
    <s v="Customer C7460"/>
    <x v="1"/>
    <x v="3"/>
    <n v="1"/>
    <n v="1664.34"/>
  </r>
  <r>
    <x v="1181"/>
    <x v="4"/>
    <d v="2023-08-09T00:00:00"/>
    <n v="2023"/>
    <x v="2"/>
    <n v="8"/>
    <x v="6"/>
    <x v="4"/>
    <n v="552.91999999999996"/>
    <s v="Customer C7461"/>
    <x v="0"/>
    <x v="1"/>
    <n v="4"/>
    <n v="552.91999999999996"/>
  </r>
  <r>
    <x v="1181"/>
    <x v="1"/>
    <d v="2023-12-26T00:00:00"/>
    <n v="2023"/>
    <x v="3"/>
    <n v="12"/>
    <x v="7"/>
    <x v="7"/>
    <n v="164.36"/>
    <s v="Customer C7461"/>
    <x v="0"/>
    <x v="0"/>
    <n v="1"/>
    <n v="657.44"/>
  </r>
  <r>
    <x v="1182"/>
    <x v="1"/>
    <d v="2024-05-11T00:00:00"/>
    <n v="2024"/>
    <x v="1"/>
    <n v="5"/>
    <x v="1"/>
    <x v="7"/>
    <n v="619.33000000000004"/>
    <s v="Customer C7462"/>
    <x v="2"/>
    <x v="4"/>
    <n v="3"/>
    <n v="2477.3200000000002"/>
  </r>
  <r>
    <x v="1183"/>
    <x v="2"/>
    <d v="2023-10-03T00:00:00"/>
    <n v="2023"/>
    <x v="3"/>
    <n v="10"/>
    <x v="4"/>
    <x v="6"/>
    <n v="518"/>
    <s v="Customer C7466"/>
    <x v="0"/>
    <x v="1"/>
    <n v="2"/>
    <n v="3626"/>
  </r>
  <r>
    <x v="1184"/>
    <x v="0"/>
    <d v="2023-03-22T00:00:00"/>
    <n v="2023"/>
    <x v="0"/>
    <n v="3"/>
    <x v="10"/>
    <x v="1"/>
    <n v="477.77"/>
    <s v="Customer C7470"/>
    <x v="2"/>
    <x v="0"/>
    <n v="1"/>
    <n v="1433.31"/>
  </r>
  <r>
    <x v="1184"/>
    <x v="6"/>
    <d v="2024-08-18T00:00:00"/>
    <n v="2024"/>
    <x v="2"/>
    <n v="8"/>
    <x v="6"/>
    <x v="1"/>
    <n v="728.86"/>
    <s v="Customer C7470"/>
    <x v="1"/>
    <x v="2"/>
    <n v="5"/>
    <n v="2186.58"/>
  </r>
  <r>
    <x v="1185"/>
    <x v="4"/>
    <d v="2025-02-13T00:00:00"/>
    <n v="2025"/>
    <x v="0"/>
    <n v="2"/>
    <x v="9"/>
    <x v="4"/>
    <n v="117.5"/>
    <s v="Customer C7476"/>
    <x v="0"/>
    <x v="4"/>
    <n v="5"/>
    <n v="117.5"/>
  </r>
  <r>
    <x v="1186"/>
    <x v="1"/>
    <d v="2024-03-21T00:00:00"/>
    <n v="2024"/>
    <x v="0"/>
    <n v="3"/>
    <x v="10"/>
    <x v="1"/>
    <n v="185.15"/>
    <s v="Customer C7480"/>
    <x v="0"/>
    <x v="0"/>
    <n v="1"/>
    <n v="555.45000000000005"/>
  </r>
  <r>
    <x v="1187"/>
    <x v="3"/>
    <d v="2023-06-21T00:00:00"/>
    <n v="2023"/>
    <x v="1"/>
    <n v="6"/>
    <x v="2"/>
    <x v="5"/>
    <n v="748.75"/>
    <s v="Customer C7483"/>
    <x v="0"/>
    <x v="4"/>
    <n v="4"/>
    <n v="1497.5"/>
  </r>
  <r>
    <x v="1188"/>
    <x v="1"/>
    <d v="2023-05-07T00:00:00"/>
    <n v="2023"/>
    <x v="1"/>
    <n v="5"/>
    <x v="1"/>
    <x v="0"/>
    <n v="58.61"/>
    <s v="Customer C7487"/>
    <x v="1"/>
    <x v="3"/>
    <n v="2"/>
    <n v="468.88"/>
  </r>
  <r>
    <x v="1188"/>
    <x v="6"/>
    <d v="2025-05-14T00:00:00"/>
    <n v="2025"/>
    <x v="1"/>
    <n v="5"/>
    <x v="1"/>
    <x v="4"/>
    <n v="13.02"/>
    <s v="Customer C7487"/>
    <x v="1"/>
    <x v="1"/>
    <n v="2"/>
    <n v="13.02"/>
  </r>
  <r>
    <x v="1189"/>
    <x v="2"/>
    <d v="2024-07-23T00:00:00"/>
    <n v="2024"/>
    <x v="2"/>
    <n v="7"/>
    <x v="3"/>
    <x v="3"/>
    <n v="499.6"/>
    <s v="Customer C7488"/>
    <x v="2"/>
    <x v="2"/>
    <n v="3"/>
    <n v="2498"/>
  </r>
  <r>
    <x v="1190"/>
    <x v="6"/>
    <d v="2025-04-10T00:00:00"/>
    <n v="2025"/>
    <x v="1"/>
    <n v="4"/>
    <x v="5"/>
    <x v="5"/>
    <n v="665.61"/>
    <s v="Customer C7496"/>
    <x v="0"/>
    <x v="1"/>
    <n v="5"/>
    <n v="1331.22"/>
  </r>
  <r>
    <x v="1191"/>
    <x v="5"/>
    <d v="2023-12-01T00:00:00"/>
    <n v="2023"/>
    <x v="3"/>
    <n v="12"/>
    <x v="7"/>
    <x v="6"/>
    <n v="68.58"/>
    <s v="Customer C7497"/>
    <x v="0"/>
    <x v="3"/>
    <n v="1"/>
    <n v="480.06"/>
  </r>
  <r>
    <x v="1192"/>
    <x v="5"/>
    <d v="2025-05-13T00:00:00"/>
    <n v="2025"/>
    <x v="1"/>
    <n v="5"/>
    <x v="1"/>
    <x v="4"/>
    <n v="47.66"/>
    <s v="Customer C7510"/>
    <x v="0"/>
    <x v="0"/>
    <n v="4"/>
    <n v="47.66"/>
  </r>
  <r>
    <x v="1193"/>
    <x v="5"/>
    <d v="2025-05-25T00:00:00"/>
    <n v="2025"/>
    <x v="1"/>
    <n v="5"/>
    <x v="1"/>
    <x v="3"/>
    <n v="323.88"/>
    <s v="Customer C7514"/>
    <x v="2"/>
    <x v="2"/>
    <n v="2"/>
    <n v="1619.4"/>
  </r>
  <r>
    <x v="1194"/>
    <x v="2"/>
    <d v="2024-04-28T00:00:00"/>
    <n v="2024"/>
    <x v="1"/>
    <n v="4"/>
    <x v="5"/>
    <x v="1"/>
    <n v="603.4"/>
    <s v="Customer C7521"/>
    <x v="2"/>
    <x v="0"/>
    <n v="4"/>
    <n v="1810.2"/>
  </r>
  <r>
    <x v="1194"/>
    <x v="6"/>
    <d v="2025-06-14T00:00:00"/>
    <n v="2025"/>
    <x v="1"/>
    <n v="6"/>
    <x v="2"/>
    <x v="6"/>
    <n v="100.37"/>
    <s v="Customer C7521"/>
    <x v="0"/>
    <x v="4"/>
    <n v="4"/>
    <n v="702.59"/>
  </r>
  <r>
    <x v="1195"/>
    <x v="4"/>
    <d v="2023-10-11T00:00:00"/>
    <n v="2023"/>
    <x v="3"/>
    <n v="10"/>
    <x v="4"/>
    <x v="1"/>
    <n v="756.71"/>
    <s v="Customer C7523"/>
    <x v="0"/>
    <x v="2"/>
    <n v="1"/>
    <n v="2270.13"/>
  </r>
  <r>
    <x v="1196"/>
    <x v="6"/>
    <d v="2025-01-05T00:00:00"/>
    <n v="2025"/>
    <x v="0"/>
    <n v="1"/>
    <x v="0"/>
    <x v="4"/>
    <n v="85.22"/>
    <s v="Customer C7526"/>
    <x v="0"/>
    <x v="0"/>
    <n v="1"/>
    <n v="85.22"/>
  </r>
  <r>
    <x v="1197"/>
    <x v="0"/>
    <d v="2023-11-17T00:00:00"/>
    <n v="2023"/>
    <x v="3"/>
    <n v="11"/>
    <x v="8"/>
    <x v="1"/>
    <n v="441.01"/>
    <s v="Customer C7530"/>
    <x v="1"/>
    <x v="4"/>
    <n v="1"/>
    <n v="1323.03"/>
  </r>
  <r>
    <x v="1198"/>
    <x v="6"/>
    <d v="2024-10-14T00:00:00"/>
    <n v="2024"/>
    <x v="3"/>
    <n v="10"/>
    <x v="4"/>
    <x v="0"/>
    <n v="651.34"/>
    <s v="Customer C7531"/>
    <x v="1"/>
    <x v="1"/>
    <n v="5"/>
    <n v="5210.72"/>
  </r>
  <r>
    <x v="1199"/>
    <x v="6"/>
    <d v="2023-03-20T00:00:00"/>
    <n v="2023"/>
    <x v="0"/>
    <n v="3"/>
    <x v="10"/>
    <x v="3"/>
    <n v="534.75"/>
    <s v="Customer C7532"/>
    <x v="0"/>
    <x v="2"/>
    <n v="5"/>
    <n v="2673.75"/>
  </r>
  <r>
    <x v="1200"/>
    <x v="5"/>
    <d v="2023-05-07T00:00:00"/>
    <n v="2023"/>
    <x v="1"/>
    <n v="5"/>
    <x v="1"/>
    <x v="2"/>
    <n v="71.05"/>
    <s v="Customer C7533"/>
    <x v="0"/>
    <x v="4"/>
    <n v="4"/>
    <n v="426.3"/>
  </r>
  <r>
    <x v="1201"/>
    <x v="5"/>
    <d v="2025-01-09T00:00:00"/>
    <n v="2025"/>
    <x v="0"/>
    <n v="1"/>
    <x v="0"/>
    <x v="2"/>
    <n v="137.78"/>
    <s v="Customer C7535"/>
    <x v="0"/>
    <x v="2"/>
    <n v="3"/>
    <n v="826.68"/>
  </r>
  <r>
    <x v="1202"/>
    <x v="5"/>
    <d v="2023-09-19T00:00:00"/>
    <n v="2023"/>
    <x v="2"/>
    <n v="9"/>
    <x v="11"/>
    <x v="2"/>
    <n v="334.15"/>
    <s v="Customer C7537"/>
    <x v="2"/>
    <x v="4"/>
    <n v="4"/>
    <n v="2004.9"/>
  </r>
  <r>
    <x v="1203"/>
    <x v="4"/>
    <d v="2023-02-25T00:00:00"/>
    <n v="2023"/>
    <x v="0"/>
    <n v="2"/>
    <x v="9"/>
    <x v="0"/>
    <n v="304.66000000000003"/>
    <s v="Customer C7543"/>
    <x v="2"/>
    <x v="3"/>
    <n v="3"/>
    <n v="2437.2800000000002"/>
  </r>
  <r>
    <x v="1204"/>
    <x v="2"/>
    <d v="2024-12-15T00:00:00"/>
    <n v="2024"/>
    <x v="3"/>
    <n v="12"/>
    <x v="7"/>
    <x v="6"/>
    <n v="584.79999999999995"/>
    <s v="Customer C7544"/>
    <x v="0"/>
    <x v="3"/>
    <n v="4"/>
    <n v="4093.6"/>
  </r>
  <r>
    <x v="1205"/>
    <x v="6"/>
    <d v="2025-04-15T00:00:00"/>
    <n v="2025"/>
    <x v="1"/>
    <n v="4"/>
    <x v="5"/>
    <x v="0"/>
    <n v="65.260000000000005"/>
    <s v="Customer C7551"/>
    <x v="1"/>
    <x v="3"/>
    <n v="2"/>
    <n v="522.08000000000004"/>
  </r>
  <r>
    <x v="1206"/>
    <x v="5"/>
    <d v="2024-01-28T00:00:00"/>
    <n v="2024"/>
    <x v="0"/>
    <n v="1"/>
    <x v="0"/>
    <x v="4"/>
    <n v="42.76"/>
    <s v="Customer C7552"/>
    <x v="0"/>
    <x v="2"/>
    <n v="1"/>
    <n v="42.76"/>
  </r>
  <r>
    <x v="1207"/>
    <x v="2"/>
    <d v="2025-01-18T00:00:00"/>
    <n v="2025"/>
    <x v="0"/>
    <n v="1"/>
    <x v="0"/>
    <x v="6"/>
    <n v="287.77999999999997"/>
    <s v="Customer C7557"/>
    <x v="1"/>
    <x v="1"/>
    <n v="4"/>
    <n v="2014.46"/>
  </r>
  <r>
    <x v="1207"/>
    <x v="6"/>
    <d v="2023-05-30T00:00:00"/>
    <n v="2023"/>
    <x v="1"/>
    <n v="5"/>
    <x v="1"/>
    <x v="3"/>
    <n v="343.43"/>
    <s v="Customer C7557"/>
    <x v="1"/>
    <x v="4"/>
    <n v="5"/>
    <n v="1717.15"/>
  </r>
  <r>
    <x v="1208"/>
    <x v="0"/>
    <d v="2024-04-09T00:00:00"/>
    <n v="2024"/>
    <x v="1"/>
    <n v="4"/>
    <x v="5"/>
    <x v="3"/>
    <n v="670.44"/>
    <s v="Customer C7559"/>
    <x v="2"/>
    <x v="1"/>
    <n v="3"/>
    <n v="3352.2"/>
  </r>
  <r>
    <x v="1209"/>
    <x v="0"/>
    <d v="2023-11-06T00:00:00"/>
    <n v="2023"/>
    <x v="3"/>
    <n v="11"/>
    <x v="8"/>
    <x v="2"/>
    <n v="256.17"/>
    <s v="Customer C7561"/>
    <x v="2"/>
    <x v="0"/>
    <n v="2"/>
    <n v="1537.02"/>
  </r>
  <r>
    <x v="1210"/>
    <x v="5"/>
    <d v="2024-01-31T00:00:00"/>
    <n v="2024"/>
    <x v="0"/>
    <n v="1"/>
    <x v="0"/>
    <x v="5"/>
    <n v="555.65"/>
    <s v="Customer C7564"/>
    <x v="2"/>
    <x v="3"/>
    <n v="5"/>
    <n v="1111.3"/>
  </r>
  <r>
    <x v="1211"/>
    <x v="6"/>
    <d v="2023-04-03T00:00:00"/>
    <n v="2023"/>
    <x v="1"/>
    <n v="4"/>
    <x v="5"/>
    <x v="1"/>
    <n v="100.78"/>
    <s v="Customer C7576"/>
    <x v="2"/>
    <x v="3"/>
    <n v="5"/>
    <n v="302.33999999999997"/>
  </r>
  <r>
    <x v="1212"/>
    <x v="0"/>
    <d v="2023-02-09T00:00:00"/>
    <n v="2023"/>
    <x v="0"/>
    <n v="2"/>
    <x v="9"/>
    <x v="4"/>
    <n v="499.22"/>
    <s v="Customer C7580"/>
    <x v="1"/>
    <x v="0"/>
    <n v="1"/>
    <n v="499.22"/>
  </r>
  <r>
    <x v="1213"/>
    <x v="4"/>
    <d v="2024-01-20T00:00:00"/>
    <n v="2024"/>
    <x v="0"/>
    <n v="1"/>
    <x v="0"/>
    <x v="2"/>
    <n v="706.16"/>
    <s v="Customer C7581"/>
    <x v="0"/>
    <x v="1"/>
    <n v="2"/>
    <n v="4236.96"/>
  </r>
  <r>
    <x v="1214"/>
    <x v="1"/>
    <d v="2025-03-23T00:00:00"/>
    <n v="2025"/>
    <x v="0"/>
    <n v="3"/>
    <x v="10"/>
    <x v="3"/>
    <n v="486.12"/>
    <s v="Customer C7586"/>
    <x v="1"/>
    <x v="1"/>
    <n v="5"/>
    <n v="2430.6"/>
  </r>
  <r>
    <x v="1215"/>
    <x v="2"/>
    <d v="2023-11-01T00:00:00"/>
    <n v="2023"/>
    <x v="3"/>
    <n v="11"/>
    <x v="8"/>
    <x v="1"/>
    <n v="569.72"/>
    <s v="Customer C7590"/>
    <x v="2"/>
    <x v="0"/>
    <n v="4"/>
    <n v="1709.16"/>
  </r>
  <r>
    <x v="1216"/>
    <x v="2"/>
    <d v="2024-05-18T00:00:00"/>
    <n v="2024"/>
    <x v="1"/>
    <n v="5"/>
    <x v="1"/>
    <x v="7"/>
    <n v="223.63"/>
    <s v="Customer C7600"/>
    <x v="0"/>
    <x v="3"/>
    <n v="1"/>
    <n v="894.52"/>
  </r>
  <r>
    <x v="1217"/>
    <x v="6"/>
    <d v="2023-07-13T00:00:00"/>
    <n v="2023"/>
    <x v="2"/>
    <n v="7"/>
    <x v="3"/>
    <x v="3"/>
    <n v="680.25"/>
    <s v="Customer C7602"/>
    <x v="2"/>
    <x v="3"/>
    <n v="5"/>
    <n v="3401.25"/>
  </r>
  <r>
    <x v="1218"/>
    <x v="0"/>
    <d v="2024-12-06T00:00:00"/>
    <n v="2024"/>
    <x v="3"/>
    <n v="12"/>
    <x v="7"/>
    <x v="3"/>
    <n v="276.75"/>
    <s v="Customer C7603"/>
    <x v="0"/>
    <x v="4"/>
    <n v="2"/>
    <n v="1383.75"/>
  </r>
  <r>
    <x v="1219"/>
    <x v="4"/>
    <d v="2024-02-03T00:00:00"/>
    <n v="2024"/>
    <x v="0"/>
    <n v="2"/>
    <x v="9"/>
    <x v="1"/>
    <n v="635.16999999999996"/>
    <s v="Customer C7613"/>
    <x v="1"/>
    <x v="3"/>
    <n v="2"/>
    <n v="1905.51"/>
  </r>
  <r>
    <x v="1220"/>
    <x v="4"/>
    <d v="2025-02-08T00:00:00"/>
    <n v="2025"/>
    <x v="0"/>
    <n v="2"/>
    <x v="9"/>
    <x v="7"/>
    <n v="121.4"/>
    <s v="Customer C7617"/>
    <x v="2"/>
    <x v="0"/>
    <n v="1"/>
    <n v="485.6"/>
  </r>
  <r>
    <x v="1221"/>
    <x v="4"/>
    <d v="2024-02-06T00:00:00"/>
    <n v="2024"/>
    <x v="0"/>
    <n v="2"/>
    <x v="9"/>
    <x v="0"/>
    <n v="167.66"/>
    <s v="Customer C7621"/>
    <x v="1"/>
    <x v="1"/>
    <n v="5"/>
    <n v="1341.28"/>
  </r>
  <r>
    <x v="1222"/>
    <x v="1"/>
    <d v="2025-04-11T00:00:00"/>
    <n v="2025"/>
    <x v="1"/>
    <n v="4"/>
    <x v="5"/>
    <x v="6"/>
    <n v="791.91"/>
    <s v="Customer C7628"/>
    <x v="1"/>
    <x v="2"/>
    <n v="2"/>
    <n v="5543.37"/>
  </r>
  <r>
    <x v="1223"/>
    <x v="5"/>
    <d v="2023-10-10T00:00:00"/>
    <n v="2023"/>
    <x v="3"/>
    <n v="10"/>
    <x v="4"/>
    <x v="7"/>
    <n v="135.77000000000001"/>
    <s v="Customer C7629"/>
    <x v="2"/>
    <x v="4"/>
    <n v="3"/>
    <n v="543.08000000000004"/>
  </r>
  <r>
    <x v="1224"/>
    <x v="3"/>
    <d v="2025-03-23T00:00:00"/>
    <n v="2025"/>
    <x v="0"/>
    <n v="3"/>
    <x v="10"/>
    <x v="4"/>
    <n v="592.98"/>
    <s v="Customer C7631"/>
    <x v="2"/>
    <x v="4"/>
    <n v="4"/>
    <n v="592.98"/>
  </r>
  <r>
    <x v="1224"/>
    <x v="1"/>
    <d v="2023-12-27T00:00:00"/>
    <n v="2023"/>
    <x v="3"/>
    <n v="12"/>
    <x v="7"/>
    <x v="3"/>
    <n v="551.55999999999995"/>
    <s v="Customer C7631"/>
    <x v="0"/>
    <x v="4"/>
    <n v="3"/>
    <n v="2757.8"/>
  </r>
  <r>
    <x v="1225"/>
    <x v="0"/>
    <d v="2023-01-08T00:00:00"/>
    <n v="2023"/>
    <x v="0"/>
    <n v="1"/>
    <x v="0"/>
    <x v="4"/>
    <n v="776.47"/>
    <s v="Customer C7633"/>
    <x v="1"/>
    <x v="4"/>
    <n v="3"/>
    <n v="776.47"/>
  </r>
  <r>
    <x v="1225"/>
    <x v="6"/>
    <d v="2023-04-07T00:00:00"/>
    <n v="2023"/>
    <x v="1"/>
    <n v="4"/>
    <x v="5"/>
    <x v="1"/>
    <n v="96.85"/>
    <s v="Customer C7633"/>
    <x v="2"/>
    <x v="0"/>
    <n v="4"/>
    <n v="290.55"/>
  </r>
  <r>
    <x v="1226"/>
    <x v="2"/>
    <d v="2025-04-20T00:00:00"/>
    <n v="2025"/>
    <x v="1"/>
    <n v="4"/>
    <x v="5"/>
    <x v="2"/>
    <n v="236.38"/>
    <s v="Customer C7641"/>
    <x v="2"/>
    <x v="0"/>
    <n v="4"/>
    <n v="1418.28"/>
  </r>
  <r>
    <x v="1227"/>
    <x v="3"/>
    <d v="2023-07-09T00:00:00"/>
    <n v="2023"/>
    <x v="2"/>
    <n v="7"/>
    <x v="3"/>
    <x v="1"/>
    <n v="234.3"/>
    <s v="Customer C7645"/>
    <x v="0"/>
    <x v="4"/>
    <n v="2"/>
    <n v="702.9"/>
  </r>
  <r>
    <x v="1228"/>
    <x v="3"/>
    <d v="2024-06-04T00:00:00"/>
    <n v="2024"/>
    <x v="1"/>
    <n v="6"/>
    <x v="2"/>
    <x v="4"/>
    <n v="55.85"/>
    <s v="Customer C7651"/>
    <x v="0"/>
    <x v="4"/>
    <n v="3"/>
    <n v="55.85"/>
  </r>
  <r>
    <x v="1229"/>
    <x v="3"/>
    <d v="2023-02-19T00:00:00"/>
    <n v="2023"/>
    <x v="0"/>
    <n v="2"/>
    <x v="9"/>
    <x v="6"/>
    <n v="345.77"/>
    <s v="Customer C7655"/>
    <x v="2"/>
    <x v="2"/>
    <n v="3"/>
    <n v="2420.39"/>
  </r>
  <r>
    <x v="1230"/>
    <x v="0"/>
    <d v="2023-05-18T00:00:00"/>
    <n v="2023"/>
    <x v="1"/>
    <n v="5"/>
    <x v="1"/>
    <x v="1"/>
    <n v="465.68"/>
    <s v="Customer C7659"/>
    <x v="1"/>
    <x v="2"/>
    <n v="2"/>
    <n v="1397.04"/>
  </r>
  <r>
    <x v="1231"/>
    <x v="4"/>
    <d v="2023-07-09T00:00:00"/>
    <n v="2023"/>
    <x v="2"/>
    <n v="7"/>
    <x v="3"/>
    <x v="6"/>
    <n v="560.67999999999995"/>
    <s v="Customer C7661"/>
    <x v="1"/>
    <x v="4"/>
    <n v="2"/>
    <n v="3924.76"/>
  </r>
  <r>
    <x v="1232"/>
    <x v="3"/>
    <d v="2025-06-20T00:00:00"/>
    <n v="2025"/>
    <x v="1"/>
    <n v="6"/>
    <x v="2"/>
    <x v="3"/>
    <n v="773.23"/>
    <s v="Customer C7672"/>
    <x v="2"/>
    <x v="3"/>
    <n v="3"/>
    <n v="3866.15"/>
  </r>
  <r>
    <x v="1233"/>
    <x v="0"/>
    <d v="2024-12-13T00:00:00"/>
    <n v="2024"/>
    <x v="3"/>
    <n v="12"/>
    <x v="7"/>
    <x v="3"/>
    <n v="63.8"/>
    <s v="Customer C7673"/>
    <x v="2"/>
    <x v="4"/>
    <n v="3"/>
    <n v="319"/>
  </r>
  <r>
    <x v="1234"/>
    <x v="3"/>
    <d v="2023-08-16T00:00:00"/>
    <n v="2023"/>
    <x v="2"/>
    <n v="8"/>
    <x v="6"/>
    <x v="6"/>
    <n v="659.11"/>
    <s v="Customer C7680"/>
    <x v="0"/>
    <x v="3"/>
    <n v="2"/>
    <n v="4613.7700000000004"/>
  </r>
  <r>
    <x v="1235"/>
    <x v="6"/>
    <d v="2023-01-16T00:00:00"/>
    <n v="2023"/>
    <x v="0"/>
    <n v="1"/>
    <x v="0"/>
    <x v="0"/>
    <n v="343.72"/>
    <s v="Customer C7684"/>
    <x v="1"/>
    <x v="2"/>
    <n v="5"/>
    <n v="2749.76"/>
  </r>
  <r>
    <x v="1236"/>
    <x v="0"/>
    <d v="2025-02-09T00:00:00"/>
    <n v="2025"/>
    <x v="0"/>
    <n v="2"/>
    <x v="9"/>
    <x v="5"/>
    <n v="584.04999999999995"/>
    <s v="Customer C7692"/>
    <x v="0"/>
    <x v="1"/>
    <n v="4"/>
    <n v="1168.0999999999999"/>
  </r>
  <r>
    <x v="1237"/>
    <x v="6"/>
    <d v="2025-02-13T00:00:00"/>
    <n v="2025"/>
    <x v="0"/>
    <n v="2"/>
    <x v="9"/>
    <x v="5"/>
    <n v="286.87"/>
    <s v="Customer C7696"/>
    <x v="0"/>
    <x v="1"/>
    <n v="4"/>
    <n v="573.74"/>
  </r>
  <r>
    <x v="1238"/>
    <x v="2"/>
    <d v="2023-06-25T00:00:00"/>
    <n v="2023"/>
    <x v="1"/>
    <n v="6"/>
    <x v="2"/>
    <x v="3"/>
    <n v="634.51"/>
    <s v="Customer C7704"/>
    <x v="0"/>
    <x v="1"/>
    <n v="4"/>
    <n v="3172.55"/>
  </r>
  <r>
    <x v="1239"/>
    <x v="4"/>
    <d v="2023-09-24T00:00:00"/>
    <n v="2023"/>
    <x v="2"/>
    <n v="9"/>
    <x v="11"/>
    <x v="5"/>
    <n v="453.05"/>
    <s v="Customer C7713"/>
    <x v="1"/>
    <x v="1"/>
    <n v="4"/>
    <n v="906.1"/>
  </r>
  <r>
    <x v="1240"/>
    <x v="4"/>
    <d v="2024-04-15T00:00:00"/>
    <n v="2024"/>
    <x v="1"/>
    <n v="4"/>
    <x v="5"/>
    <x v="7"/>
    <n v="16.100000000000001"/>
    <s v="Customer C7721"/>
    <x v="2"/>
    <x v="0"/>
    <n v="3"/>
    <n v="64.400000000000006"/>
  </r>
  <r>
    <x v="1241"/>
    <x v="2"/>
    <d v="2023-07-03T00:00:00"/>
    <n v="2023"/>
    <x v="2"/>
    <n v="7"/>
    <x v="3"/>
    <x v="0"/>
    <n v="298.3"/>
    <s v="Customer C7726"/>
    <x v="0"/>
    <x v="4"/>
    <n v="2"/>
    <n v="2386.4"/>
  </r>
  <r>
    <x v="1242"/>
    <x v="1"/>
    <d v="2024-11-10T00:00:00"/>
    <n v="2024"/>
    <x v="3"/>
    <n v="11"/>
    <x v="8"/>
    <x v="0"/>
    <n v="571.69000000000005"/>
    <s v="Customer C7729"/>
    <x v="0"/>
    <x v="3"/>
    <n v="1"/>
    <n v="4573.5200000000004"/>
  </r>
  <r>
    <x v="1243"/>
    <x v="4"/>
    <d v="2023-11-01T00:00:00"/>
    <n v="2023"/>
    <x v="3"/>
    <n v="11"/>
    <x v="8"/>
    <x v="6"/>
    <n v="485.73"/>
    <s v="Customer C7736"/>
    <x v="1"/>
    <x v="2"/>
    <n v="3"/>
    <n v="3400.11"/>
  </r>
  <r>
    <x v="1244"/>
    <x v="1"/>
    <d v="2024-02-29T00:00:00"/>
    <n v="2024"/>
    <x v="0"/>
    <n v="2"/>
    <x v="9"/>
    <x v="3"/>
    <n v="637.52"/>
    <s v="Customer C7750"/>
    <x v="2"/>
    <x v="2"/>
    <n v="4"/>
    <n v="3187.6"/>
  </r>
  <r>
    <x v="1245"/>
    <x v="5"/>
    <d v="2024-12-02T00:00:00"/>
    <n v="2024"/>
    <x v="3"/>
    <n v="12"/>
    <x v="7"/>
    <x v="5"/>
    <n v="479.88"/>
    <s v="Customer C7754"/>
    <x v="1"/>
    <x v="2"/>
    <n v="5"/>
    <n v="959.76"/>
  </r>
  <r>
    <x v="1246"/>
    <x v="1"/>
    <d v="2024-03-28T00:00:00"/>
    <n v="2024"/>
    <x v="0"/>
    <n v="3"/>
    <x v="10"/>
    <x v="5"/>
    <n v="166.58"/>
    <s v="Customer C7760"/>
    <x v="0"/>
    <x v="3"/>
    <n v="2"/>
    <n v="333.16"/>
  </r>
  <r>
    <x v="1247"/>
    <x v="0"/>
    <d v="2024-02-15T00:00:00"/>
    <n v="2024"/>
    <x v="0"/>
    <n v="2"/>
    <x v="9"/>
    <x v="4"/>
    <n v="387.28"/>
    <s v="Customer C7767"/>
    <x v="1"/>
    <x v="2"/>
    <n v="5"/>
    <n v="387.28"/>
  </r>
  <r>
    <x v="1248"/>
    <x v="6"/>
    <d v="2023-07-09T00:00:00"/>
    <n v="2023"/>
    <x v="2"/>
    <n v="7"/>
    <x v="3"/>
    <x v="5"/>
    <n v="664.71"/>
    <s v="Customer C7782"/>
    <x v="2"/>
    <x v="2"/>
    <n v="4"/>
    <n v="1329.42"/>
  </r>
  <r>
    <x v="1249"/>
    <x v="3"/>
    <d v="2024-12-02T00:00:00"/>
    <n v="2024"/>
    <x v="3"/>
    <n v="12"/>
    <x v="7"/>
    <x v="4"/>
    <n v="711.15"/>
    <s v="Customer C7784"/>
    <x v="2"/>
    <x v="2"/>
    <n v="4"/>
    <n v="711.15"/>
  </r>
  <r>
    <x v="1250"/>
    <x v="1"/>
    <d v="2023-09-12T00:00:00"/>
    <n v="2023"/>
    <x v="2"/>
    <n v="9"/>
    <x v="11"/>
    <x v="4"/>
    <n v="274.88"/>
    <s v="Customer C7785"/>
    <x v="0"/>
    <x v="2"/>
    <n v="2"/>
    <n v="274.88"/>
  </r>
  <r>
    <x v="1251"/>
    <x v="4"/>
    <d v="2023-09-05T00:00:00"/>
    <n v="2023"/>
    <x v="2"/>
    <n v="9"/>
    <x v="11"/>
    <x v="3"/>
    <n v="192.39"/>
    <s v="Customer C7787"/>
    <x v="1"/>
    <x v="2"/>
    <n v="1"/>
    <n v="961.95"/>
  </r>
  <r>
    <x v="1252"/>
    <x v="3"/>
    <d v="2024-10-24T00:00:00"/>
    <n v="2024"/>
    <x v="3"/>
    <n v="10"/>
    <x v="4"/>
    <x v="0"/>
    <n v="267.56"/>
    <s v="Customer C7789"/>
    <x v="0"/>
    <x v="4"/>
    <n v="2"/>
    <n v="2140.48"/>
  </r>
  <r>
    <x v="1253"/>
    <x v="5"/>
    <d v="2024-09-13T00:00:00"/>
    <n v="2024"/>
    <x v="2"/>
    <n v="9"/>
    <x v="11"/>
    <x v="5"/>
    <n v="756.45"/>
    <s v="Customer C7793"/>
    <x v="2"/>
    <x v="1"/>
    <n v="2"/>
    <n v="1512.9"/>
  </r>
  <r>
    <x v="1254"/>
    <x v="6"/>
    <d v="2023-12-30T00:00:00"/>
    <n v="2023"/>
    <x v="3"/>
    <n v="12"/>
    <x v="7"/>
    <x v="1"/>
    <n v="434.87"/>
    <s v="Customer C7795"/>
    <x v="1"/>
    <x v="2"/>
    <n v="3"/>
    <n v="1304.6099999999999"/>
  </r>
  <r>
    <x v="1255"/>
    <x v="4"/>
    <d v="2024-06-13T00:00:00"/>
    <n v="2024"/>
    <x v="1"/>
    <n v="6"/>
    <x v="2"/>
    <x v="6"/>
    <n v="462.28"/>
    <s v="Customer C7798"/>
    <x v="0"/>
    <x v="0"/>
    <n v="5"/>
    <n v="3235.96"/>
  </r>
  <r>
    <x v="1256"/>
    <x v="5"/>
    <d v="2023-10-27T00:00:00"/>
    <n v="2023"/>
    <x v="3"/>
    <n v="10"/>
    <x v="4"/>
    <x v="3"/>
    <n v="318.33"/>
    <s v="Customer C7799"/>
    <x v="1"/>
    <x v="4"/>
    <n v="2"/>
    <n v="1591.65"/>
  </r>
  <r>
    <x v="1257"/>
    <x v="3"/>
    <d v="2024-09-15T00:00:00"/>
    <n v="2024"/>
    <x v="2"/>
    <n v="9"/>
    <x v="11"/>
    <x v="7"/>
    <n v="720.83"/>
    <s v="Customer C7810"/>
    <x v="2"/>
    <x v="1"/>
    <n v="2"/>
    <n v="2883.32"/>
  </r>
  <r>
    <x v="1258"/>
    <x v="2"/>
    <d v="2025-03-08T00:00:00"/>
    <n v="2025"/>
    <x v="0"/>
    <n v="3"/>
    <x v="10"/>
    <x v="0"/>
    <n v="16.07"/>
    <s v="Customer C7816"/>
    <x v="1"/>
    <x v="2"/>
    <n v="3"/>
    <n v="128.56"/>
  </r>
  <r>
    <x v="1259"/>
    <x v="2"/>
    <d v="2024-06-15T00:00:00"/>
    <n v="2024"/>
    <x v="1"/>
    <n v="6"/>
    <x v="2"/>
    <x v="5"/>
    <n v="559.15"/>
    <s v="Customer C7824"/>
    <x v="0"/>
    <x v="3"/>
    <n v="1"/>
    <n v="1118.3"/>
  </r>
  <r>
    <x v="1259"/>
    <x v="0"/>
    <d v="2025-05-20T00:00:00"/>
    <n v="2025"/>
    <x v="1"/>
    <n v="5"/>
    <x v="1"/>
    <x v="2"/>
    <n v="286.05"/>
    <s v="Customer C7824"/>
    <x v="2"/>
    <x v="0"/>
    <n v="3"/>
    <n v="1716.3"/>
  </r>
  <r>
    <x v="1259"/>
    <x v="0"/>
    <d v="2023-02-05T00:00:00"/>
    <n v="2023"/>
    <x v="0"/>
    <n v="2"/>
    <x v="9"/>
    <x v="4"/>
    <n v="195.71"/>
    <s v="Customer C7824"/>
    <x v="0"/>
    <x v="1"/>
    <n v="3"/>
    <n v="195.71"/>
  </r>
  <r>
    <x v="1260"/>
    <x v="6"/>
    <d v="2024-12-30T00:00:00"/>
    <n v="2024"/>
    <x v="3"/>
    <n v="12"/>
    <x v="7"/>
    <x v="7"/>
    <n v="373.08"/>
    <s v="Customer C7830"/>
    <x v="2"/>
    <x v="1"/>
    <n v="5"/>
    <n v="1492.32"/>
  </r>
  <r>
    <x v="1261"/>
    <x v="3"/>
    <d v="2024-03-13T00:00:00"/>
    <n v="2024"/>
    <x v="0"/>
    <n v="3"/>
    <x v="10"/>
    <x v="7"/>
    <n v="778.86"/>
    <s v="Customer C7838"/>
    <x v="1"/>
    <x v="3"/>
    <n v="5"/>
    <n v="3115.44"/>
  </r>
  <r>
    <x v="1262"/>
    <x v="4"/>
    <d v="2024-05-27T00:00:00"/>
    <n v="2024"/>
    <x v="1"/>
    <n v="5"/>
    <x v="1"/>
    <x v="2"/>
    <n v="280.63"/>
    <s v="Customer C7846"/>
    <x v="2"/>
    <x v="2"/>
    <n v="3"/>
    <n v="1683.78"/>
  </r>
  <r>
    <x v="1263"/>
    <x v="2"/>
    <d v="2023-03-19T00:00:00"/>
    <n v="2023"/>
    <x v="0"/>
    <n v="3"/>
    <x v="10"/>
    <x v="2"/>
    <n v="425.92"/>
    <s v="Customer C7855"/>
    <x v="2"/>
    <x v="2"/>
    <n v="1"/>
    <n v="2555.52"/>
  </r>
  <r>
    <x v="1263"/>
    <x v="6"/>
    <d v="2024-07-22T00:00:00"/>
    <n v="2024"/>
    <x v="2"/>
    <n v="7"/>
    <x v="3"/>
    <x v="5"/>
    <n v="144.86000000000001"/>
    <s v="Customer C7855"/>
    <x v="0"/>
    <x v="1"/>
    <n v="4"/>
    <n v="289.72000000000003"/>
  </r>
  <r>
    <x v="1264"/>
    <x v="1"/>
    <d v="2023-06-04T00:00:00"/>
    <n v="2023"/>
    <x v="1"/>
    <n v="6"/>
    <x v="2"/>
    <x v="6"/>
    <n v="107.51"/>
    <s v="Customer C7859"/>
    <x v="2"/>
    <x v="3"/>
    <n v="1"/>
    <n v="752.57"/>
  </r>
  <r>
    <x v="1265"/>
    <x v="5"/>
    <d v="2024-07-10T00:00:00"/>
    <n v="2024"/>
    <x v="2"/>
    <n v="7"/>
    <x v="3"/>
    <x v="1"/>
    <n v="145.13"/>
    <s v="Customer C7866"/>
    <x v="1"/>
    <x v="0"/>
    <n v="3"/>
    <n v="435.39"/>
  </r>
  <r>
    <x v="1266"/>
    <x v="5"/>
    <d v="2025-04-13T00:00:00"/>
    <n v="2025"/>
    <x v="1"/>
    <n v="4"/>
    <x v="5"/>
    <x v="2"/>
    <n v="776.63"/>
    <s v="Customer C7878"/>
    <x v="2"/>
    <x v="3"/>
    <n v="2"/>
    <n v="4659.78"/>
  </r>
  <r>
    <x v="1267"/>
    <x v="3"/>
    <d v="2024-09-12T00:00:00"/>
    <n v="2024"/>
    <x v="2"/>
    <n v="9"/>
    <x v="11"/>
    <x v="4"/>
    <n v="417.04"/>
    <s v="Customer C7884"/>
    <x v="0"/>
    <x v="2"/>
    <n v="3"/>
    <n v="417.04"/>
  </r>
  <r>
    <x v="1268"/>
    <x v="3"/>
    <d v="2023-04-08T00:00:00"/>
    <n v="2023"/>
    <x v="1"/>
    <n v="4"/>
    <x v="5"/>
    <x v="7"/>
    <n v="62.34"/>
    <s v="Customer C7891"/>
    <x v="2"/>
    <x v="4"/>
    <n v="4"/>
    <n v="249.36"/>
  </r>
  <r>
    <x v="1269"/>
    <x v="6"/>
    <d v="2024-01-05T00:00:00"/>
    <n v="2024"/>
    <x v="0"/>
    <n v="1"/>
    <x v="0"/>
    <x v="4"/>
    <n v="172.22"/>
    <s v="Customer C7895"/>
    <x v="1"/>
    <x v="3"/>
    <n v="1"/>
    <n v="172.22"/>
  </r>
  <r>
    <x v="1270"/>
    <x v="2"/>
    <d v="2023-06-17T00:00:00"/>
    <n v="2023"/>
    <x v="1"/>
    <n v="6"/>
    <x v="2"/>
    <x v="5"/>
    <n v="584.52"/>
    <s v="Customer C7896"/>
    <x v="1"/>
    <x v="3"/>
    <n v="1"/>
    <n v="1169.04"/>
  </r>
  <r>
    <x v="1271"/>
    <x v="6"/>
    <d v="2023-09-14T00:00:00"/>
    <n v="2023"/>
    <x v="2"/>
    <n v="9"/>
    <x v="11"/>
    <x v="6"/>
    <n v="431.76"/>
    <s v="Customer C7897"/>
    <x v="0"/>
    <x v="4"/>
    <n v="1"/>
    <n v="3022.32"/>
  </r>
  <r>
    <x v="1272"/>
    <x v="1"/>
    <d v="2025-03-30T00:00:00"/>
    <n v="2025"/>
    <x v="0"/>
    <n v="3"/>
    <x v="10"/>
    <x v="7"/>
    <n v="778.62"/>
    <s v="Customer C7899"/>
    <x v="2"/>
    <x v="0"/>
    <n v="1"/>
    <n v="3114.48"/>
  </r>
  <r>
    <x v="1273"/>
    <x v="2"/>
    <d v="2023-02-14T00:00:00"/>
    <n v="2023"/>
    <x v="0"/>
    <n v="2"/>
    <x v="9"/>
    <x v="2"/>
    <n v="372.68"/>
    <s v="Customer C7900"/>
    <x v="1"/>
    <x v="4"/>
    <n v="2"/>
    <n v="2236.08"/>
  </r>
  <r>
    <x v="1274"/>
    <x v="0"/>
    <d v="2023-09-14T00:00:00"/>
    <n v="2023"/>
    <x v="2"/>
    <n v="9"/>
    <x v="11"/>
    <x v="6"/>
    <n v="693.18"/>
    <s v="Customer C7903"/>
    <x v="0"/>
    <x v="0"/>
    <n v="2"/>
    <n v="4852.26"/>
  </r>
  <r>
    <x v="1275"/>
    <x v="6"/>
    <d v="2024-08-21T00:00:00"/>
    <n v="2024"/>
    <x v="2"/>
    <n v="8"/>
    <x v="6"/>
    <x v="0"/>
    <n v="665.91"/>
    <s v="Customer C7916"/>
    <x v="2"/>
    <x v="4"/>
    <n v="4"/>
    <n v="5327.28"/>
  </r>
  <r>
    <x v="1276"/>
    <x v="4"/>
    <d v="2023-08-07T00:00:00"/>
    <n v="2023"/>
    <x v="2"/>
    <n v="8"/>
    <x v="6"/>
    <x v="3"/>
    <n v="793.17"/>
    <s v="Customer C7924"/>
    <x v="1"/>
    <x v="0"/>
    <n v="3"/>
    <n v="3965.85"/>
  </r>
  <r>
    <x v="1277"/>
    <x v="5"/>
    <d v="2024-11-24T00:00:00"/>
    <n v="2024"/>
    <x v="3"/>
    <n v="11"/>
    <x v="8"/>
    <x v="4"/>
    <n v="89.17"/>
    <s v="Customer C7925"/>
    <x v="2"/>
    <x v="3"/>
    <n v="4"/>
    <n v="89.17"/>
  </r>
  <r>
    <x v="1278"/>
    <x v="0"/>
    <d v="2023-03-29T00:00:00"/>
    <n v="2023"/>
    <x v="0"/>
    <n v="3"/>
    <x v="10"/>
    <x v="1"/>
    <n v="770.49"/>
    <s v="Customer C7931"/>
    <x v="0"/>
    <x v="3"/>
    <n v="4"/>
    <n v="2311.4699999999998"/>
  </r>
  <r>
    <x v="1279"/>
    <x v="6"/>
    <d v="2025-06-28T00:00:00"/>
    <n v="2025"/>
    <x v="1"/>
    <n v="6"/>
    <x v="2"/>
    <x v="2"/>
    <n v="438.12"/>
    <s v="Customer C7956"/>
    <x v="1"/>
    <x v="3"/>
    <n v="4"/>
    <n v="2628.72"/>
  </r>
  <r>
    <x v="1280"/>
    <x v="6"/>
    <d v="2024-04-16T00:00:00"/>
    <n v="2024"/>
    <x v="1"/>
    <n v="4"/>
    <x v="5"/>
    <x v="7"/>
    <n v="102.51"/>
    <s v="Customer C7988"/>
    <x v="1"/>
    <x v="3"/>
    <n v="4"/>
    <n v="410.04"/>
  </r>
  <r>
    <x v="1281"/>
    <x v="5"/>
    <d v="2025-03-03T00:00:00"/>
    <n v="2025"/>
    <x v="0"/>
    <n v="3"/>
    <x v="10"/>
    <x v="5"/>
    <n v="624.33000000000004"/>
    <s v="Customer C7989"/>
    <x v="0"/>
    <x v="1"/>
    <n v="3"/>
    <n v="1248.6600000000001"/>
  </r>
  <r>
    <x v="1282"/>
    <x v="1"/>
    <d v="2024-04-14T00:00:00"/>
    <n v="2024"/>
    <x v="1"/>
    <n v="4"/>
    <x v="5"/>
    <x v="3"/>
    <n v="295.23"/>
    <s v="Customer C7994"/>
    <x v="2"/>
    <x v="4"/>
    <n v="5"/>
    <n v="1476.15"/>
  </r>
  <r>
    <x v="1283"/>
    <x v="5"/>
    <d v="2024-07-19T00:00:00"/>
    <n v="2024"/>
    <x v="2"/>
    <n v="7"/>
    <x v="3"/>
    <x v="3"/>
    <n v="321.33"/>
    <s v="Customer C7999"/>
    <x v="1"/>
    <x v="1"/>
    <n v="2"/>
    <n v="1606.65"/>
  </r>
  <r>
    <x v="1284"/>
    <x v="2"/>
    <d v="2024-09-10T00:00:00"/>
    <n v="2024"/>
    <x v="2"/>
    <n v="9"/>
    <x v="11"/>
    <x v="3"/>
    <n v="773.71"/>
    <s v="Customer C8001"/>
    <x v="0"/>
    <x v="3"/>
    <n v="3"/>
    <n v="3868.55"/>
  </r>
  <r>
    <x v="1285"/>
    <x v="1"/>
    <d v="2025-02-28T00:00:00"/>
    <n v="2025"/>
    <x v="0"/>
    <n v="2"/>
    <x v="9"/>
    <x v="6"/>
    <n v="666.21"/>
    <s v="Customer C8014"/>
    <x v="2"/>
    <x v="1"/>
    <n v="2"/>
    <n v="4663.47"/>
  </r>
  <r>
    <x v="1286"/>
    <x v="2"/>
    <d v="2023-12-14T00:00:00"/>
    <n v="2023"/>
    <x v="3"/>
    <n v="12"/>
    <x v="7"/>
    <x v="1"/>
    <n v="27.49"/>
    <s v="Customer C8021"/>
    <x v="0"/>
    <x v="2"/>
    <n v="2"/>
    <n v="82.47"/>
  </r>
  <r>
    <x v="1287"/>
    <x v="5"/>
    <d v="2025-03-06T00:00:00"/>
    <n v="2025"/>
    <x v="0"/>
    <n v="3"/>
    <x v="10"/>
    <x v="2"/>
    <n v="452.54"/>
    <s v="Customer C8030"/>
    <x v="0"/>
    <x v="2"/>
    <n v="2"/>
    <n v="2715.24"/>
  </r>
  <r>
    <x v="1287"/>
    <x v="6"/>
    <d v="2025-03-26T00:00:00"/>
    <n v="2025"/>
    <x v="0"/>
    <n v="3"/>
    <x v="10"/>
    <x v="4"/>
    <n v="22.9"/>
    <s v="Customer C8030"/>
    <x v="2"/>
    <x v="2"/>
    <n v="2"/>
    <n v="22.9"/>
  </r>
  <r>
    <x v="1288"/>
    <x v="5"/>
    <d v="2023-04-29T00:00:00"/>
    <n v="2023"/>
    <x v="1"/>
    <n v="4"/>
    <x v="5"/>
    <x v="6"/>
    <n v="791.44"/>
    <s v="Customer C8033"/>
    <x v="0"/>
    <x v="4"/>
    <n v="1"/>
    <n v="5540.08"/>
  </r>
  <r>
    <x v="1289"/>
    <x v="4"/>
    <d v="2023-12-19T00:00:00"/>
    <n v="2023"/>
    <x v="3"/>
    <n v="12"/>
    <x v="7"/>
    <x v="0"/>
    <n v="446.4"/>
    <s v="Customer C8036"/>
    <x v="1"/>
    <x v="1"/>
    <n v="3"/>
    <n v="3571.2"/>
  </r>
  <r>
    <x v="1289"/>
    <x v="1"/>
    <d v="2024-09-22T00:00:00"/>
    <n v="2024"/>
    <x v="2"/>
    <n v="9"/>
    <x v="11"/>
    <x v="4"/>
    <n v="592.24"/>
    <s v="Customer C8036"/>
    <x v="0"/>
    <x v="0"/>
    <n v="3"/>
    <n v="592.24"/>
  </r>
  <r>
    <x v="1290"/>
    <x v="1"/>
    <d v="2023-04-03T00:00:00"/>
    <n v="2023"/>
    <x v="1"/>
    <n v="4"/>
    <x v="5"/>
    <x v="3"/>
    <n v="770.99"/>
    <s v="Customer C8044"/>
    <x v="0"/>
    <x v="4"/>
    <n v="4"/>
    <n v="3854.95"/>
  </r>
  <r>
    <x v="1291"/>
    <x v="4"/>
    <d v="2024-11-12T00:00:00"/>
    <n v="2024"/>
    <x v="3"/>
    <n v="11"/>
    <x v="8"/>
    <x v="7"/>
    <n v="276.02"/>
    <s v="Customer C8052"/>
    <x v="2"/>
    <x v="4"/>
    <n v="5"/>
    <n v="1104.08"/>
  </r>
  <r>
    <x v="1292"/>
    <x v="1"/>
    <d v="2025-06-22T00:00:00"/>
    <n v="2025"/>
    <x v="1"/>
    <n v="6"/>
    <x v="2"/>
    <x v="4"/>
    <n v="470.23"/>
    <s v="Customer C8053"/>
    <x v="0"/>
    <x v="2"/>
    <n v="3"/>
    <n v="470.23"/>
  </r>
  <r>
    <x v="1293"/>
    <x v="6"/>
    <d v="2025-04-29T00:00:00"/>
    <n v="2025"/>
    <x v="1"/>
    <n v="4"/>
    <x v="5"/>
    <x v="4"/>
    <n v="728.52"/>
    <s v="Customer C8055"/>
    <x v="0"/>
    <x v="4"/>
    <n v="2"/>
    <n v="728.52"/>
  </r>
  <r>
    <x v="1294"/>
    <x v="0"/>
    <d v="2024-12-08T00:00:00"/>
    <n v="2024"/>
    <x v="3"/>
    <n v="12"/>
    <x v="7"/>
    <x v="0"/>
    <n v="377.44"/>
    <s v="Customer C8065"/>
    <x v="1"/>
    <x v="3"/>
    <n v="5"/>
    <n v="3019.52"/>
  </r>
  <r>
    <x v="1295"/>
    <x v="1"/>
    <d v="2024-08-24T00:00:00"/>
    <n v="2024"/>
    <x v="2"/>
    <n v="8"/>
    <x v="6"/>
    <x v="6"/>
    <n v="217.75"/>
    <s v="Customer C8067"/>
    <x v="0"/>
    <x v="4"/>
    <n v="1"/>
    <n v="1524.25"/>
  </r>
  <r>
    <x v="1296"/>
    <x v="5"/>
    <d v="2024-04-06T00:00:00"/>
    <n v="2024"/>
    <x v="1"/>
    <n v="4"/>
    <x v="5"/>
    <x v="4"/>
    <n v="292.60000000000002"/>
    <s v="Customer C8072"/>
    <x v="0"/>
    <x v="2"/>
    <n v="1"/>
    <n v="292.60000000000002"/>
  </r>
  <r>
    <x v="1297"/>
    <x v="1"/>
    <d v="2024-10-04T00:00:00"/>
    <n v="2024"/>
    <x v="3"/>
    <n v="10"/>
    <x v="4"/>
    <x v="0"/>
    <n v="349.4"/>
    <s v="Customer C8077"/>
    <x v="1"/>
    <x v="4"/>
    <n v="5"/>
    <n v="2795.2"/>
  </r>
  <r>
    <x v="1298"/>
    <x v="5"/>
    <d v="2023-12-16T00:00:00"/>
    <n v="2023"/>
    <x v="3"/>
    <n v="12"/>
    <x v="7"/>
    <x v="4"/>
    <n v="234.44"/>
    <s v="Customer C8085"/>
    <x v="0"/>
    <x v="3"/>
    <n v="3"/>
    <n v="234.44"/>
  </r>
  <r>
    <x v="1299"/>
    <x v="5"/>
    <d v="2025-02-16T00:00:00"/>
    <n v="2025"/>
    <x v="0"/>
    <n v="2"/>
    <x v="9"/>
    <x v="6"/>
    <n v="653.16999999999996"/>
    <s v="Customer C8088"/>
    <x v="2"/>
    <x v="2"/>
    <n v="4"/>
    <n v="4572.1899999999996"/>
  </r>
  <r>
    <x v="1300"/>
    <x v="6"/>
    <d v="2025-06-23T00:00:00"/>
    <n v="2025"/>
    <x v="1"/>
    <n v="6"/>
    <x v="2"/>
    <x v="2"/>
    <n v="755.15"/>
    <s v="Customer C8097"/>
    <x v="0"/>
    <x v="1"/>
    <n v="3"/>
    <n v="4530.8999999999996"/>
  </r>
  <r>
    <x v="1301"/>
    <x v="0"/>
    <d v="2024-05-20T00:00:00"/>
    <n v="2024"/>
    <x v="1"/>
    <n v="5"/>
    <x v="1"/>
    <x v="7"/>
    <n v="492.34"/>
    <s v="Customer C8098"/>
    <x v="1"/>
    <x v="4"/>
    <n v="5"/>
    <n v="1969.36"/>
  </r>
  <r>
    <x v="1302"/>
    <x v="0"/>
    <d v="2024-07-20T00:00:00"/>
    <n v="2024"/>
    <x v="2"/>
    <n v="7"/>
    <x v="3"/>
    <x v="1"/>
    <n v="792.02"/>
    <s v="Customer C8104"/>
    <x v="2"/>
    <x v="2"/>
    <n v="4"/>
    <n v="2376.06"/>
  </r>
  <r>
    <x v="1303"/>
    <x v="5"/>
    <d v="2025-06-18T00:00:00"/>
    <n v="2025"/>
    <x v="1"/>
    <n v="6"/>
    <x v="2"/>
    <x v="6"/>
    <n v="483.57"/>
    <s v="Customer C8109"/>
    <x v="2"/>
    <x v="2"/>
    <n v="5"/>
    <n v="3384.99"/>
  </r>
  <r>
    <x v="1304"/>
    <x v="1"/>
    <d v="2023-10-18T00:00:00"/>
    <n v="2023"/>
    <x v="3"/>
    <n v="10"/>
    <x v="4"/>
    <x v="4"/>
    <n v="107.67"/>
    <s v="Customer C8117"/>
    <x v="1"/>
    <x v="2"/>
    <n v="5"/>
    <n v="107.67"/>
  </r>
  <r>
    <x v="1305"/>
    <x v="5"/>
    <d v="2023-04-15T00:00:00"/>
    <n v="2023"/>
    <x v="1"/>
    <n v="4"/>
    <x v="5"/>
    <x v="3"/>
    <n v="104.19"/>
    <s v="Customer C8121"/>
    <x v="0"/>
    <x v="2"/>
    <n v="5"/>
    <n v="520.95000000000005"/>
  </r>
  <r>
    <x v="1306"/>
    <x v="6"/>
    <d v="2024-09-06T00:00:00"/>
    <n v="2024"/>
    <x v="2"/>
    <n v="9"/>
    <x v="11"/>
    <x v="1"/>
    <n v="253.18"/>
    <s v="Customer C8124"/>
    <x v="2"/>
    <x v="0"/>
    <n v="3"/>
    <n v="759.54"/>
  </r>
  <r>
    <x v="1307"/>
    <x v="2"/>
    <d v="2025-03-24T00:00:00"/>
    <n v="2025"/>
    <x v="0"/>
    <n v="3"/>
    <x v="10"/>
    <x v="4"/>
    <n v="304"/>
    <s v="Customer C8133"/>
    <x v="1"/>
    <x v="0"/>
    <n v="3"/>
    <n v="304"/>
  </r>
  <r>
    <x v="1308"/>
    <x v="5"/>
    <d v="2023-09-29T00:00:00"/>
    <n v="2023"/>
    <x v="2"/>
    <n v="9"/>
    <x v="11"/>
    <x v="1"/>
    <n v="194.81"/>
    <s v="Customer C8138"/>
    <x v="2"/>
    <x v="0"/>
    <n v="5"/>
    <n v="584.42999999999995"/>
  </r>
  <r>
    <x v="1309"/>
    <x v="0"/>
    <d v="2023-10-02T00:00:00"/>
    <n v="2023"/>
    <x v="3"/>
    <n v="10"/>
    <x v="4"/>
    <x v="4"/>
    <n v="88.6"/>
    <s v="Customer C8156"/>
    <x v="1"/>
    <x v="1"/>
    <n v="2"/>
    <n v="88.6"/>
  </r>
  <r>
    <x v="1310"/>
    <x v="0"/>
    <d v="2024-01-22T00:00:00"/>
    <n v="2024"/>
    <x v="0"/>
    <n v="1"/>
    <x v="0"/>
    <x v="4"/>
    <n v="629.94000000000005"/>
    <s v="Customer C8158"/>
    <x v="2"/>
    <x v="1"/>
    <n v="5"/>
    <n v="629.94000000000005"/>
  </r>
  <r>
    <x v="1311"/>
    <x v="0"/>
    <d v="2023-11-07T00:00:00"/>
    <n v="2023"/>
    <x v="3"/>
    <n v="11"/>
    <x v="8"/>
    <x v="5"/>
    <n v="224.29"/>
    <s v="Customer C8160"/>
    <x v="2"/>
    <x v="2"/>
    <n v="1"/>
    <n v="448.58"/>
  </r>
  <r>
    <x v="1312"/>
    <x v="5"/>
    <d v="2023-07-05T00:00:00"/>
    <n v="2023"/>
    <x v="2"/>
    <n v="7"/>
    <x v="3"/>
    <x v="7"/>
    <n v="561.38"/>
    <s v="Customer C8164"/>
    <x v="1"/>
    <x v="4"/>
    <n v="1"/>
    <n v="2245.52"/>
  </r>
  <r>
    <x v="1313"/>
    <x v="4"/>
    <d v="2023-04-03T00:00:00"/>
    <n v="2023"/>
    <x v="1"/>
    <n v="4"/>
    <x v="5"/>
    <x v="2"/>
    <n v="295.93"/>
    <s v="Customer C8169"/>
    <x v="0"/>
    <x v="3"/>
    <n v="2"/>
    <n v="1775.58"/>
  </r>
  <r>
    <x v="1314"/>
    <x v="0"/>
    <d v="2025-01-21T00:00:00"/>
    <n v="2025"/>
    <x v="0"/>
    <n v="1"/>
    <x v="0"/>
    <x v="1"/>
    <n v="7.63"/>
    <s v="Customer C8176"/>
    <x v="1"/>
    <x v="4"/>
    <n v="3"/>
    <n v="22.89"/>
  </r>
  <r>
    <x v="1315"/>
    <x v="1"/>
    <d v="2024-03-28T00:00:00"/>
    <n v="2024"/>
    <x v="0"/>
    <n v="3"/>
    <x v="10"/>
    <x v="0"/>
    <n v="19.29"/>
    <s v="Customer C8199"/>
    <x v="1"/>
    <x v="3"/>
    <n v="4"/>
    <n v="154.32"/>
  </r>
  <r>
    <x v="1316"/>
    <x v="1"/>
    <d v="2023-01-23T00:00:00"/>
    <n v="2023"/>
    <x v="0"/>
    <n v="1"/>
    <x v="0"/>
    <x v="2"/>
    <n v="744.27"/>
    <s v="Customer C8201"/>
    <x v="2"/>
    <x v="4"/>
    <n v="5"/>
    <n v="4465.62"/>
  </r>
  <r>
    <x v="1317"/>
    <x v="3"/>
    <d v="2024-11-22T00:00:00"/>
    <n v="2024"/>
    <x v="3"/>
    <n v="11"/>
    <x v="8"/>
    <x v="2"/>
    <n v="794.18"/>
    <s v="Customer C8203"/>
    <x v="2"/>
    <x v="4"/>
    <n v="2"/>
    <n v="4765.08"/>
  </r>
  <r>
    <x v="1318"/>
    <x v="5"/>
    <d v="2023-11-21T00:00:00"/>
    <n v="2023"/>
    <x v="3"/>
    <n v="11"/>
    <x v="8"/>
    <x v="1"/>
    <n v="251.56"/>
    <s v="Customer C8205"/>
    <x v="0"/>
    <x v="1"/>
    <n v="2"/>
    <n v="754.68"/>
  </r>
  <r>
    <x v="1319"/>
    <x v="0"/>
    <d v="2025-03-04T00:00:00"/>
    <n v="2025"/>
    <x v="0"/>
    <n v="3"/>
    <x v="10"/>
    <x v="3"/>
    <n v="416.21"/>
    <s v="Customer C8210"/>
    <x v="1"/>
    <x v="3"/>
    <n v="1"/>
    <n v="2081.0500000000002"/>
  </r>
  <r>
    <x v="1320"/>
    <x v="0"/>
    <d v="2023-01-26T00:00:00"/>
    <n v="2023"/>
    <x v="0"/>
    <n v="1"/>
    <x v="0"/>
    <x v="5"/>
    <n v="181.2"/>
    <s v="Customer C8214"/>
    <x v="1"/>
    <x v="3"/>
    <n v="5"/>
    <n v="362.4"/>
  </r>
  <r>
    <x v="1321"/>
    <x v="1"/>
    <d v="2023-03-31T00:00:00"/>
    <n v="2023"/>
    <x v="0"/>
    <n v="3"/>
    <x v="10"/>
    <x v="1"/>
    <n v="308.95"/>
    <s v="Customer C8217"/>
    <x v="0"/>
    <x v="1"/>
    <n v="1"/>
    <n v="926.85"/>
  </r>
  <r>
    <x v="1321"/>
    <x v="6"/>
    <d v="2025-02-13T00:00:00"/>
    <n v="2025"/>
    <x v="0"/>
    <n v="2"/>
    <x v="9"/>
    <x v="1"/>
    <n v="699.19"/>
    <s v="Customer C8217"/>
    <x v="0"/>
    <x v="0"/>
    <n v="2"/>
    <n v="2097.5700000000002"/>
  </r>
  <r>
    <x v="1322"/>
    <x v="2"/>
    <d v="2023-06-22T00:00:00"/>
    <n v="2023"/>
    <x v="1"/>
    <n v="6"/>
    <x v="2"/>
    <x v="2"/>
    <n v="181.48"/>
    <s v="Customer C8220"/>
    <x v="0"/>
    <x v="1"/>
    <n v="1"/>
    <n v="1088.8800000000001"/>
  </r>
  <r>
    <x v="1322"/>
    <x v="5"/>
    <d v="2025-04-16T00:00:00"/>
    <n v="2025"/>
    <x v="1"/>
    <n v="4"/>
    <x v="5"/>
    <x v="3"/>
    <n v="507.53"/>
    <s v="Customer C8220"/>
    <x v="0"/>
    <x v="4"/>
    <n v="3"/>
    <n v="2537.65"/>
  </r>
  <r>
    <x v="1323"/>
    <x v="4"/>
    <d v="2024-04-05T00:00:00"/>
    <n v="2024"/>
    <x v="1"/>
    <n v="4"/>
    <x v="5"/>
    <x v="6"/>
    <n v="27.49"/>
    <s v="Customer C8228"/>
    <x v="0"/>
    <x v="4"/>
    <n v="1"/>
    <n v="192.43"/>
  </r>
  <r>
    <x v="1324"/>
    <x v="1"/>
    <d v="2024-10-21T00:00:00"/>
    <n v="2024"/>
    <x v="3"/>
    <n v="10"/>
    <x v="4"/>
    <x v="6"/>
    <n v="27.92"/>
    <s v="Customer C8229"/>
    <x v="2"/>
    <x v="2"/>
    <n v="1"/>
    <n v="195.44"/>
  </r>
  <r>
    <x v="1325"/>
    <x v="6"/>
    <d v="2023-11-07T00:00:00"/>
    <n v="2023"/>
    <x v="3"/>
    <n v="11"/>
    <x v="8"/>
    <x v="2"/>
    <n v="574.6"/>
    <s v="Customer C8230"/>
    <x v="1"/>
    <x v="4"/>
    <n v="2"/>
    <n v="3447.6"/>
  </r>
  <r>
    <x v="1326"/>
    <x v="6"/>
    <d v="2023-11-14T00:00:00"/>
    <n v="2023"/>
    <x v="3"/>
    <n v="11"/>
    <x v="8"/>
    <x v="3"/>
    <n v="260.07"/>
    <s v="Customer C8236"/>
    <x v="2"/>
    <x v="3"/>
    <n v="2"/>
    <n v="1300.3499999999999"/>
  </r>
  <r>
    <x v="1327"/>
    <x v="2"/>
    <d v="2023-05-15T00:00:00"/>
    <n v="2023"/>
    <x v="1"/>
    <n v="5"/>
    <x v="1"/>
    <x v="1"/>
    <n v="13.08"/>
    <s v="Customer C8238"/>
    <x v="2"/>
    <x v="3"/>
    <n v="4"/>
    <n v="39.24"/>
  </r>
  <r>
    <x v="1328"/>
    <x v="4"/>
    <d v="2024-12-05T00:00:00"/>
    <n v="2024"/>
    <x v="3"/>
    <n v="12"/>
    <x v="7"/>
    <x v="6"/>
    <n v="408.12"/>
    <s v="Customer C8244"/>
    <x v="1"/>
    <x v="0"/>
    <n v="5"/>
    <n v="2856.84"/>
  </r>
  <r>
    <x v="1329"/>
    <x v="4"/>
    <d v="2025-01-04T00:00:00"/>
    <n v="2025"/>
    <x v="0"/>
    <n v="1"/>
    <x v="0"/>
    <x v="1"/>
    <n v="261.04000000000002"/>
    <s v="Customer C8245"/>
    <x v="0"/>
    <x v="2"/>
    <n v="3"/>
    <n v="783.12"/>
  </r>
  <r>
    <x v="1330"/>
    <x v="6"/>
    <d v="2023-10-04T00:00:00"/>
    <n v="2023"/>
    <x v="3"/>
    <n v="10"/>
    <x v="4"/>
    <x v="7"/>
    <n v="447.82"/>
    <s v="Customer C8246"/>
    <x v="2"/>
    <x v="3"/>
    <n v="1"/>
    <n v="1791.28"/>
  </r>
  <r>
    <x v="1331"/>
    <x v="6"/>
    <d v="2025-05-08T00:00:00"/>
    <n v="2025"/>
    <x v="1"/>
    <n v="5"/>
    <x v="1"/>
    <x v="6"/>
    <n v="497.8"/>
    <s v="Customer C8247"/>
    <x v="1"/>
    <x v="4"/>
    <n v="5"/>
    <n v="3484.6"/>
  </r>
  <r>
    <x v="1332"/>
    <x v="3"/>
    <d v="2024-05-12T00:00:00"/>
    <n v="2024"/>
    <x v="1"/>
    <n v="5"/>
    <x v="1"/>
    <x v="0"/>
    <n v="126.49"/>
    <s v="Customer C8254"/>
    <x v="1"/>
    <x v="0"/>
    <n v="5"/>
    <n v="1011.92"/>
  </r>
  <r>
    <x v="1333"/>
    <x v="2"/>
    <d v="2025-02-21T00:00:00"/>
    <n v="2025"/>
    <x v="0"/>
    <n v="2"/>
    <x v="9"/>
    <x v="6"/>
    <n v="77.790000000000006"/>
    <s v="Customer C8257"/>
    <x v="0"/>
    <x v="0"/>
    <n v="5"/>
    <n v="544.53"/>
  </r>
  <r>
    <x v="1333"/>
    <x v="0"/>
    <d v="2024-07-18T00:00:00"/>
    <n v="2024"/>
    <x v="2"/>
    <n v="7"/>
    <x v="3"/>
    <x v="5"/>
    <n v="96.41"/>
    <s v="Customer C8257"/>
    <x v="0"/>
    <x v="1"/>
    <n v="2"/>
    <n v="192.82"/>
  </r>
  <r>
    <x v="1334"/>
    <x v="6"/>
    <d v="2023-01-27T00:00:00"/>
    <n v="2023"/>
    <x v="0"/>
    <n v="1"/>
    <x v="0"/>
    <x v="5"/>
    <n v="377.71"/>
    <s v="Customer C8260"/>
    <x v="2"/>
    <x v="0"/>
    <n v="2"/>
    <n v="755.42"/>
  </r>
  <r>
    <x v="1335"/>
    <x v="4"/>
    <d v="2023-11-13T00:00:00"/>
    <n v="2023"/>
    <x v="3"/>
    <n v="11"/>
    <x v="8"/>
    <x v="1"/>
    <n v="41.57"/>
    <s v="Customer C8263"/>
    <x v="0"/>
    <x v="3"/>
    <n v="4"/>
    <n v="124.71"/>
  </r>
  <r>
    <x v="1336"/>
    <x v="6"/>
    <d v="2025-06-22T00:00:00"/>
    <n v="2025"/>
    <x v="1"/>
    <n v="6"/>
    <x v="2"/>
    <x v="0"/>
    <n v="300.64"/>
    <s v="Customer C8267"/>
    <x v="0"/>
    <x v="1"/>
    <n v="3"/>
    <n v="2405.12"/>
  </r>
  <r>
    <x v="1337"/>
    <x v="2"/>
    <d v="2023-06-15T00:00:00"/>
    <n v="2023"/>
    <x v="1"/>
    <n v="6"/>
    <x v="2"/>
    <x v="6"/>
    <n v="791.31"/>
    <s v="Customer C8269"/>
    <x v="1"/>
    <x v="2"/>
    <n v="2"/>
    <n v="5539.17"/>
  </r>
  <r>
    <x v="1338"/>
    <x v="3"/>
    <d v="2023-07-28T00:00:00"/>
    <n v="2023"/>
    <x v="2"/>
    <n v="7"/>
    <x v="3"/>
    <x v="7"/>
    <n v="309.29000000000002"/>
    <s v="Customer C8272"/>
    <x v="1"/>
    <x v="0"/>
    <n v="5"/>
    <n v="1237.1600000000001"/>
  </r>
  <r>
    <x v="1339"/>
    <x v="3"/>
    <d v="2025-06-05T00:00:00"/>
    <n v="2025"/>
    <x v="1"/>
    <n v="6"/>
    <x v="2"/>
    <x v="3"/>
    <n v="287.66000000000003"/>
    <s v="Customer C8283"/>
    <x v="1"/>
    <x v="2"/>
    <n v="3"/>
    <n v="1438.3"/>
  </r>
  <r>
    <x v="1339"/>
    <x v="3"/>
    <d v="2025-06-19T00:00:00"/>
    <n v="2025"/>
    <x v="1"/>
    <n v="6"/>
    <x v="2"/>
    <x v="1"/>
    <n v="314.79000000000002"/>
    <s v="Customer C8283"/>
    <x v="1"/>
    <x v="0"/>
    <n v="4"/>
    <n v="944.37"/>
  </r>
  <r>
    <x v="1340"/>
    <x v="3"/>
    <d v="2025-01-27T00:00:00"/>
    <n v="2025"/>
    <x v="0"/>
    <n v="1"/>
    <x v="0"/>
    <x v="1"/>
    <n v="383.22"/>
    <s v="Customer C8285"/>
    <x v="0"/>
    <x v="0"/>
    <n v="3"/>
    <n v="1149.6600000000001"/>
  </r>
  <r>
    <x v="1341"/>
    <x v="6"/>
    <d v="2025-04-04T00:00:00"/>
    <n v="2025"/>
    <x v="1"/>
    <n v="4"/>
    <x v="5"/>
    <x v="4"/>
    <n v="373.32"/>
    <s v="Customer C8292"/>
    <x v="1"/>
    <x v="4"/>
    <n v="1"/>
    <n v="373.32"/>
  </r>
  <r>
    <x v="1342"/>
    <x v="4"/>
    <d v="2023-07-07T00:00:00"/>
    <n v="2023"/>
    <x v="2"/>
    <n v="7"/>
    <x v="3"/>
    <x v="1"/>
    <n v="427.78"/>
    <s v="Customer C8293"/>
    <x v="1"/>
    <x v="3"/>
    <n v="4"/>
    <n v="1283.3399999999999"/>
  </r>
  <r>
    <x v="1343"/>
    <x v="3"/>
    <d v="2023-07-02T00:00:00"/>
    <n v="2023"/>
    <x v="2"/>
    <n v="7"/>
    <x v="3"/>
    <x v="4"/>
    <n v="466.31"/>
    <s v="Customer C8295"/>
    <x v="1"/>
    <x v="1"/>
    <n v="3"/>
    <n v="466.31"/>
  </r>
  <r>
    <x v="1344"/>
    <x v="2"/>
    <d v="2025-01-16T00:00:00"/>
    <n v="2025"/>
    <x v="0"/>
    <n v="1"/>
    <x v="0"/>
    <x v="4"/>
    <n v="283.8"/>
    <s v="Customer C8296"/>
    <x v="1"/>
    <x v="2"/>
    <n v="5"/>
    <n v="283.8"/>
  </r>
  <r>
    <x v="1345"/>
    <x v="4"/>
    <d v="2025-06-17T00:00:00"/>
    <n v="2025"/>
    <x v="1"/>
    <n v="6"/>
    <x v="2"/>
    <x v="3"/>
    <n v="663.64"/>
    <s v="Customer C8297"/>
    <x v="2"/>
    <x v="2"/>
    <n v="4"/>
    <n v="3318.2"/>
  </r>
  <r>
    <x v="1346"/>
    <x v="2"/>
    <d v="2023-12-28T00:00:00"/>
    <n v="2023"/>
    <x v="3"/>
    <n v="12"/>
    <x v="7"/>
    <x v="4"/>
    <n v="770.15"/>
    <s v="Customer C8299"/>
    <x v="0"/>
    <x v="3"/>
    <n v="4"/>
    <n v="770.15"/>
  </r>
  <r>
    <x v="1346"/>
    <x v="1"/>
    <d v="2023-12-22T00:00:00"/>
    <n v="2023"/>
    <x v="3"/>
    <n v="12"/>
    <x v="7"/>
    <x v="6"/>
    <n v="701.13"/>
    <s v="Customer C8299"/>
    <x v="0"/>
    <x v="0"/>
    <n v="3"/>
    <n v="4907.91"/>
  </r>
  <r>
    <x v="1347"/>
    <x v="1"/>
    <d v="2025-06-18T00:00:00"/>
    <n v="2025"/>
    <x v="1"/>
    <n v="6"/>
    <x v="2"/>
    <x v="1"/>
    <n v="195.52"/>
    <s v="Customer C8303"/>
    <x v="2"/>
    <x v="3"/>
    <n v="1"/>
    <n v="586.55999999999995"/>
  </r>
  <r>
    <x v="1348"/>
    <x v="5"/>
    <d v="2023-02-26T00:00:00"/>
    <n v="2023"/>
    <x v="0"/>
    <n v="2"/>
    <x v="9"/>
    <x v="0"/>
    <n v="152.88"/>
    <s v="Customer C8311"/>
    <x v="2"/>
    <x v="2"/>
    <n v="3"/>
    <n v="1223.04"/>
  </r>
  <r>
    <x v="1348"/>
    <x v="5"/>
    <d v="2025-02-24T00:00:00"/>
    <n v="2025"/>
    <x v="0"/>
    <n v="2"/>
    <x v="9"/>
    <x v="1"/>
    <n v="404.76"/>
    <s v="Customer C8311"/>
    <x v="1"/>
    <x v="2"/>
    <n v="1"/>
    <n v="1214.28"/>
  </r>
  <r>
    <x v="1349"/>
    <x v="0"/>
    <d v="2023-02-06T00:00:00"/>
    <n v="2023"/>
    <x v="0"/>
    <n v="2"/>
    <x v="9"/>
    <x v="6"/>
    <n v="770.7"/>
    <s v="Customer C8318"/>
    <x v="2"/>
    <x v="2"/>
    <n v="1"/>
    <n v="5394.9"/>
  </r>
  <r>
    <x v="1350"/>
    <x v="2"/>
    <d v="2024-01-26T00:00:00"/>
    <n v="2024"/>
    <x v="0"/>
    <n v="1"/>
    <x v="0"/>
    <x v="5"/>
    <n v="717.61"/>
    <s v="Customer C8319"/>
    <x v="2"/>
    <x v="4"/>
    <n v="2"/>
    <n v="1435.22"/>
  </r>
  <r>
    <x v="1351"/>
    <x v="4"/>
    <d v="2024-04-06T00:00:00"/>
    <n v="2024"/>
    <x v="1"/>
    <n v="4"/>
    <x v="5"/>
    <x v="1"/>
    <n v="93.76"/>
    <s v="Customer C8322"/>
    <x v="1"/>
    <x v="4"/>
    <n v="1"/>
    <n v="281.27999999999997"/>
  </r>
  <r>
    <x v="1352"/>
    <x v="2"/>
    <d v="2025-03-11T00:00:00"/>
    <n v="2025"/>
    <x v="0"/>
    <n v="3"/>
    <x v="10"/>
    <x v="2"/>
    <n v="705.74"/>
    <s v="Customer C8327"/>
    <x v="0"/>
    <x v="1"/>
    <n v="3"/>
    <n v="4234.4399999999996"/>
  </r>
  <r>
    <x v="1353"/>
    <x v="3"/>
    <d v="2024-12-12T00:00:00"/>
    <n v="2024"/>
    <x v="3"/>
    <n v="12"/>
    <x v="7"/>
    <x v="6"/>
    <n v="391.81"/>
    <s v="Customer C8328"/>
    <x v="1"/>
    <x v="0"/>
    <n v="1"/>
    <n v="2742.67"/>
  </r>
  <r>
    <x v="1354"/>
    <x v="0"/>
    <d v="2023-05-07T00:00:00"/>
    <n v="2023"/>
    <x v="1"/>
    <n v="5"/>
    <x v="1"/>
    <x v="3"/>
    <n v="357.16"/>
    <s v="Customer C8333"/>
    <x v="0"/>
    <x v="4"/>
    <n v="3"/>
    <n v="1785.8"/>
  </r>
  <r>
    <x v="1355"/>
    <x v="2"/>
    <d v="2024-06-06T00:00:00"/>
    <n v="2024"/>
    <x v="1"/>
    <n v="6"/>
    <x v="2"/>
    <x v="0"/>
    <n v="621.75"/>
    <s v="Customer C8338"/>
    <x v="0"/>
    <x v="0"/>
    <n v="2"/>
    <n v="4974"/>
  </r>
  <r>
    <x v="1356"/>
    <x v="5"/>
    <d v="2024-04-25T00:00:00"/>
    <n v="2024"/>
    <x v="1"/>
    <n v="4"/>
    <x v="5"/>
    <x v="6"/>
    <n v="676.7"/>
    <s v="Customer C8351"/>
    <x v="0"/>
    <x v="3"/>
    <n v="2"/>
    <n v="4736.8999999999996"/>
  </r>
  <r>
    <x v="1357"/>
    <x v="4"/>
    <d v="2023-06-25T00:00:00"/>
    <n v="2023"/>
    <x v="1"/>
    <n v="6"/>
    <x v="2"/>
    <x v="7"/>
    <n v="495.28"/>
    <s v="Customer C8360"/>
    <x v="1"/>
    <x v="0"/>
    <n v="1"/>
    <n v="1981.12"/>
  </r>
  <r>
    <x v="1358"/>
    <x v="3"/>
    <d v="2024-04-27T00:00:00"/>
    <n v="2024"/>
    <x v="1"/>
    <n v="4"/>
    <x v="5"/>
    <x v="4"/>
    <n v="750.46"/>
    <s v="Customer C8366"/>
    <x v="0"/>
    <x v="2"/>
    <n v="2"/>
    <n v="750.46"/>
  </r>
  <r>
    <x v="1359"/>
    <x v="2"/>
    <d v="2024-08-30T00:00:00"/>
    <n v="2024"/>
    <x v="2"/>
    <n v="8"/>
    <x v="6"/>
    <x v="7"/>
    <n v="604.77"/>
    <s v="Customer C8372"/>
    <x v="2"/>
    <x v="4"/>
    <n v="5"/>
    <n v="2419.08"/>
  </r>
  <r>
    <x v="1360"/>
    <x v="4"/>
    <d v="2024-12-09T00:00:00"/>
    <n v="2024"/>
    <x v="3"/>
    <n v="12"/>
    <x v="7"/>
    <x v="7"/>
    <n v="229.4"/>
    <s v="Customer C8382"/>
    <x v="2"/>
    <x v="4"/>
    <n v="1"/>
    <n v="917.6"/>
  </r>
  <r>
    <x v="1361"/>
    <x v="6"/>
    <d v="2024-07-14T00:00:00"/>
    <n v="2024"/>
    <x v="2"/>
    <n v="7"/>
    <x v="3"/>
    <x v="2"/>
    <n v="284.14999999999998"/>
    <s v="Customer C8383"/>
    <x v="2"/>
    <x v="3"/>
    <n v="1"/>
    <n v="1704.9"/>
  </r>
  <r>
    <x v="1362"/>
    <x v="5"/>
    <d v="2024-05-21T00:00:00"/>
    <n v="2024"/>
    <x v="1"/>
    <n v="5"/>
    <x v="1"/>
    <x v="6"/>
    <n v="736.95"/>
    <s v="Customer C8392"/>
    <x v="0"/>
    <x v="1"/>
    <n v="5"/>
    <n v="5158.6499999999996"/>
  </r>
  <r>
    <x v="1363"/>
    <x v="6"/>
    <d v="2024-05-24T00:00:00"/>
    <n v="2024"/>
    <x v="1"/>
    <n v="5"/>
    <x v="1"/>
    <x v="3"/>
    <n v="120.08"/>
    <s v="Customer C8406"/>
    <x v="0"/>
    <x v="4"/>
    <n v="2"/>
    <n v="600.4"/>
  </r>
  <r>
    <x v="1364"/>
    <x v="2"/>
    <d v="2023-02-21T00:00:00"/>
    <n v="2023"/>
    <x v="0"/>
    <n v="2"/>
    <x v="9"/>
    <x v="0"/>
    <n v="503.96"/>
    <s v="Customer C8417"/>
    <x v="2"/>
    <x v="0"/>
    <n v="5"/>
    <n v="4031.68"/>
  </r>
  <r>
    <x v="1365"/>
    <x v="0"/>
    <d v="2024-09-05T00:00:00"/>
    <n v="2024"/>
    <x v="2"/>
    <n v="9"/>
    <x v="11"/>
    <x v="3"/>
    <n v="390.16"/>
    <s v="Customer C8428"/>
    <x v="1"/>
    <x v="3"/>
    <n v="3"/>
    <n v="1950.8"/>
  </r>
  <r>
    <x v="1366"/>
    <x v="5"/>
    <d v="2025-01-27T00:00:00"/>
    <n v="2025"/>
    <x v="0"/>
    <n v="1"/>
    <x v="0"/>
    <x v="5"/>
    <n v="676.4"/>
    <s v="Customer C8440"/>
    <x v="0"/>
    <x v="2"/>
    <n v="1"/>
    <n v="1352.8"/>
  </r>
  <r>
    <x v="1367"/>
    <x v="1"/>
    <d v="2024-04-08T00:00:00"/>
    <n v="2024"/>
    <x v="1"/>
    <n v="4"/>
    <x v="5"/>
    <x v="1"/>
    <n v="28.1"/>
    <s v="Customer C8444"/>
    <x v="0"/>
    <x v="2"/>
    <n v="5"/>
    <n v="84.3"/>
  </r>
  <r>
    <x v="1368"/>
    <x v="2"/>
    <d v="2024-08-14T00:00:00"/>
    <n v="2024"/>
    <x v="2"/>
    <n v="8"/>
    <x v="6"/>
    <x v="2"/>
    <n v="290.5"/>
    <s v="Customer C8446"/>
    <x v="1"/>
    <x v="3"/>
    <n v="2"/>
    <n v="1743"/>
  </r>
  <r>
    <x v="1368"/>
    <x v="4"/>
    <d v="2024-11-01T00:00:00"/>
    <n v="2024"/>
    <x v="3"/>
    <n v="11"/>
    <x v="8"/>
    <x v="3"/>
    <n v="468"/>
    <s v="Customer C8446"/>
    <x v="2"/>
    <x v="4"/>
    <n v="1"/>
    <n v="2340"/>
  </r>
  <r>
    <x v="1368"/>
    <x v="5"/>
    <d v="2023-03-06T00:00:00"/>
    <n v="2023"/>
    <x v="0"/>
    <n v="3"/>
    <x v="10"/>
    <x v="7"/>
    <n v="137.51"/>
    <s v="Customer C8446"/>
    <x v="1"/>
    <x v="0"/>
    <n v="4"/>
    <n v="550.04"/>
  </r>
  <r>
    <x v="1369"/>
    <x v="1"/>
    <d v="2024-05-24T00:00:00"/>
    <n v="2024"/>
    <x v="1"/>
    <n v="5"/>
    <x v="1"/>
    <x v="4"/>
    <n v="385.9"/>
    <s v="Customer C8449"/>
    <x v="1"/>
    <x v="0"/>
    <n v="2"/>
    <n v="385.9"/>
  </r>
  <r>
    <x v="1370"/>
    <x v="3"/>
    <d v="2024-12-22T00:00:00"/>
    <n v="2024"/>
    <x v="3"/>
    <n v="12"/>
    <x v="7"/>
    <x v="6"/>
    <n v="437.14"/>
    <s v="Customer C8455"/>
    <x v="2"/>
    <x v="4"/>
    <n v="1"/>
    <n v="3059.98"/>
  </r>
  <r>
    <x v="1370"/>
    <x v="1"/>
    <d v="2023-08-22T00:00:00"/>
    <n v="2023"/>
    <x v="2"/>
    <n v="8"/>
    <x v="6"/>
    <x v="6"/>
    <n v="230.59"/>
    <s v="Customer C8455"/>
    <x v="2"/>
    <x v="0"/>
    <n v="1"/>
    <n v="1614.13"/>
  </r>
  <r>
    <x v="1371"/>
    <x v="5"/>
    <d v="2023-09-14T00:00:00"/>
    <n v="2023"/>
    <x v="2"/>
    <n v="9"/>
    <x v="11"/>
    <x v="4"/>
    <n v="317.56"/>
    <s v="Customer C8457"/>
    <x v="2"/>
    <x v="4"/>
    <n v="5"/>
    <n v="317.56"/>
  </r>
  <r>
    <x v="1372"/>
    <x v="2"/>
    <d v="2023-05-06T00:00:00"/>
    <n v="2023"/>
    <x v="1"/>
    <n v="5"/>
    <x v="1"/>
    <x v="3"/>
    <n v="362.89"/>
    <s v="Customer C8469"/>
    <x v="0"/>
    <x v="2"/>
    <n v="2"/>
    <n v="1814.45"/>
  </r>
  <r>
    <x v="1373"/>
    <x v="0"/>
    <d v="2024-05-11T00:00:00"/>
    <n v="2024"/>
    <x v="1"/>
    <n v="5"/>
    <x v="1"/>
    <x v="2"/>
    <n v="360.61"/>
    <s v="Customer C8474"/>
    <x v="0"/>
    <x v="2"/>
    <n v="2"/>
    <n v="2163.66"/>
  </r>
  <r>
    <x v="1374"/>
    <x v="5"/>
    <d v="2023-09-25T00:00:00"/>
    <n v="2023"/>
    <x v="2"/>
    <n v="9"/>
    <x v="11"/>
    <x v="7"/>
    <n v="638.94000000000005"/>
    <s v="Customer C8476"/>
    <x v="1"/>
    <x v="0"/>
    <n v="1"/>
    <n v="2555.7600000000002"/>
  </r>
  <r>
    <x v="1375"/>
    <x v="3"/>
    <d v="2024-01-21T00:00:00"/>
    <n v="2024"/>
    <x v="0"/>
    <n v="1"/>
    <x v="0"/>
    <x v="3"/>
    <n v="741.72"/>
    <s v="Customer C8480"/>
    <x v="0"/>
    <x v="0"/>
    <n v="2"/>
    <n v="3708.6"/>
  </r>
  <r>
    <x v="1376"/>
    <x v="2"/>
    <d v="2023-07-30T00:00:00"/>
    <n v="2023"/>
    <x v="2"/>
    <n v="7"/>
    <x v="3"/>
    <x v="3"/>
    <n v="501.45"/>
    <s v="Customer C8484"/>
    <x v="1"/>
    <x v="4"/>
    <n v="2"/>
    <n v="2507.25"/>
  </r>
  <r>
    <x v="1377"/>
    <x v="6"/>
    <d v="2023-04-02T00:00:00"/>
    <n v="2023"/>
    <x v="1"/>
    <n v="4"/>
    <x v="5"/>
    <x v="5"/>
    <n v="289.02"/>
    <s v="Customer C8486"/>
    <x v="2"/>
    <x v="4"/>
    <n v="2"/>
    <n v="578.04"/>
  </r>
  <r>
    <x v="1378"/>
    <x v="6"/>
    <d v="2023-09-06T00:00:00"/>
    <n v="2023"/>
    <x v="2"/>
    <n v="9"/>
    <x v="11"/>
    <x v="6"/>
    <n v="138.65"/>
    <s v="Customer C8496"/>
    <x v="0"/>
    <x v="0"/>
    <n v="5"/>
    <n v="970.55"/>
  </r>
  <r>
    <x v="1379"/>
    <x v="6"/>
    <d v="2023-11-20T00:00:00"/>
    <n v="2023"/>
    <x v="3"/>
    <n v="11"/>
    <x v="8"/>
    <x v="6"/>
    <n v="10.71"/>
    <s v="Customer C8498"/>
    <x v="2"/>
    <x v="1"/>
    <n v="2"/>
    <n v="74.97"/>
  </r>
  <r>
    <x v="1380"/>
    <x v="6"/>
    <d v="2025-02-13T00:00:00"/>
    <n v="2025"/>
    <x v="0"/>
    <n v="2"/>
    <x v="9"/>
    <x v="7"/>
    <n v="548.59"/>
    <s v="Customer C8504"/>
    <x v="2"/>
    <x v="0"/>
    <n v="3"/>
    <n v="2194.36"/>
  </r>
  <r>
    <x v="1381"/>
    <x v="1"/>
    <d v="2023-11-01T00:00:00"/>
    <n v="2023"/>
    <x v="3"/>
    <n v="11"/>
    <x v="8"/>
    <x v="0"/>
    <n v="509.8"/>
    <s v="Customer C8507"/>
    <x v="0"/>
    <x v="1"/>
    <n v="4"/>
    <n v="4078.4"/>
  </r>
  <r>
    <x v="1381"/>
    <x v="6"/>
    <d v="2023-01-04T00:00:00"/>
    <n v="2023"/>
    <x v="0"/>
    <n v="1"/>
    <x v="0"/>
    <x v="2"/>
    <n v="243.58"/>
    <s v="Customer C8507"/>
    <x v="0"/>
    <x v="1"/>
    <n v="2"/>
    <n v="1461.48"/>
  </r>
  <r>
    <x v="1382"/>
    <x v="3"/>
    <d v="2023-09-11T00:00:00"/>
    <n v="2023"/>
    <x v="2"/>
    <n v="9"/>
    <x v="11"/>
    <x v="6"/>
    <n v="227.2"/>
    <s v="Customer C8509"/>
    <x v="0"/>
    <x v="1"/>
    <n v="3"/>
    <n v="1590.4"/>
  </r>
  <r>
    <x v="1383"/>
    <x v="2"/>
    <d v="2024-10-20T00:00:00"/>
    <n v="2024"/>
    <x v="3"/>
    <n v="10"/>
    <x v="4"/>
    <x v="3"/>
    <n v="344.1"/>
    <s v="Customer C8515"/>
    <x v="1"/>
    <x v="4"/>
    <n v="3"/>
    <n v="1720.5"/>
  </r>
  <r>
    <x v="1384"/>
    <x v="3"/>
    <d v="2023-11-03T00:00:00"/>
    <n v="2023"/>
    <x v="3"/>
    <n v="11"/>
    <x v="8"/>
    <x v="6"/>
    <n v="547.1"/>
    <s v="Customer C8523"/>
    <x v="0"/>
    <x v="4"/>
    <n v="2"/>
    <n v="3829.7"/>
  </r>
  <r>
    <x v="1385"/>
    <x v="0"/>
    <d v="2024-06-17T00:00:00"/>
    <n v="2024"/>
    <x v="1"/>
    <n v="6"/>
    <x v="2"/>
    <x v="6"/>
    <n v="788.19"/>
    <s v="Customer C8532"/>
    <x v="2"/>
    <x v="4"/>
    <n v="5"/>
    <n v="5517.33"/>
  </r>
  <r>
    <x v="1386"/>
    <x v="2"/>
    <d v="2023-12-22T00:00:00"/>
    <n v="2023"/>
    <x v="3"/>
    <n v="12"/>
    <x v="7"/>
    <x v="6"/>
    <n v="450.13"/>
    <s v="Customer C8554"/>
    <x v="2"/>
    <x v="2"/>
    <n v="5"/>
    <n v="3150.91"/>
  </r>
  <r>
    <x v="1387"/>
    <x v="3"/>
    <d v="2024-04-11T00:00:00"/>
    <n v="2024"/>
    <x v="1"/>
    <n v="4"/>
    <x v="5"/>
    <x v="2"/>
    <n v="8.17"/>
    <s v="Customer C8555"/>
    <x v="0"/>
    <x v="4"/>
    <n v="3"/>
    <n v="49.02"/>
  </r>
  <r>
    <x v="1388"/>
    <x v="5"/>
    <d v="2023-10-19T00:00:00"/>
    <n v="2023"/>
    <x v="3"/>
    <n v="10"/>
    <x v="4"/>
    <x v="2"/>
    <n v="237.61"/>
    <s v="Customer C8563"/>
    <x v="0"/>
    <x v="4"/>
    <n v="1"/>
    <n v="1425.66"/>
  </r>
  <r>
    <x v="1389"/>
    <x v="2"/>
    <d v="2024-01-04T00:00:00"/>
    <n v="2024"/>
    <x v="0"/>
    <n v="1"/>
    <x v="0"/>
    <x v="2"/>
    <n v="307.64999999999998"/>
    <s v="Customer C8564"/>
    <x v="1"/>
    <x v="4"/>
    <n v="3"/>
    <n v="1845.9"/>
  </r>
  <r>
    <x v="1390"/>
    <x v="0"/>
    <d v="2025-01-24T00:00:00"/>
    <n v="2025"/>
    <x v="0"/>
    <n v="1"/>
    <x v="0"/>
    <x v="5"/>
    <n v="524"/>
    <s v="Customer C8571"/>
    <x v="2"/>
    <x v="0"/>
    <n v="1"/>
    <n v="1048"/>
  </r>
  <r>
    <x v="1391"/>
    <x v="0"/>
    <d v="2023-04-27T00:00:00"/>
    <n v="2023"/>
    <x v="1"/>
    <n v="4"/>
    <x v="5"/>
    <x v="1"/>
    <n v="275.94"/>
    <s v="Customer C8574"/>
    <x v="0"/>
    <x v="1"/>
    <n v="2"/>
    <n v="827.82"/>
  </r>
  <r>
    <x v="1392"/>
    <x v="2"/>
    <d v="2023-11-21T00:00:00"/>
    <n v="2023"/>
    <x v="3"/>
    <n v="11"/>
    <x v="8"/>
    <x v="6"/>
    <n v="556.54"/>
    <s v="Customer C8575"/>
    <x v="2"/>
    <x v="3"/>
    <n v="4"/>
    <n v="3895.78"/>
  </r>
  <r>
    <x v="1393"/>
    <x v="2"/>
    <d v="2024-09-11T00:00:00"/>
    <n v="2024"/>
    <x v="2"/>
    <n v="9"/>
    <x v="11"/>
    <x v="0"/>
    <n v="571.33000000000004"/>
    <s v="Customer C8577"/>
    <x v="2"/>
    <x v="0"/>
    <n v="2"/>
    <n v="4570.6400000000003"/>
  </r>
  <r>
    <x v="1393"/>
    <x v="1"/>
    <d v="2024-04-21T00:00:00"/>
    <n v="2024"/>
    <x v="1"/>
    <n v="4"/>
    <x v="5"/>
    <x v="1"/>
    <n v="684.11"/>
    <s v="Customer C8577"/>
    <x v="2"/>
    <x v="1"/>
    <n v="5"/>
    <n v="2052.33"/>
  </r>
  <r>
    <x v="1393"/>
    <x v="6"/>
    <d v="2024-07-13T00:00:00"/>
    <n v="2024"/>
    <x v="2"/>
    <n v="7"/>
    <x v="3"/>
    <x v="4"/>
    <n v="47.53"/>
    <s v="Customer C8577"/>
    <x v="1"/>
    <x v="2"/>
    <n v="2"/>
    <n v="47.53"/>
  </r>
  <r>
    <x v="1394"/>
    <x v="3"/>
    <d v="2024-03-18T00:00:00"/>
    <n v="2024"/>
    <x v="0"/>
    <n v="3"/>
    <x v="10"/>
    <x v="5"/>
    <n v="57.91"/>
    <s v="Customer C8579"/>
    <x v="2"/>
    <x v="3"/>
    <n v="3"/>
    <n v="115.82"/>
  </r>
  <r>
    <x v="1395"/>
    <x v="5"/>
    <d v="2023-08-30T00:00:00"/>
    <n v="2023"/>
    <x v="2"/>
    <n v="8"/>
    <x v="6"/>
    <x v="6"/>
    <n v="425.05"/>
    <s v="Customer C8590"/>
    <x v="1"/>
    <x v="0"/>
    <n v="2"/>
    <n v="2975.35"/>
  </r>
  <r>
    <x v="1396"/>
    <x v="4"/>
    <d v="2024-02-16T00:00:00"/>
    <n v="2024"/>
    <x v="0"/>
    <n v="2"/>
    <x v="9"/>
    <x v="1"/>
    <n v="674.32"/>
    <s v="Customer C8605"/>
    <x v="1"/>
    <x v="0"/>
    <n v="5"/>
    <n v="2022.96"/>
  </r>
  <r>
    <x v="1397"/>
    <x v="5"/>
    <d v="2023-05-12T00:00:00"/>
    <n v="2023"/>
    <x v="1"/>
    <n v="5"/>
    <x v="1"/>
    <x v="2"/>
    <n v="428.16"/>
    <s v="Customer C8618"/>
    <x v="0"/>
    <x v="0"/>
    <n v="3"/>
    <n v="2568.96"/>
  </r>
  <r>
    <x v="1398"/>
    <x v="0"/>
    <d v="2025-05-09T00:00:00"/>
    <n v="2025"/>
    <x v="1"/>
    <n v="5"/>
    <x v="1"/>
    <x v="5"/>
    <n v="420.24"/>
    <s v="Customer C8622"/>
    <x v="2"/>
    <x v="3"/>
    <n v="4"/>
    <n v="840.48"/>
  </r>
  <r>
    <x v="1398"/>
    <x v="3"/>
    <d v="2025-01-07T00:00:00"/>
    <n v="2025"/>
    <x v="0"/>
    <n v="1"/>
    <x v="0"/>
    <x v="6"/>
    <n v="111.51"/>
    <s v="Customer C8622"/>
    <x v="0"/>
    <x v="2"/>
    <n v="2"/>
    <n v="780.57"/>
  </r>
  <r>
    <x v="1399"/>
    <x v="1"/>
    <d v="2025-04-05T00:00:00"/>
    <n v="2025"/>
    <x v="1"/>
    <n v="4"/>
    <x v="5"/>
    <x v="7"/>
    <n v="303.75"/>
    <s v="Customer C8628"/>
    <x v="0"/>
    <x v="4"/>
    <n v="3"/>
    <n v="1215"/>
  </r>
  <r>
    <x v="1400"/>
    <x v="2"/>
    <d v="2023-12-04T00:00:00"/>
    <n v="2023"/>
    <x v="3"/>
    <n v="12"/>
    <x v="7"/>
    <x v="7"/>
    <n v="329.91"/>
    <s v="Customer C8639"/>
    <x v="0"/>
    <x v="3"/>
    <n v="4"/>
    <n v="1319.64"/>
  </r>
  <r>
    <x v="1401"/>
    <x v="3"/>
    <d v="2023-04-22T00:00:00"/>
    <n v="2023"/>
    <x v="1"/>
    <n v="4"/>
    <x v="5"/>
    <x v="6"/>
    <n v="191.68"/>
    <s v="Customer C8642"/>
    <x v="2"/>
    <x v="0"/>
    <n v="4"/>
    <n v="1341.76"/>
  </r>
  <r>
    <x v="1402"/>
    <x v="4"/>
    <d v="2024-04-08T00:00:00"/>
    <n v="2024"/>
    <x v="1"/>
    <n v="4"/>
    <x v="5"/>
    <x v="5"/>
    <n v="775.78"/>
    <s v="Customer C8648"/>
    <x v="1"/>
    <x v="4"/>
    <n v="2"/>
    <n v="1551.56"/>
  </r>
  <r>
    <x v="1403"/>
    <x v="5"/>
    <d v="2024-03-22T00:00:00"/>
    <n v="2024"/>
    <x v="0"/>
    <n v="3"/>
    <x v="10"/>
    <x v="3"/>
    <n v="54.45"/>
    <s v="Customer C8651"/>
    <x v="1"/>
    <x v="4"/>
    <n v="4"/>
    <n v="272.25"/>
  </r>
  <r>
    <x v="1404"/>
    <x v="0"/>
    <d v="2025-05-27T00:00:00"/>
    <n v="2025"/>
    <x v="1"/>
    <n v="5"/>
    <x v="1"/>
    <x v="7"/>
    <n v="676.14"/>
    <s v="Customer C8663"/>
    <x v="0"/>
    <x v="2"/>
    <n v="1"/>
    <n v="2704.56"/>
  </r>
  <r>
    <x v="1405"/>
    <x v="5"/>
    <d v="2023-12-01T00:00:00"/>
    <n v="2023"/>
    <x v="3"/>
    <n v="12"/>
    <x v="7"/>
    <x v="5"/>
    <n v="86.85"/>
    <s v="Customer C8668"/>
    <x v="1"/>
    <x v="4"/>
    <n v="1"/>
    <n v="173.7"/>
  </r>
  <r>
    <x v="1406"/>
    <x v="0"/>
    <d v="2025-02-15T00:00:00"/>
    <n v="2025"/>
    <x v="0"/>
    <n v="2"/>
    <x v="9"/>
    <x v="2"/>
    <n v="342"/>
    <s v="Customer C8670"/>
    <x v="1"/>
    <x v="0"/>
    <n v="5"/>
    <n v="2052"/>
  </r>
  <r>
    <x v="1406"/>
    <x v="5"/>
    <d v="2023-08-05T00:00:00"/>
    <n v="2023"/>
    <x v="2"/>
    <n v="8"/>
    <x v="6"/>
    <x v="0"/>
    <n v="204.6"/>
    <s v="Customer C8670"/>
    <x v="0"/>
    <x v="1"/>
    <n v="5"/>
    <n v="1636.8"/>
  </r>
  <r>
    <x v="1407"/>
    <x v="6"/>
    <d v="2023-07-01T00:00:00"/>
    <n v="2023"/>
    <x v="2"/>
    <n v="7"/>
    <x v="3"/>
    <x v="2"/>
    <n v="394.83"/>
    <s v="Customer C8694"/>
    <x v="2"/>
    <x v="1"/>
    <n v="3"/>
    <n v="2368.98"/>
  </r>
  <r>
    <x v="1408"/>
    <x v="0"/>
    <d v="2024-07-19T00:00:00"/>
    <n v="2024"/>
    <x v="2"/>
    <n v="7"/>
    <x v="3"/>
    <x v="0"/>
    <n v="516.33000000000004"/>
    <s v="Customer C8697"/>
    <x v="1"/>
    <x v="3"/>
    <n v="2"/>
    <n v="4130.6400000000003"/>
  </r>
  <r>
    <x v="1409"/>
    <x v="6"/>
    <d v="2023-05-10T00:00:00"/>
    <n v="2023"/>
    <x v="1"/>
    <n v="5"/>
    <x v="1"/>
    <x v="2"/>
    <n v="328.64"/>
    <s v="Customer C8702"/>
    <x v="2"/>
    <x v="2"/>
    <n v="5"/>
    <n v="1971.84"/>
  </r>
  <r>
    <x v="1410"/>
    <x v="6"/>
    <d v="2024-12-19T00:00:00"/>
    <n v="2024"/>
    <x v="3"/>
    <n v="12"/>
    <x v="7"/>
    <x v="5"/>
    <n v="406.23"/>
    <s v="Customer C8704"/>
    <x v="2"/>
    <x v="2"/>
    <n v="4"/>
    <n v="812.46"/>
  </r>
  <r>
    <x v="1411"/>
    <x v="5"/>
    <d v="2024-10-17T00:00:00"/>
    <n v="2024"/>
    <x v="3"/>
    <n v="10"/>
    <x v="4"/>
    <x v="1"/>
    <n v="583.25"/>
    <s v="Customer C8711"/>
    <x v="0"/>
    <x v="0"/>
    <n v="1"/>
    <n v="1749.75"/>
  </r>
  <r>
    <x v="1412"/>
    <x v="3"/>
    <d v="2025-01-26T00:00:00"/>
    <n v="2025"/>
    <x v="0"/>
    <n v="1"/>
    <x v="0"/>
    <x v="5"/>
    <n v="797.46"/>
    <s v="Customer C8718"/>
    <x v="1"/>
    <x v="1"/>
    <n v="3"/>
    <n v="1594.92"/>
  </r>
  <r>
    <x v="1413"/>
    <x v="2"/>
    <d v="2024-01-25T00:00:00"/>
    <n v="2024"/>
    <x v="0"/>
    <n v="1"/>
    <x v="0"/>
    <x v="0"/>
    <n v="326.48"/>
    <s v="Customer C8723"/>
    <x v="2"/>
    <x v="1"/>
    <n v="5"/>
    <n v="2611.84"/>
  </r>
  <r>
    <x v="1414"/>
    <x v="2"/>
    <d v="2023-02-17T00:00:00"/>
    <n v="2023"/>
    <x v="0"/>
    <n v="2"/>
    <x v="9"/>
    <x v="1"/>
    <n v="577.13"/>
    <s v="Customer C8727"/>
    <x v="0"/>
    <x v="4"/>
    <n v="3"/>
    <n v="1731.39"/>
  </r>
  <r>
    <x v="1415"/>
    <x v="1"/>
    <d v="2024-07-24T00:00:00"/>
    <n v="2024"/>
    <x v="2"/>
    <n v="7"/>
    <x v="3"/>
    <x v="0"/>
    <n v="263.56"/>
    <s v="Customer C8730"/>
    <x v="0"/>
    <x v="2"/>
    <n v="5"/>
    <n v="2108.48"/>
  </r>
  <r>
    <x v="1416"/>
    <x v="6"/>
    <d v="2024-11-24T00:00:00"/>
    <n v="2024"/>
    <x v="3"/>
    <n v="11"/>
    <x v="8"/>
    <x v="0"/>
    <n v="268.22000000000003"/>
    <s v="Customer C8736"/>
    <x v="0"/>
    <x v="4"/>
    <n v="2"/>
    <n v="2145.7600000000002"/>
  </r>
  <r>
    <x v="1417"/>
    <x v="1"/>
    <d v="2024-02-12T00:00:00"/>
    <n v="2024"/>
    <x v="0"/>
    <n v="2"/>
    <x v="9"/>
    <x v="3"/>
    <n v="177.73"/>
    <s v="Customer C8739"/>
    <x v="0"/>
    <x v="4"/>
    <n v="1"/>
    <n v="888.65"/>
  </r>
  <r>
    <x v="1418"/>
    <x v="4"/>
    <d v="2023-12-02T00:00:00"/>
    <n v="2023"/>
    <x v="3"/>
    <n v="12"/>
    <x v="7"/>
    <x v="4"/>
    <n v="417.54"/>
    <s v="Customer C8741"/>
    <x v="1"/>
    <x v="3"/>
    <n v="1"/>
    <n v="417.54"/>
  </r>
  <r>
    <x v="1418"/>
    <x v="3"/>
    <d v="2024-09-30T00:00:00"/>
    <n v="2024"/>
    <x v="2"/>
    <n v="9"/>
    <x v="11"/>
    <x v="2"/>
    <n v="216.1"/>
    <s v="Customer C8741"/>
    <x v="0"/>
    <x v="2"/>
    <n v="3"/>
    <n v="1296.5999999999999"/>
  </r>
  <r>
    <x v="1419"/>
    <x v="6"/>
    <d v="2024-03-14T00:00:00"/>
    <n v="2024"/>
    <x v="0"/>
    <n v="3"/>
    <x v="10"/>
    <x v="6"/>
    <n v="518.5"/>
    <s v="Customer C8746"/>
    <x v="1"/>
    <x v="0"/>
    <n v="3"/>
    <n v="3629.5"/>
  </r>
  <r>
    <x v="1420"/>
    <x v="6"/>
    <d v="2024-01-24T00:00:00"/>
    <n v="2024"/>
    <x v="0"/>
    <n v="1"/>
    <x v="0"/>
    <x v="6"/>
    <n v="511.56"/>
    <s v="Customer C8750"/>
    <x v="0"/>
    <x v="0"/>
    <n v="3"/>
    <n v="3580.92"/>
  </r>
  <r>
    <x v="1421"/>
    <x v="2"/>
    <d v="2023-02-04T00:00:00"/>
    <n v="2023"/>
    <x v="0"/>
    <n v="2"/>
    <x v="9"/>
    <x v="3"/>
    <n v="645.6"/>
    <s v="Customer C8751"/>
    <x v="0"/>
    <x v="2"/>
    <n v="1"/>
    <n v="3228"/>
  </r>
  <r>
    <x v="1422"/>
    <x v="0"/>
    <d v="2024-07-25T00:00:00"/>
    <n v="2024"/>
    <x v="2"/>
    <n v="7"/>
    <x v="3"/>
    <x v="4"/>
    <n v="193.13"/>
    <s v="Customer C8755"/>
    <x v="0"/>
    <x v="2"/>
    <n v="4"/>
    <n v="193.13"/>
  </r>
  <r>
    <x v="1423"/>
    <x v="0"/>
    <d v="2025-02-01T00:00:00"/>
    <n v="2025"/>
    <x v="0"/>
    <n v="2"/>
    <x v="9"/>
    <x v="5"/>
    <n v="13.51"/>
    <s v="Customer C8762"/>
    <x v="2"/>
    <x v="4"/>
    <n v="5"/>
    <n v="27.02"/>
  </r>
  <r>
    <x v="1424"/>
    <x v="0"/>
    <d v="2025-04-09T00:00:00"/>
    <n v="2025"/>
    <x v="1"/>
    <n v="4"/>
    <x v="5"/>
    <x v="4"/>
    <n v="424.9"/>
    <s v="Customer C8768"/>
    <x v="2"/>
    <x v="4"/>
    <n v="5"/>
    <n v="424.9"/>
  </r>
  <r>
    <x v="1425"/>
    <x v="3"/>
    <d v="2025-03-13T00:00:00"/>
    <n v="2025"/>
    <x v="0"/>
    <n v="3"/>
    <x v="10"/>
    <x v="3"/>
    <n v="322.67"/>
    <s v="Customer C8774"/>
    <x v="1"/>
    <x v="0"/>
    <n v="5"/>
    <n v="1613.35"/>
  </r>
  <r>
    <x v="1426"/>
    <x v="0"/>
    <d v="2024-07-14T00:00:00"/>
    <n v="2024"/>
    <x v="2"/>
    <n v="7"/>
    <x v="3"/>
    <x v="3"/>
    <n v="184.75"/>
    <s v="Customer C8777"/>
    <x v="0"/>
    <x v="1"/>
    <n v="5"/>
    <n v="923.75"/>
  </r>
  <r>
    <x v="1427"/>
    <x v="5"/>
    <d v="2023-03-10T00:00:00"/>
    <n v="2023"/>
    <x v="0"/>
    <n v="3"/>
    <x v="10"/>
    <x v="0"/>
    <n v="349.84"/>
    <s v="Customer C8780"/>
    <x v="1"/>
    <x v="3"/>
    <n v="4"/>
    <n v="2798.72"/>
  </r>
  <r>
    <x v="1428"/>
    <x v="4"/>
    <d v="2024-02-26T00:00:00"/>
    <n v="2024"/>
    <x v="0"/>
    <n v="2"/>
    <x v="9"/>
    <x v="3"/>
    <n v="664.51"/>
    <s v="Customer C8781"/>
    <x v="0"/>
    <x v="3"/>
    <n v="1"/>
    <n v="3322.55"/>
  </r>
  <r>
    <x v="1429"/>
    <x v="6"/>
    <d v="2024-04-25T00:00:00"/>
    <n v="2024"/>
    <x v="1"/>
    <n v="4"/>
    <x v="5"/>
    <x v="1"/>
    <n v="292.42"/>
    <s v="Customer C8788"/>
    <x v="0"/>
    <x v="0"/>
    <n v="4"/>
    <n v="877.26"/>
  </r>
  <r>
    <x v="1430"/>
    <x v="0"/>
    <d v="2023-11-01T00:00:00"/>
    <n v="2023"/>
    <x v="3"/>
    <n v="11"/>
    <x v="8"/>
    <x v="5"/>
    <n v="638.58000000000004"/>
    <s v="Customer C8789"/>
    <x v="1"/>
    <x v="4"/>
    <n v="1"/>
    <n v="1277.1600000000001"/>
  </r>
  <r>
    <x v="1430"/>
    <x v="1"/>
    <d v="2023-11-15T00:00:00"/>
    <n v="2023"/>
    <x v="3"/>
    <n v="11"/>
    <x v="8"/>
    <x v="5"/>
    <n v="399.01"/>
    <s v="Customer C8789"/>
    <x v="2"/>
    <x v="4"/>
    <n v="5"/>
    <n v="798.02"/>
  </r>
  <r>
    <x v="1431"/>
    <x v="5"/>
    <d v="2025-04-26T00:00:00"/>
    <n v="2025"/>
    <x v="1"/>
    <n v="4"/>
    <x v="5"/>
    <x v="3"/>
    <n v="184.75"/>
    <s v="Customer C8794"/>
    <x v="0"/>
    <x v="2"/>
    <n v="3"/>
    <n v="923.75"/>
  </r>
  <r>
    <x v="1432"/>
    <x v="1"/>
    <d v="2024-11-20T00:00:00"/>
    <n v="2024"/>
    <x v="3"/>
    <n v="11"/>
    <x v="8"/>
    <x v="0"/>
    <n v="519.87"/>
    <s v="Customer C8795"/>
    <x v="2"/>
    <x v="4"/>
    <n v="1"/>
    <n v="4158.96"/>
  </r>
  <r>
    <x v="1433"/>
    <x v="2"/>
    <d v="2023-02-28T00:00:00"/>
    <n v="2023"/>
    <x v="0"/>
    <n v="2"/>
    <x v="9"/>
    <x v="2"/>
    <n v="125.46"/>
    <s v="Customer C8796"/>
    <x v="1"/>
    <x v="4"/>
    <n v="5"/>
    <n v="752.76"/>
  </r>
  <r>
    <x v="1434"/>
    <x v="1"/>
    <d v="2023-03-19T00:00:00"/>
    <n v="2023"/>
    <x v="0"/>
    <n v="3"/>
    <x v="10"/>
    <x v="2"/>
    <n v="762.24"/>
    <s v="Customer C8799"/>
    <x v="2"/>
    <x v="1"/>
    <n v="2"/>
    <n v="4573.4399999999996"/>
  </r>
  <r>
    <x v="1435"/>
    <x v="2"/>
    <d v="2024-04-04T00:00:00"/>
    <n v="2024"/>
    <x v="1"/>
    <n v="4"/>
    <x v="5"/>
    <x v="5"/>
    <n v="57.6"/>
    <s v="Customer C8813"/>
    <x v="0"/>
    <x v="3"/>
    <n v="3"/>
    <n v="115.2"/>
  </r>
  <r>
    <x v="1436"/>
    <x v="0"/>
    <d v="2025-01-10T00:00:00"/>
    <n v="2025"/>
    <x v="0"/>
    <n v="1"/>
    <x v="0"/>
    <x v="4"/>
    <n v="482.69"/>
    <s v="Customer C8814"/>
    <x v="1"/>
    <x v="4"/>
    <n v="5"/>
    <n v="482.69"/>
  </r>
  <r>
    <x v="1437"/>
    <x v="3"/>
    <d v="2023-09-06T00:00:00"/>
    <n v="2023"/>
    <x v="2"/>
    <n v="9"/>
    <x v="11"/>
    <x v="3"/>
    <n v="467.51"/>
    <s v="Customer C8827"/>
    <x v="2"/>
    <x v="3"/>
    <n v="2"/>
    <n v="2337.5500000000002"/>
  </r>
  <r>
    <x v="1438"/>
    <x v="4"/>
    <d v="2023-11-08T00:00:00"/>
    <n v="2023"/>
    <x v="3"/>
    <n v="11"/>
    <x v="8"/>
    <x v="5"/>
    <n v="269.64999999999998"/>
    <s v="Customer C8829"/>
    <x v="1"/>
    <x v="1"/>
    <n v="3"/>
    <n v="539.29999999999995"/>
  </r>
  <r>
    <x v="1439"/>
    <x v="5"/>
    <d v="2023-02-06T00:00:00"/>
    <n v="2023"/>
    <x v="0"/>
    <n v="2"/>
    <x v="9"/>
    <x v="7"/>
    <n v="323.02999999999997"/>
    <s v="Customer C8831"/>
    <x v="1"/>
    <x v="4"/>
    <n v="2"/>
    <n v="1292.1199999999999"/>
  </r>
  <r>
    <x v="1440"/>
    <x v="3"/>
    <d v="2024-02-28T00:00:00"/>
    <n v="2024"/>
    <x v="0"/>
    <n v="2"/>
    <x v="9"/>
    <x v="0"/>
    <n v="578.05999999999995"/>
    <s v="Customer C8851"/>
    <x v="2"/>
    <x v="1"/>
    <n v="4"/>
    <n v="4624.4799999999996"/>
  </r>
  <r>
    <x v="1441"/>
    <x v="3"/>
    <d v="2023-08-03T00:00:00"/>
    <n v="2023"/>
    <x v="2"/>
    <n v="8"/>
    <x v="6"/>
    <x v="7"/>
    <n v="215.61"/>
    <s v="Customer C8856"/>
    <x v="0"/>
    <x v="2"/>
    <n v="1"/>
    <n v="862.44"/>
  </r>
  <r>
    <x v="1442"/>
    <x v="5"/>
    <d v="2024-04-01T00:00:00"/>
    <n v="2024"/>
    <x v="1"/>
    <n v="4"/>
    <x v="5"/>
    <x v="1"/>
    <n v="146.37"/>
    <s v="Customer C8863"/>
    <x v="0"/>
    <x v="3"/>
    <n v="5"/>
    <n v="439.11"/>
  </r>
  <r>
    <x v="1443"/>
    <x v="5"/>
    <d v="2024-10-30T00:00:00"/>
    <n v="2024"/>
    <x v="3"/>
    <n v="10"/>
    <x v="4"/>
    <x v="5"/>
    <n v="713.79"/>
    <s v="Customer C8869"/>
    <x v="1"/>
    <x v="3"/>
    <n v="3"/>
    <n v="1427.58"/>
  </r>
  <r>
    <x v="1444"/>
    <x v="2"/>
    <d v="2024-09-15T00:00:00"/>
    <n v="2024"/>
    <x v="2"/>
    <n v="9"/>
    <x v="11"/>
    <x v="1"/>
    <n v="256.5"/>
    <s v="Customer C8871"/>
    <x v="0"/>
    <x v="2"/>
    <n v="1"/>
    <n v="769.5"/>
  </r>
  <r>
    <x v="1445"/>
    <x v="1"/>
    <d v="2024-05-31T00:00:00"/>
    <n v="2024"/>
    <x v="1"/>
    <n v="5"/>
    <x v="1"/>
    <x v="4"/>
    <n v="789.77"/>
    <s v="Customer C8877"/>
    <x v="0"/>
    <x v="3"/>
    <n v="4"/>
    <n v="789.77"/>
  </r>
  <r>
    <x v="1446"/>
    <x v="0"/>
    <d v="2024-05-10T00:00:00"/>
    <n v="2024"/>
    <x v="1"/>
    <n v="5"/>
    <x v="1"/>
    <x v="2"/>
    <n v="76.42"/>
    <s v="Customer C8884"/>
    <x v="0"/>
    <x v="0"/>
    <n v="3"/>
    <n v="458.52"/>
  </r>
  <r>
    <x v="1447"/>
    <x v="1"/>
    <d v="2023-08-25T00:00:00"/>
    <n v="2023"/>
    <x v="2"/>
    <n v="8"/>
    <x v="6"/>
    <x v="6"/>
    <n v="417.97"/>
    <s v="Customer C8888"/>
    <x v="1"/>
    <x v="2"/>
    <n v="2"/>
    <n v="2925.79"/>
  </r>
  <r>
    <x v="1448"/>
    <x v="2"/>
    <d v="2023-06-03T00:00:00"/>
    <n v="2023"/>
    <x v="1"/>
    <n v="6"/>
    <x v="2"/>
    <x v="1"/>
    <n v="730.83"/>
    <s v="Customer C8889"/>
    <x v="2"/>
    <x v="4"/>
    <n v="5"/>
    <n v="2192.4899999999998"/>
  </r>
  <r>
    <x v="1449"/>
    <x v="4"/>
    <d v="2024-03-09T00:00:00"/>
    <n v="2024"/>
    <x v="0"/>
    <n v="3"/>
    <x v="10"/>
    <x v="6"/>
    <n v="560.05999999999995"/>
    <s v="Customer C8912"/>
    <x v="0"/>
    <x v="3"/>
    <n v="1"/>
    <n v="3920.42"/>
  </r>
  <r>
    <x v="1450"/>
    <x v="0"/>
    <d v="2023-04-17T00:00:00"/>
    <n v="2023"/>
    <x v="1"/>
    <n v="4"/>
    <x v="5"/>
    <x v="1"/>
    <n v="754.36"/>
    <s v="Customer C8923"/>
    <x v="1"/>
    <x v="3"/>
    <n v="2"/>
    <n v="2263.08"/>
  </r>
  <r>
    <x v="1451"/>
    <x v="2"/>
    <d v="2025-05-13T00:00:00"/>
    <n v="2025"/>
    <x v="1"/>
    <n v="5"/>
    <x v="1"/>
    <x v="2"/>
    <n v="527.91"/>
    <s v="Customer C8933"/>
    <x v="1"/>
    <x v="2"/>
    <n v="2"/>
    <n v="3167.46"/>
  </r>
  <r>
    <x v="1452"/>
    <x v="5"/>
    <d v="2024-12-31T00:00:00"/>
    <n v="2024"/>
    <x v="3"/>
    <n v="12"/>
    <x v="7"/>
    <x v="6"/>
    <n v="170.39"/>
    <s v="Customer C8940"/>
    <x v="1"/>
    <x v="1"/>
    <n v="3"/>
    <n v="1192.73"/>
  </r>
  <r>
    <x v="1453"/>
    <x v="0"/>
    <d v="2023-06-21T00:00:00"/>
    <n v="2023"/>
    <x v="1"/>
    <n v="6"/>
    <x v="2"/>
    <x v="5"/>
    <n v="729.99"/>
    <s v="Customer C8946"/>
    <x v="1"/>
    <x v="1"/>
    <n v="2"/>
    <n v="1459.98"/>
  </r>
  <r>
    <x v="1454"/>
    <x v="3"/>
    <d v="2024-07-18T00:00:00"/>
    <n v="2024"/>
    <x v="2"/>
    <n v="7"/>
    <x v="3"/>
    <x v="6"/>
    <n v="509.99"/>
    <s v="Customer C8964"/>
    <x v="0"/>
    <x v="1"/>
    <n v="1"/>
    <n v="3569.93"/>
  </r>
  <r>
    <x v="1455"/>
    <x v="5"/>
    <d v="2023-04-12T00:00:00"/>
    <n v="2023"/>
    <x v="1"/>
    <n v="4"/>
    <x v="5"/>
    <x v="3"/>
    <n v="62.8"/>
    <s v="Customer C8966"/>
    <x v="0"/>
    <x v="0"/>
    <n v="2"/>
    <n v="314"/>
  </r>
  <r>
    <x v="1456"/>
    <x v="1"/>
    <d v="2024-02-14T00:00:00"/>
    <n v="2024"/>
    <x v="0"/>
    <n v="2"/>
    <x v="9"/>
    <x v="5"/>
    <n v="254.53"/>
    <s v="Customer C8970"/>
    <x v="1"/>
    <x v="2"/>
    <n v="1"/>
    <n v="509.06"/>
  </r>
  <r>
    <x v="1457"/>
    <x v="0"/>
    <d v="2024-03-28T00:00:00"/>
    <n v="2024"/>
    <x v="0"/>
    <n v="3"/>
    <x v="10"/>
    <x v="4"/>
    <n v="602.38"/>
    <s v="Customer C8981"/>
    <x v="1"/>
    <x v="3"/>
    <n v="2"/>
    <n v="602.38"/>
  </r>
  <r>
    <x v="1458"/>
    <x v="0"/>
    <d v="2025-05-26T00:00:00"/>
    <n v="2025"/>
    <x v="1"/>
    <n v="5"/>
    <x v="1"/>
    <x v="0"/>
    <n v="432.92"/>
    <s v="Customer C8986"/>
    <x v="0"/>
    <x v="3"/>
    <n v="4"/>
    <n v="3463.36"/>
  </r>
  <r>
    <x v="1459"/>
    <x v="6"/>
    <d v="2023-08-28T00:00:00"/>
    <n v="2023"/>
    <x v="2"/>
    <n v="8"/>
    <x v="6"/>
    <x v="7"/>
    <n v="104.51"/>
    <s v="Customer C8987"/>
    <x v="2"/>
    <x v="3"/>
    <n v="4"/>
    <n v="418.04"/>
  </r>
  <r>
    <x v="1460"/>
    <x v="4"/>
    <d v="2025-04-04T00:00:00"/>
    <n v="2025"/>
    <x v="1"/>
    <n v="4"/>
    <x v="5"/>
    <x v="4"/>
    <n v="732.88"/>
    <s v="Customer C8988"/>
    <x v="2"/>
    <x v="3"/>
    <n v="2"/>
    <n v="732.88"/>
  </r>
  <r>
    <x v="1460"/>
    <x v="6"/>
    <d v="2025-04-12T00:00:00"/>
    <n v="2025"/>
    <x v="1"/>
    <n v="4"/>
    <x v="5"/>
    <x v="7"/>
    <n v="720.67"/>
    <s v="Customer C8988"/>
    <x v="1"/>
    <x v="0"/>
    <n v="5"/>
    <n v="2882.68"/>
  </r>
  <r>
    <x v="1461"/>
    <x v="6"/>
    <d v="2023-12-13T00:00:00"/>
    <n v="2023"/>
    <x v="3"/>
    <n v="12"/>
    <x v="7"/>
    <x v="0"/>
    <n v="247.38"/>
    <s v="Customer C8995"/>
    <x v="0"/>
    <x v="4"/>
    <n v="5"/>
    <n v="1979.04"/>
  </r>
  <r>
    <x v="1462"/>
    <x v="6"/>
    <d v="2025-03-26T00:00:00"/>
    <n v="2025"/>
    <x v="0"/>
    <n v="3"/>
    <x v="10"/>
    <x v="3"/>
    <n v="314.69"/>
    <s v="Customer C8997"/>
    <x v="1"/>
    <x v="4"/>
    <n v="4"/>
    <n v="1573.45"/>
  </r>
  <r>
    <x v="1463"/>
    <x v="4"/>
    <d v="2024-11-02T00:00:00"/>
    <n v="2024"/>
    <x v="3"/>
    <n v="11"/>
    <x v="8"/>
    <x v="5"/>
    <n v="214.6"/>
    <s v="Customer C9000"/>
    <x v="2"/>
    <x v="4"/>
    <n v="4"/>
    <n v="429.2"/>
  </r>
  <r>
    <x v="1464"/>
    <x v="6"/>
    <d v="2024-07-17T00:00:00"/>
    <n v="2024"/>
    <x v="2"/>
    <n v="7"/>
    <x v="3"/>
    <x v="6"/>
    <n v="11.35"/>
    <s v="Customer C9006"/>
    <x v="2"/>
    <x v="0"/>
    <n v="3"/>
    <n v="79.45"/>
  </r>
  <r>
    <x v="1465"/>
    <x v="5"/>
    <d v="2023-11-27T00:00:00"/>
    <n v="2023"/>
    <x v="3"/>
    <n v="11"/>
    <x v="8"/>
    <x v="7"/>
    <n v="53.37"/>
    <s v="Customer C9008"/>
    <x v="1"/>
    <x v="2"/>
    <n v="4"/>
    <n v="213.48"/>
  </r>
  <r>
    <x v="1466"/>
    <x v="1"/>
    <d v="2024-06-07T00:00:00"/>
    <n v="2024"/>
    <x v="1"/>
    <n v="6"/>
    <x v="2"/>
    <x v="7"/>
    <n v="772.9"/>
    <s v="Customer C9009"/>
    <x v="1"/>
    <x v="4"/>
    <n v="5"/>
    <n v="3091.6"/>
  </r>
  <r>
    <x v="1467"/>
    <x v="4"/>
    <d v="2025-05-27T00:00:00"/>
    <n v="2025"/>
    <x v="1"/>
    <n v="5"/>
    <x v="1"/>
    <x v="6"/>
    <n v="437.99"/>
    <s v="Customer C9011"/>
    <x v="0"/>
    <x v="3"/>
    <n v="1"/>
    <n v="3065.93"/>
  </r>
  <r>
    <x v="1468"/>
    <x v="6"/>
    <d v="2023-08-02T00:00:00"/>
    <n v="2023"/>
    <x v="2"/>
    <n v="8"/>
    <x v="6"/>
    <x v="0"/>
    <n v="757.81"/>
    <s v="Customer C9015"/>
    <x v="1"/>
    <x v="3"/>
    <n v="2"/>
    <n v="6062.48"/>
  </r>
  <r>
    <x v="1469"/>
    <x v="6"/>
    <d v="2024-03-25T00:00:00"/>
    <n v="2024"/>
    <x v="0"/>
    <n v="3"/>
    <x v="10"/>
    <x v="4"/>
    <n v="122.52"/>
    <s v="Customer C9019"/>
    <x v="2"/>
    <x v="4"/>
    <n v="4"/>
    <n v="122.52"/>
  </r>
  <r>
    <x v="1470"/>
    <x v="3"/>
    <d v="2025-02-14T00:00:00"/>
    <n v="2025"/>
    <x v="0"/>
    <n v="2"/>
    <x v="9"/>
    <x v="1"/>
    <n v="237.93"/>
    <s v="Customer C9021"/>
    <x v="1"/>
    <x v="4"/>
    <n v="4"/>
    <n v="713.79"/>
  </r>
  <r>
    <x v="1471"/>
    <x v="4"/>
    <d v="2024-01-16T00:00:00"/>
    <n v="2024"/>
    <x v="0"/>
    <n v="1"/>
    <x v="0"/>
    <x v="3"/>
    <n v="711.73"/>
    <s v="Customer C9032"/>
    <x v="1"/>
    <x v="4"/>
    <n v="1"/>
    <n v="3558.65"/>
  </r>
  <r>
    <x v="1472"/>
    <x v="6"/>
    <d v="2024-06-18T00:00:00"/>
    <n v="2024"/>
    <x v="1"/>
    <n v="6"/>
    <x v="2"/>
    <x v="1"/>
    <n v="719.63"/>
    <s v="Customer C9033"/>
    <x v="1"/>
    <x v="4"/>
    <n v="4"/>
    <n v="2158.89"/>
  </r>
  <r>
    <x v="1473"/>
    <x v="5"/>
    <d v="2024-12-12T00:00:00"/>
    <n v="2024"/>
    <x v="3"/>
    <n v="12"/>
    <x v="7"/>
    <x v="4"/>
    <n v="569.26"/>
    <s v="Customer C9034"/>
    <x v="1"/>
    <x v="0"/>
    <n v="5"/>
    <n v="569.26"/>
  </r>
  <r>
    <x v="1474"/>
    <x v="0"/>
    <d v="2024-11-17T00:00:00"/>
    <n v="2024"/>
    <x v="3"/>
    <n v="11"/>
    <x v="8"/>
    <x v="6"/>
    <n v="362.5"/>
    <s v="Customer C9037"/>
    <x v="2"/>
    <x v="2"/>
    <n v="5"/>
    <n v="2537.5"/>
  </r>
  <r>
    <x v="1475"/>
    <x v="0"/>
    <d v="2025-06-19T00:00:00"/>
    <n v="2025"/>
    <x v="1"/>
    <n v="6"/>
    <x v="2"/>
    <x v="3"/>
    <n v="150.35"/>
    <s v="Customer C9039"/>
    <x v="1"/>
    <x v="0"/>
    <n v="3"/>
    <n v="751.75"/>
  </r>
  <r>
    <x v="1475"/>
    <x v="1"/>
    <d v="2023-11-20T00:00:00"/>
    <n v="2023"/>
    <x v="3"/>
    <n v="11"/>
    <x v="8"/>
    <x v="5"/>
    <n v="515.97"/>
    <s v="Customer C9039"/>
    <x v="2"/>
    <x v="3"/>
    <n v="4"/>
    <n v="1031.94"/>
  </r>
  <r>
    <x v="1476"/>
    <x v="6"/>
    <d v="2023-01-02T00:00:00"/>
    <n v="2023"/>
    <x v="0"/>
    <n v="1"/>
    <x v="0"/>
    <x v="3"/>
    <n v="138.97"/>
    <s v="Customer C9040"/>
    <x v="1"/>
    <x v="4"/>
    <n v="2"/>
    <n v="694.85"/>
  </r>
  <r>
    <x v="1477"/>
    <x v="1"/>
    <d v="2023-09-03T00:00:00"/>
    <n v="2023"/>
    <x v="2"/>
    <n v="9"/>
    <x v="11"/>
    <x v="6"/>
    <n v="510.71"/>
    <s v="Customer C9052"/>
    <x v="0"/>
    <x v="0"/>
    <n v="1"/>
    <n v="3574.97"/>
  </r>
  <r>
    <x v="1478"/>
    <x v="4"/>
    <d v="2025-03-18T00:00:00"/>
    <n v="2025"/>
    <x v="0"/>
    <n v="3"/>
    <x v="10"/>
    <x v="0"/>
    <n v="612.74"/>
    <s v="Customer C9074"/>
    <x v="1"/>
    <x v="2"/>
    <n v="5"/>
    <n v="4901.92"/>
  </r>
  <r>
    <x v="1479"/>
    <x v="4"/>
    <d v="2025-03-28T00:00:00"/>
    <n v="2025"/>
    <x v="0"/>
    <n v="3"/>
    <x v="10"/>
    <x v="0"/>
    <n v="73.739999999999995"/>
    <s v="Customer C9075"/>
    <x v="1"/>
    <x v="4"/>
    <n v="1"/>
    <n v="589.91999999999996"/>
  </r>
  <r>
    <x v="1480"/>
    <x v="5"/>
    <d v="2024-02-01T00:00:00"/>
    <n v="2024"/>
    <x v="0"/>
    <n v="2"/>
    <x v="9"/>
    <x v="7"/>
    <n v="442.91"/>
    <s v="Customer C9078"/>
    <x v="2"/>
    <x v="1"/>
    <n v="5"/>
    <n v="1771.64"/>
  </r>
  <r>
    <x v="1481"/>
    <x v="6"/>
    <d v="2023-12-02T00:00:00"/>
    <n v="2023"/>
    <x v="3"/>
    <n v="12"/>
    <x v="7"/>
    <x v="0"/>
    <n v="566.57000000000005"/>
    <s v="Customer C9079"/>
    <x v="0"/>
    <x v="3"/>
    <n v="2"/>
    <n v="4532.5600000000004"/>
  </r>
  <r>
    <x v="1482"/>
    <x v="2"/>
    <d v="2025-06-05T00:00:00"/>
    <n v="2025"/>
    <x v="1"/>
    <n v="6"/>
    <x v="2"/>
    <x v="7"/>
    <n v="711.67"/>
    <s v="Customer C9093"/>
    <x v="1"/>
    <x v="1"/>
    <n v="5"/>
    <n v="2846.68"/>
  </r>
  <r>
    <x v="1483"/>
    <x v="3"/>
    <d v="2024-09-05T00:00:00"/>
    <n v="2024"/>
    <x v="2"/>
    <n v="9"/>
    <x v="11"/>
    <x v="0"/>
    <n v="343.55"/>
    <s v="Customer C9094"/>
    <x v="0"/>
    <x v="2"/>
    <n v="1"/>
    <n v="2748.4"/>
  </r>
  <r>
    <x v="1484"/>
    <x v="0"/>
    <d v="2025-05-11T00:00:00"/>
    <n v="2025"/>
    <x v="1"/>
    <n v="5"/>
    <x v="1"/>
    <x v="1"/>
    <n v="478.64"/>
    <s v="Customer C9097"/>
    <x v="2"/>
    <x v="1"/>
    <n v="3"/>
    <n v="1435.92"/>
  </r>
  <r>
    <x v="1485"/>
    <x v="1"/>
    <d v="2025-05-20T00:00:00"/>
    <n v="2025"/>
    <x v="1"/>
    <n v="5"/>
    <x v="1"/>
    <x v="6"/>
    <n v="666.05"/>
    <s v="Customer C9098"/>
    <x v="2"/>
    <x v="0"/>
    <n v="3"/>
    <n v="4662.3500000000004"/>
  </r>
  <r>
    <x v="1486"/>
    <x v="6"/>
    <d v="2025-04-13T00:00:00"/>
    <n v="2025"/>
    <x v="1"/>
    <n v="4"/>
    <x v="5"/>
    <x v="3"/>
    <n v="373.52"/>
    <s v="Customer C9101"/>
    <x v="0"/>
    <x v="1"/>
    <n v="2"/>
    <n v="1867.6"/>
  </r>
  <r>
    <x v="1487"/>
    <x v="4"/>
    <d v="2024-06-06T00:00:00"/>
    <n v="2024"/>
    <x v="1"/>
    <n v="6"/>
    <x v="2"/>
    <x v="7"/>
    <n v="411.44"/>
    <s v="Customer C9129"/>
    <x v="0"/>
    <x v="3"/>
    <n v="2"/>
    <n v="1645.76"/>
  </r>
  <r>
    <x v="1488"/>
    <x v="5"/>
    <d v="2023-05-11T00:00:00"/>
    <n v="2023"/>
    <x v="1"/>
    <n v="5"/>
    <x v="1"/>
    <x v="2"/>
    <n v="155.5"/>
    <s v="Customer C9130"/>
    <x v="0"/>
    <x v="3"/>
    <n v="5"/>
    <n v="933"/>
  </r>
  <r>
    <x v="1489"/>
    <x v="2"/>
    <d v="2025-06-16T00:00:00"/>
    <n v="2025"/>
    <x v="1"/>
    <n v="6"/>
    <x v="2"/>
    <x v="5"/>
    <n v="680.09"/>
    <s v="Customer C9136"/>
    <x v="2"/>
    <x v="0"/>
    <n v="2"/>
    <n v="1360.18"/>
  </r>
  <r>
    <x v="1490"/>
    <x v="6"/>
    <d v="2023-06-16T00:00:00"/>
    <n v="2023"/>
    <x v="1"/>
    <n v="6"/>
    <x v="2"/>
    <x v="6"/>
    <n v="671.35"/>
    <s v="Customer C9137"/>
    <x v="1"/>
    <x v="1"/>
    <n v="2"/>
    <n v="4699.45"/>
  </r>
  <r>
    <x v="1491"/>
    <x v="4"/>
    <d v="2025-03-19T00:00:00"/>
    <n v="2025"/>
    <x v="0"/>
    <n v="3"/>
    <x v="10"/>
    <x v="0"/>
    <n v="563.03"/>
    <s v="Customer C9150"/>
    <x v="1"/>
    <x v="2"/>
    <n v="1"/>
    <n v="4504.24"/>
  </r>
  <r>
    <x v="1492"/>
    <x v="4"/>
    <d v="2025-03-10T00:00:00"/>
    <n v="2025"/>
    <x v="0"/>
    <n v="3"/>
    <x v="10"/>
    <x v="2"/>
    <n v="511.28"/>
    <s v="Customer C9154"/>
    <x v="0"/>
    <x v="2"/>
    <n v="4"/>
    <n v="3067.68"/>
  </r>
  <r>
    <x v="1493"/>
    <x v="5"/>
    <d v="2024-05-13T00:00:00"/>
    <n v="2024"/>
    <x v="1"/>
    <n v="5"/>
    <x v="1"/>
    <x v="1"/>
    <n v="321.86"/>
    <s v="Customer C9157"/>
    <x v="1"/>
    <x v="0"/>
    <n v="3"/>
    <n v="965.58"/>
  </r>
  <r>
    <x v="1494"/>
    <x v="0"/>
    <d v="2023-04-25T00:00:00"/>
    <n v="2023"/>
    <x v="1"/>
    <n v="4"/>
    <x v="5"/>
    <x v="2"/>
    <n v="98.54"/>
    <s v="Customer C9159"/>
    <x v="0"/>
    <x v="3"/>
    <n v="4"/>
    <n v="591.24"/>
  </r>
  <r>
    <x v="1495"/>
    <x v="3"/>
    <d v="2023-03-19T00:00:00"/>
    <n v="2023"/>
    <x v="0"/>
    <n v="3"/>
    <x v="10"/>
    <x v="2"/>
    <n v="441.69"/>
    <s v="Customer C9163"/>
    <x v="2"/>
    <x v="2"/>
    <n v="3"/>
    <n v="2650.14"/>
  </r>
  <r>
    <x v="1496"/>
    <x v="4"/>
    <d v="2023-02-19T00:00:00"/>
    <n v="2023"/>
    <x v="0"/>
    <n v="2"/>
    <x v="9"/>
    <x v="1"/>
    <n v="38.57"/>
    <s v="Customer C9164"/>
    <x v="1"/>
    <x v="0"/>
    <n v="2"/>
    <n v="115.71"/>
  </r>
  <r>
    <x v="1497"/>
    <x v="5"/>
    <d v="2024-01-23T00:00:00"/>
    <n v="2024"/>
    <x v="0"/>
    <n v="1"/>
    <x v="0"/>
    <x v="7"/>
    <n v="693.32"/>
    <s v="Customer C9172"/>
    <x v="0"/>
    <x v="1"/>
    <n v="5"/>
    <n v="2773.28"/>
  </r>
  <r>
    <x v="1498"/>
    <x v="5"/>
    <d v="2024-05-08T00:00:00"/>
    <n v="2024"/>
    <x v="1"/>
    <n v="5"/>
    <x v="1"/>
    <x v="0"/>
    <n v="136.9"/>
    <s v="Customer C9173"/>
    <x v="2"/>
    <x v="2"/>
    <n v="1"/>
    <n v="1095.2"/>
  </r>
  <r>
    <x v="1499"/>
    <x v="5"/>
    <d v="2024-05-27T00:00:00"/>
    <n v="2024"/>
    <x v="1"/>
    <n v="5"/>
    <x v="1"/>
    <x v="1"/>
    <n v="627.98"/>
    <s v="Customer C9175"/>
    <x v="0"/>
    <x v="0"/>
    <n v="3"/>
    <n v="1883.94"/>
  </r>
  <r>
    <x v="1500"/>
    <x v="2"/>
    <d v="2025-03-01T00:00:00"/>
    <n v="2025"/>
    <x v="0"/>
    <n v="3"/>
    <x v="10"/>
    <x v="2"/>
    <n v="439.69"/>
    <s v="Customer C9176"/>
    <x v="0"/>
    <x v="2"/>
    <n v="2"/>
    <n v="2638.14"/>
  </r>
  <r>
    <x v="1501"/>
    <x v="4"/>
    <d v="2023-11-16T00:00:00"/>
    <n v="2023"/>
    <x v="3"/>
    <n v="11"/>
    <x v="8"/>
    <x v="0"/>
    <n v="323.16000000000003"/>
    <s v="Customer C9194"/>
    <x v="2"/>
    <x v="2"/>
    <n v="1"/>
    <n v="2585.2800000000002"/>
  </r>
  <r>
    <x v="1502"/>
    <x v="4"/>
    <d v="2024-04-21T00:00:00"/>
    <n v="2024"/>
    <x v="1"/>
    <n v="4"/>
    <x v="5"/>
    <x v="4"/>
    <n v="782.12"/>
    <s v="Customer C9206"/>
    <x v="2"/>
    <x v="0"/>
    <n v="4"/>
    <n v="782.12"/>
  </r>
  <r>
    <x v="1503"/>
    <x v="2"/>
    <d v="2025-01-31T00:00:00"/>
    <n v="2025"/>
    <x v="0"/>
    <n v="1"/>
    <x v="0"/>
    <x v="2"/>
    <n v="354.17"/>
    <s v="Customer C9209"/>
    <x v="1"/>
    <x v="3"/>
    <n v="2"/>
    <n v="2125.02"/>
  </r>
  <r>
    <x v="1504"/>
    <x v="0"/>
    <d v="2024-04-17T00:00:00"/>
    <n v="2024"/>
    <x v="1"/>
    <n v="4"/>
    <x v="5"/>
    <x v="0"/>
    <n v="45.37"/>
    <s v="Customer C9217"/>
    <x v="2"/>
    <x v="2"/>
    <n v="4"/>
    <n v="362.96"/>
  </r>
  <r>
    <x v="1505"/>
    <x v="1"/>
    <d v="2024-04-18T00:00:00"/>
    <n v="2024"/>
    <x v="1"/>
    <n v="4"/>
    <x v="5"/>
    <x v="3"/>
    <n v="668.28"/>
    <s v="Customer C9222"/>
    <x v="1"/>
    <x v="1"/>
    <n v="1"/>
    <n v="3341.4"/>
  </r>
  <r>
    <x v="1506"/>
    <x v="4"/>
    <d v="2024-03-28T00:00:00"/>
    <n v="2024"/>
    <x v="0"/>
    <n v="3"/>
    <x v="10"/>
    <x v="0"/>
    <n v="158.72999999999999"/>
    <s v="Customer C9225"/>
    <x v="2"/>
    <x v="0"/>
    <n v="1"/>
    <n v="1269.8399999999999"/>
  </r>
  <r>
    <x v="1507"/>
    <x v="5"/>
    <d v="2024-03-02T00:00:00"/>
    <n v="2024"/>
    <x v="0"/>
    <n v="3"/>
    <x v="10"/>
    <x v="1"/>
    <n v="357.45"/>
    <s v="Customer C9229"/>
    <x v="1"/>
    <x v="3"/>
    <n v="3"/>
    <n v="1072.3499999999999"/>
  </r>
  <r>
    <x v="1508"/>
    <x v="1"/>
    <d v="2024-06-05T00:00:00"/>
    <n v="2024"/>
    <x v="1"/>
    <n v="6"/>
    <x v="2"/>
    <x v="3"/>
    <n v="24.07"/>
    <s v="Customer C9237"/>
    <x v="1"/>
    <x v="3"/>
    <n v="1"/>
    <n v="120.35"/>
  </r>
  <r>
    <x v="1509"/>
    <x v="6"/>
    <d v="2025-03-27T00:00:00"/>
    <n v="2025"/>
    <x v="0"/>
    <n v="3"/>
    <x v="10"/>
    <x v="5"/>
    <n v="258.95999999999998"/>
    <s v="Customer C9244"/>
    <x v="0"/>
    <x v="1"/>
    <n v="4"/>
    <n v="517.91999999999996"/>
  </r>
  <r>
    <x v="1510"/>
    <x v="6"/>
    <d v="2023-10-17T00:00:00"/>
    <n v="2023"/>
    <x v="3"/>
    <n v="10"/>
    <x v="4"/>
    <x v="2"/>
    <n v="578.51"/>
    <s v="Customer C9248"/>
    <x v="0"/>
    <x v="2"/>
    <n v="4"/>
    <n v="3471.06"/>
  </r>
  <r>
    <x v="1511"/>
    <x v="4"/>
    <d v="2023-07-30T00:00:00"/>
    <n v="2023"/>
    <x v="2"/>
    <n v="7"/>
    <x v="3"/>
    <x v="5"/>
    <n v="269.89999999999998"/>
    <s v="Customer C9251"/>
    <x v="0"/>
    <x v="4"/>
    <n v="3"/>
    <n v="539.79999999999995"/>
  </r>
  <r>
    <x v="1512"/>
    <x v="1"/>
    <d v="2023-12-31T00:00:00"/>
    <n v="2023"/>
    <x v="3"/>
    <n v="12"/>
    <x v="7"/>
    <x v="0"/>
    <n v="506.43"/>
    <s v="Customer C9254"/>
    <x v="2"/>
    <x v="2"/>
    <n v="3"/>
    <n v="4051.44"/>
  </r>
  <r>
    <x v="1513"/>
    <x v="5"/>
    <d v="2024-12-30T00:00:00"/>
    <n v="2024"/>
    <x v="3"/>
    <n v="12"/>
    <x v="7"/>
    <x v="6"/>
    <n v="208.38"/>
    <s v="Customer C9264"/>
    <x v="0"/>
    <x v="3"/>
    <n v="1"/>
    <n v="1458.66"/>
  </r>
  <r>
    <x v="1514"/>
    <x v="5"/>
    <d v="2023-12-02T00:00:00"/>
    <n v="2023"/>
    <x v="3"/>
    <n v="12"/>
    <x v="7"/>
    <x v="1"/>
    <n v="409.39"/>
    <s v="Customer C9267"/>
    <x v="0"/>
    <x v="0"/>
    <n v="3"/>
    <n v="1228.17"/>
  </r>
  <r>
    <x v="1515"/>
    <x v="2"/>
    <d v="2023-01-17T00:00:00"/>
    <n v="2023"/>
    <x v="0"/>
    <n v="1"/>
    <x v="0"/>
    <x v="1"/>
    <n v="199.86"/>
    <s v="Customer C9268"/>
    <x v="1"/>
    <x v="3"/>
    <n v="2"/>
    <n v="599.58000000000004"/>
  </r>
  <r>
    <x v="1516"/>
    <x v="0"/>
    <d v="2024-02-11T00:00:00"/>
    <n v="2024"/>
    <x v="0"/>
    <n v="2"/>
    <x v="9"/>
    <x v="2"/>
    <n v="486.65"/>
    <s v="Customer C9269"/>
    <x v="2"/>
    <x v="4"/>
    <n v="2"/>
    <n v="2919.9"/>
  </r>
  <r>
    <x v="1517"/>
    <x v="3"/>
    <d v="2025-05-25T00:00:00"/>
    <n v="2025"/>
    <x v="1"/>
    <n v="5"/>
    <x v="1"/>
    <x v="7"/>
    <n v="150.13"/>
    <s v="Customer C9275"/>
    <x v="1"/>
    <x v="2"/>
    <n v="2"/>
    <n v="600.52"/>
  </r>
  <r>
    <x v="1517"/>
    <x v="6"/>
    <d v="2024-04-01T00:00:00"/>
    <n v="2024"/>
    <x v="1"/>
    <n v="4"/>
    <x v="5"/>
    <x v="6"/>
    <n v="566.09"/>
    <s v="Customer C9275"/>
    <x v="1"/>
    <x v="0"/>
    <n v="3"/>
    <n v="3962.63"/>
  </r>
  <r>
    <x v="1518"/>
    <x v="6"/>
    <d v="2024-10-31T00:00:00"/>
    <n v="2024"/>
    <x v="3"/>
    <n v="10"/>
    <x v="4"/>
    <x v="1"/>
    <n v="326.95999999999998"/>
    <s v="Customer C9295"/>
    <x v="2"/>
    <x v="4"/>
    <n v="4"/>
    <n v="980.88"/>
  </r>
  <r>
    <x v="1519"/>
    <x v="1"/>
    <d v="2025-01-28T00:00:00"/>
    <n v="2025"/>
    <x v="0"/>
    <n v="1"/>
    <x v="0"/>
    <x v="4"/>
    <n v="167.38"/>
    <s v="Customer C9307"/>
    <x v="1"/>
    <x v="0"/>
    <n v="5"/>
    <n v="167.38"/>
  </r>
  <r>
    <x v="1519"/>
    <x v="6"/>
    <d v="2024-04-24T00:00:00"/>
    <n v="2024"/>
    <x v="1"/>
    <n v="4"/>
    <x v="5"/>
    <x v="1"/>
    <n v="560.63"/>
    <s v="Customer C9307"/>
    <x v="0"/>
    <x v="4"/>
    <n v="3"/>
    <n v="1681.89"/>
  </r>
  <r>
    <x v="1520"/>
    <x v="6"/>
    <d v="2023-08-03T00:00:00"/>
    <n v="2023"/>
    <x v="2"/>
    <n v="8"/>
    <x v="6"/>
    <x v="5"/>
    <n v="552.32000000000005"/>
    <s v="Customer C9312"/>
    <x v="2"/>
    <x v="2"/>
    <n v="4"/>
    <n v="1104.6400000000001"/>
  </r>
  <r>
    <x v="1521"/>
    <x v="3"/>
    <d v="2025-06-02T00:00:00"/>
    <n v="2025"/>
    <x v="1"/>
    <n v="6"/>
    <x v="2"/>
    <x v="3"/>
    <n v="730.2"/>
    <s v="Customer C9318"/>
    <x v="2"/>
    <x v="0"/>
    <n v="2"/>
    <n v="3651"/>
  </r>
  <r>
    <x v="1522"/>
    <x v="0"/>
    <d v="2024-09-18T00:00:00"/>
    <n v="2024"/>
    <x v="2"/>
    <n v="9"/>
    <x v="11"/>
    <x v="6"/>
    <n v="416.11"/>
    <s v="Customer C9323"/>
    <x v="2"/>
    <x v="0"/>
    <n v="5"/>
    <n v="2912.77"/>
  </r>
  <r>
    <x v="1523"/>
    <x v="5"/>
    <d v="2023-02-04T00:00:00"/>
    <n v="2023"/>
    <x v="0"/>
    <n v="2"/>
    <x v="9"/>
    <x v="5"/>
    <n v="344.21"/>
    <s v="Customer C9324"/>
    <x v="2"/>
    <x v="1"/>
    <n v="4"/>
    <n v="688.42"/>
  </r>
  <r>
    <x v="1524"/>
    <x v="6"/>
    <d v="2025-05-26T00:00:00"/>
    <n v="2025"/>
    <x v="1"/>
    <n v="5"/>
    <x v="1"/>
    <x v="2"/>
    <n v="427.49"/>
    <s v="Customer C9328"/>
    <x v="0"/>
    <x v="1"/>
    <n v="2"/>
    <n v="2564.94"/>
  </r>
  <r>
    <x v="1525"/>
    <x v="4"/>
    <d v="2025-02-07T00:00:00"/>
    <n v="2025"/>
    <x v="0"/>
    <n v="2"/>
    <x v="9"/>
    <x v="6"/>
    <n v="58.87"/>
    <s v="Customer C9329"/>
    <x v="0"/>
    <x v="4"/>
    <n v="2"/>
    <n v="412.09"/>
  </r>
  <r>
    <x v="1526"/>
    <x v="4"/>
    <d v="2023-11-13T00:00:00"/>
    <n v="2023"/>
    <x v="3"/>
    <n v="11"/>
    <x v="8"/>
    <x v="2"/>
    <n v="67.400000000000006"/>
    <s v="Customer C9330"/>
    <x v="2"/>
    <x v="0"/>
    <n v="3"/>
    <n v="404.4"/>
  </r>
  <r>
    <x v="1527"/>
    <x v="4"/>
    <d v="2023-02-04T00:00:00"/>
    <n v="2023"/>
    <x v="0"/>
    <n v="2"/>
    <x v="9"/>
    <x v="7"/>
    <n v="330.14"/>
    <s v="Customer C9332"/>
    <x v="1"/>
    <x v="0"/>
    <n v="4"/>
    <n v="1320.56"/>
  </r>
  <r>
    <x v="1527"/>
    <x v="6"/>
    <d v="2023-08-10T00:00:00"/>
    <n v="2023"/>
    <x v="2"/>
    <n v="8"/>
    <x v="6"/>
    <x v="5"/>
    <n v="412.62"/>
    <s v="Customer C9332"/>
    <x v="0"/>
    <x v="1"/>
    <n v="3"/>
    <n v="825.24"/>
  </r>
  <r>
    <x v="1528"/>
    <x v="3"/>
    <d v="2024-08-22T00:00:00"/>
    <n v="2024"/>
    <x v="2"/>
    <n v="8"/>
    <x v="6"/>
    <x v="3"/>
    <n v="576.74"/>
    <s v="Customer C9336"/>
    <x v="0"/>
    <x v="3"/>
    <n v="3"/>
    <n v="2883.7"/>
  </r>
  <r>
    <x v="1529"/>
    <x v="3"/>
    <d v="2024-11-29T00:00:00"/>
    <n v="2024"/>
    <x v="3"/>
    <n v="11"/>
    <x v="8"/>
    <x v="2"/>
    <n v="5.18"/>
    <s v="Customer C9337"/>
    <x v="2"/>
    <x v="0"/>
    <n v="5"/>
    <n v="31.08"/>
  </r>
  <r>
    <x v="1530"/>
    <x v="6"/>
    <d v="2024-01-29T00:00:00"/>
    <n v="2024"/>
    <x v="0"/>
    <n v="1"/>
    <x v="0"/>
    <x v="7"/>
    <n v="57.77"/>
    <s v="Customer C9345"/>
    <x v="2"/>
    <x v="1"/>
    <n v="4"/>
    <n v="231.08"/>
  </r>
  <r>
    <x v="1531"/>
    <x v="3"/>
    <d v="2023-12-20T00:00:00"/>
    <n v="2023"/>
    <x v="3"/>
    <n v="12"/>
    <x v="7"/>
    <x v="4"/>
    <n v="572.04999999999995"/>
    <s v="Customer C9356"/>
    <x v="1"/>
    <x v="0"/>
    <n v="4"/>
    <n v="572.04999999999995"/>
  </r>
  <r>
    <x v="1532"/>
    <x v="1"/>
    <d v="2024-06-07T00:00:00"/>
    <n v="2024"/>
    <x v="1"/>
    <n v="6"/>
    <x v="2"/>
    <x v="4"/>
    <n v="77.78"/>
    <s v="Customer C9367"/>
    <x v="2"/>
    <x v="0"/>
    <n v="4"/>
    <n v="77.78"/>
  </r>
  <r>
    <x v="1533"/>
    <x v="4"/>
    <d v="2024-08-30T00:00:00"/>
    <n v="2024"/>
    <x v="2"/>
    <n v="8"/>
    <x v="6"/>
    <x v="4"/>
    <n v="757.95"/>
    <s v="Customer C9376"/>
    <x v="0"/>
    <x v="3"/>
    <n v="5"/>
    <n v="757.95"/>
  </r>
  <r>
    <x v="1533"/>
    <x v="1"/>
    <d v="2025-05-02T00:00:00"/>
    <n v="2025"/>
    <x v="1"/>
    <n v="5"/>
    <x v="1"/>
    <x v="3"/>
    <n v="406.75"/>
    <s v="Customer C9376"/>
    <x v="1"/>
    <x v="2"/>
    <n v="5"/>
    <n v="2033.75"/>
  </r>
  <r>
    <x v="1534"/>
    <x v="2"/>
    <d v="2023-03-08T00:00:00"/>
    <n v="2023"/>
    <x v="0"/>
    <n v="3"/>
    <x v="10"/>
    <x v="1"/>
    <n v="693.46"/>
    <s v="Customer C9390"/>
    <x v="0"/>
    <x v="3"/>
    <n v="5"/>
    <n v="2080.38"/>
  </r>
  <r>
    <x v="1535"/>
    <x v="5"/>
    <d v="2024-08-06T00:00:00"/>
    <n v="2024"/>
    <x v="2"/>
    <n v="8"/>
    <x v="6"/>
    <x v="4"/>
    <n v="199.99"/>
    <s v="Customer C9401"/>
    <x v="1"/>
    <x v="1"/>
    <n v="1"/>
    <n v="199.99"/>
  </r>
  <r>
    <x v="1536"/>
    <x v="1"/>
    <d v="2023-12-11T00:00:00"/>
    <n v="2023"/>
    <x v="3"/>
    <n v="12"/>
    <x v="7"/>
    <x v="0"/>
    <n v="785.49"/>
    <s v="Customer C9406"/>
    <x v="0"/>
    <x v="0"/>
    <n v="5"/>
    <n v="6283.92"/>
  </r>
  <r>
    <x v="1537"/>
    <x v="4"/>
    <d v="2023-11-16T00:00:00"/>
    <n v="2023"/>
    <x v="3"/>
    <n v="11"/>
    <x v="8"/>
    <x v="3"/>
    <n v="508.63"/>
    <s v="Customer C9421"/>
    <x v="2"/>
    <x v="0"/>
    <n v="3"/>
    <n v="2543.15"/>
  </r>
  <r>
    <x v="1537"/>
    <x v="0"/>
    <d v="2023-11-04T00:00:00"/>
    <n v="2023"/>
    <x v="3"/>
    <n v="11"/>
    <x v="8"/>
    <x v="3"/>
    <n v="145.88999999999999"/>
    <s v="Customer C9421"/>
    <x v="1"/>
    <x v="4"/>
    <n v="5"/>
    <n v="729.45"/>
  </r>
  <r>
    <x v="1538"/>
    <x v="1"/>
    <d v="2024-09-03T00:00:00"/>
    <n v="2024"/>
    <x v="2"/>
    <n v="9"/>
    <x v="11"/>
    <x v="6"/>
    <n v="333.9"/>
    <s v="Customer C9428"/>
    <x v="2"/>
    <x v="1"/>
    <n v="2"/>
    <n v="2337.3000000000002"/>
  </r>
  <r>
    <x v="1538"/>
    <x v="6"/>
    <d v="2025-03-26T00:00:00"/>
    <n v="2025"/>
    <x v="0"/>
    <n v="3"/>
    <x v="10"/>
    <x v="7"/>
    <n v="464.74"/>
    <s v="Customer C9428"/>
    <x v="2"/>
    <x v="2"/>
    <n v="4"/>
    <n v="1858.96"/>
  </r>
  <r>
    <x v="1539"/>
    <x v="1"/>
    <d v="2023-06-01T00:00:00"/>
    <n v="2023"/>
    <x v="1"/>
    <n v="6"/>
    <x v="2"/>
    <x v="4"/>
    <n v="114.84"/>
    <s v="Customer C9443"/>
    <x v="1"/>
    <x v="1"/>
    <n v="5"/>
    <n v="114.84"/>
  </r>
  <r>
    <x v="1540"/>
    <x v="0"/>
    <d v="2023-05-12T00:00:00"/>
    <n v="2023"/>
    <x v="1"/>
    <n v="5"/>
    <x v="1"/>
    <x v="7"/>
    <n v="176.79"/>
    <s v="Customer C9446"/>
    <x v="0"/>
    <x v="2"/>
    <n v="5"/>
    <n v="707.16"/>
  </r>
  <r>
    <x v="1541"/>
    <x v="4"/>
    <d v="2023-05-02T00:00:00"/>
    <n v="2023"/>
    <x v="1"/>
    <n v="5"/>
    <x v="1"/>
    <x v="6"/>
    <n v="555.39"/>
    <s v="Customer C9453"/>
    <x v="0"/>
    <x v="3"/>
    <n v="1"/>
    <n v="3887.73"/>
  </r>
  <r>
    <x v="1542"/>
    <x v="0"/>
    <d v="2023-06-07T00:00:00"/>
    <n v="2023"/>
    <x v="1"/>
    <n v="6"/>
    <x v="2"/>
    <x v="6"/>
    <n v="34.85"/>
    <s v="Customer C9464"/>
    <x v="0"/>
    <x v="4"/>
    <n v="3"/>
    <n v="243.95"/>
  </r>
  <r>
    <x v="1543"/>
    <x v="6"/>
    <d v="2023-06-05T00:00:00"/>
    <n v="2023"/>
    <x v="1"/>
    <n v="6"/>
    <x v="2"/>
    <x v="7"/>
    <n v="595.29"/>
    <s v="Customer C9472"/>
    <x v="1"/>
    <x v="1"/>
    <n v="4"/>
    <n v="2381.16"/>
  </r>
  <r>
    <x v="1544"/>
    <x v="4"/>
    <d v="2023-06-05T00:00:00"/>
    <n v="2023"/>
    <x v="1"/>
    <n v="6"/>
    <x v="2"/>
    <x v="1"/>
    <n v="51.15"/>
    <s v="Customer C9484"/>
    <x v="1"/>
    <x v="2"/>
    <n v="5"/>
    <n v="153.44999999999999"/>
  </r>
  <r>
    <x v="1545"/>
    <x v="3"/>
    <d v="2024-10-17T00:00:00"/>
    <n v="2024"/>
    <x v="3"/>
    <n v="10"/>
    <x v="4"/>
    <x v="7"/>
    <n v="31.65"/>
    <s v="Customer C9486"/>
    <x v="2"/>
    <x v="1"/>
    <n v="1"/>
    <n v="126.6"/>
  </r>
  <r>
    <x v="1546"/>
    <x v="3"/>
    <d v="2024-10-05T00:00:00"/>
    <n v="2024"/>
    <x v="3"/>
    <n v="10"/>
    <x v="4"/>
    <x v="6"/>
    <n v="192.85"/>
    <s v="Customer C9488"/>
    <x v="2"/>
    <x v="4"/>
    <n v="1"/>
    <n v="1349.95"/>
  </r>
  <r>
    <x v="1547"/>
    <x v="5"/>
    <d v="2024-09-06T00:00:00"/>
    <n v="2024"/>
    <x v="2"/>
    <n v="9"/>
    <x v="11"/>
    <x v="5"/>
    <n v="388.43"/>
    <s v="Customer C9505"/>
    <x v="2"/>
    <x v="1"/>
    <n v="4"/>
    <n v="776.86"/>
  </r>
  <r>
    <x v="1548"/>
    <x v="2"/>
    <d v="2024-05-26T00:00:00"/>
    <n v="2024"/>
    <x v="1"/>
    <n v="5"/>
    <x v="1"/>
    <x v="3"/>
    <n v="84.16"/>
    <s v="Customer C9511"/>
    <x v="0"/>
    <x v="4"/>
    <n v="2"/>
    <n v="420.8"/>
  </r>
  <r>
    <x v="1548"/>
    <x v="5"/>
    <d v="2025-03-03T00:00:00"/>
    <n v="2025"/>
    <x v="0"/>
    <n v="3"/>
    <x v="10"/>
    <x v="5"/>
    <n v="451.66"/>
    <s v="Customer C9511"/>
    <x v="2"/>
    <x v="2"/>
    <n v="2"/>
    <n v="903.32"/>
  </r>
  <r>
    <x v="1549"/>
    <x v="1"/>
    <d v="2023-09-15T00:00:00"/>
    <n v="2023"/>
    <x v="2"/>
    <n v="9"/>
    <x v="11"/>
    <x v="2"/>
    <n v="654.29"/>
    <s v="Customer C9517"/>
    <x v="1"/>
    <x v="0"/>
    <n v="2"/>
    <n v="3925.74"/>
  </r>
  <r>
    <x v="1550"/>
    <x v="3"/>
    <d v="2024-07-20T00:00:00"/>
    <n v="2024"/>
    <x v="2"/>
    <n v="7"/>
    <x v="3"/>
    <x v="3"/>
    <n v="702.3"/>
    <s v="Customer C9524"/>
    <x v="1"/>
    <x v="4"/>
    <n v="1"/>
    <n v="3511.5"/>
  </r>
  <r>
    <x v="1551"/>
    <x v="5"/>
    <d v="2023-06-12T00:00:00"/>
    <n v="2023"/>
    <x v="1"/>
    <n v="6"/>
    <x v="2"/>
    <x v="7"/>
    <n v="77.44"/>
    <s v="Customer C9528"/>
    <x v="2"/>
    <x v="4"/>
    <n v="2"/>
    <n v="309.76"/>
  </r>
  <r>
    <x v="1552"/>
    <x v="1"/>
    <d v="2023-03-20T00:00:00"/>
    <n v="2023"/>
    <x v="0"/>
    <n v="3"/>
    <x v="10"/>
    <x v="2"/>
    <n v="158.22999999999999"/>
    <s v="Customer C9533"/>
    <x v="1"/>
    <x v="0"/>
    <n v="4"/>
    <n v="949.38"/>
  </r>
  <r>
    <x v="1553"/>
    <x v="0"/>
    <d v="2023-09-02T00:00:00"/>
    <n v="2023"/>
    <x v="2"/>
    <n v="9"/>
    <x v="11"/>
    <x v="0"/>
    <n v="663.83"/>
    <s v="Customer C9534"/>
    <x v="0"/>
    <x v="2"/>
    <n v="1"/>
    <n v="5310.64"/>
  </r>
  <r>
    <x v="1554"/>
    <x v="4"/>
    <d v="2024-12-02T00:00:00"/>
    <n v="2024"/>
    <x v="3"/>
    <n v="12"/>
    <x v="7"/>
    <x v="0"/>
    <n v="418.27"/>
    <s v="Customer C9541"/>
    <x v="1"/>
    <x v="2"/>
    <n v="5"/>
    <n v="3346.16"/>
  </r>
  <r>
    <x v="1555"/>
    <x v="6"/>
    <d v="2024-07-12T00:00:00"/>
    <n v="2024"/>
    <x v="2"/>
    <n v="7"/>
    <x v="3"/>
    <x v="1"/>
    <n v="539.65"/>
    <s v="Customer C9545"/>
    <x v="2"/>
    <x v="3"/>
    <n v="2"/>
    <n v="1618.95"/>
  </r>
  <r>
    <x v="1556"/>
    <x v="4"/>
    <d v="2024-11-02T00:00:00"/>
    <n v="2024"/>
    <x v="3"/>
    <n v="11"/>
    <x v="8"/>
    <x v="2"/>
    <n v="525.89"/>
    <s v="Customer C9553"/>
    <x v="0"/>
    <x v="3"/>
    <n v="1"/>
    <n v="3155.34"/>
  </r>
  <r>
    <x v="1557"/>
    <x v="3"/>
    <d v="2024-11-15T00:00:00"/>
    <n v="2024"/>
    <x v="3"/>
    <n v="11"/>
    <x v="8"/>
    <x v="4"/>
    <n v="441.82"/>
    <s v="Customer C9554"/>
    <x v="0"/>
    <x v="2"/>
    <n v="4"/>
    <n v="441.82"/>
  </r>
  <r>
    <x v="1558"/>
    <x v="6"/>
    <d v="2023-06-15T00:00:00"/>
    <n v="2023"/>
    <x v="1"/>
    <n v="6"/>
    <x v="2"/>
    <x v="2"/>
    <n v="484.43"/>
    <s v="Customer C9559"/>
    <x v="1"/>
    <x v="4"/>
    <n v="2"/>
    <n v="2906.58"/>
  </r>
  <r>
    <x v="1559"/>
    <x v="6"/>
    <d v="2023-11-23T00:00:00"/>
    <n v="2023"/>
    <x v="3"/>
    <n v="11"/>
    <x v="8"/>
    <x v="7"/>
    <n v="537.88"/>
    <s v="Customer C9561"/>
    <x v="1"/>
    <x v="1"/>
    <n v="2"/>
    <n v="2151.52"/>
  </r>
  <r>
    <x v="1560"/>
    <x v="0"/>
    <d v="2024-12-30T00:00:00"/>
    <n v="2024"/>
    <x v="3"/>
    <n v="12"/>
    <x v="7"/>
    <x v="1"/>
    <n v="77.03"/>
    <s v="Customer C9564"/>
    <x v="2"/>
    <x v="0"/>
    <n v="2"/>
    <n v="231.09"/>
  </r>
  <r>
    <x v="1560"/>
    <x v="5"/>
    <d v="2023-02-11T00:00:00"/>
    <n v="2023"/>
    <x v="0"/>
    <n v="2"/>
    <x v="9"/>
    <x v="2"/>
    <n v="718.79"/>
    <s v="Customer C9564"/>
    <x v="1"/>
    <x v="2"/>
    <n v="3"/>
    <n v="4312.74"/>
  </r>
  <r>
    <x v="1561"/>
    <x v="1"/>
    <d v="2023-01-12T00:00:00"/>
    <n v="2023"/>
    <x v="0"/>
    <n v="1"/>
    <x v="0"/>
    <x v="2"/>
    <n v="799.91"/>
    <s v="Customer C9569"/>
    <x v="0"/>
    <x v="1"/>
    <n v="4"/>
    <n v="4799.46"/>
  </r>
  <r>
    <x v="1562"/>
    <x v="1"/>
    <d v="2023-12-30T00:00:00"/>
    <n v="2023"/>
    <x v="3"/>
    <n v="12"/>
    <x v="7"/>
    <x v="0"/>
    <n v="389.64"/>
    <s v="Customer C9570"/>
    <x v="1"/>
    <x v="1"/>
    <n v="4"/>
    <n v="3117.12"/>
  </r>
  <r>
    <x v="1563"/>
    <x v="4"/>
    <d v="2024-11-19T00:00:00"/>
    <n v="2024"/>
    <x v="3"/>
    <n v="11"/>
    <x v="8"/>
    <x v="7"/>
    <n v="180.72"/>
    <s v="Customer C9577"/>
    <x v="0"/>
    <x v="3"/>
    <n v="2"/>
    <n v="722.88"/>
  </r>
  <r>
    <x v="1564"/>
    <x v="0"/>
    <d v="2023-09-25T00:00:00"/>
    <n v="2023"/>
    <x v="2"/>
    <n v="9"/>
    <x v="11"/>
    <x v="2"/>
    <n v="634.28"/>
    <s v="Customer C9578"/>
    <x v="1"/>
    <x v="4"/>
    <n v="5"/>
    <n v="3805.68"/>
  </r>
  <r>
    <x v="1565"/>
    <x v="2"/>
    <d v="2024-12-08T00:00:00"/>
    <n v="2024"/>
    <x v="3"/>
    <n v="12"/>
    <x v="7"/>
    <x v="0"/>
    <n v="717.52"/>
    <s v="Customer C9579"/>
    <x v="2"/>
    <x v="4"/>
    <n v="3"/>
    <n v="5740.16"/>
  </r>
  <r>
    <x v="1565"/>
    <x v="5"/>
    <d v="2023-02-07T00:00:00"/>
    <n v="2023"/>
    <x v="0"/>
    <n v="2"/>
    <x v="9"/>
    <x v="1"/>
    <n v="612.01"/>
    <s v="Customer C9579"/>
    <x v="0"/>
    <x v="3"/>
    <n v="3"/>
    <n v="1836.03"/>
  </r>
  <r>
    <x v="1566"/>
    <x v="0"/>
    <d v="2025-04-16T00:00:00"/>
    <n v="2025"/>
    <x v="1"/>
    <n v="4"/>
    <x v="5"/>
    <x v="3"/>
    <n v="589.84"/>
    <s v="Customer C9581"/>
    <x v="0"/>
    <x v="0"/>
    <n v="5"/>
    <n v="2949.2"/>
  </r>
  <r>
    <x v="1567"/>
    <x v="2"/>
    <d v="2023-03-07T00:00:00"/>
    <n v="2023"/>
    <x v="0"/>
    <n v="3"/>
    <x v="10"/>
    <x v="2"/>
    <n v="129.85"/>
    <s v="Customer C9590"/>
    <x v="1"/>
    <x v="0"/>
    <n v="1"/>
    <n v="779.1"/>
  </r>
  <r>
    <x v="1568"/>
    <x v="4"/>
    <d v="2025-05-14T00:00:00"/>
    <n v="2025"/>
    <x v="1"/>
    <n v="5"/>
    <x v="1"/>
    <x v="0"/>
    <n v="620.6"/>
    <s v="Customer C9593"/>
    <x v="1"/>
    <x v="1"/>
    <n v="1"/>
    <n v="4964.8"/>
  </r>
  <r>
    <x v="1568"/>
    <x v="1"/>
    <d v="2025-05-11T00:00:00"/>
    <n v="2025"/>
    <x v="1"/>
    <n v="5"/>
    <x v="1"/>
    <x v="6"/>
    <n v="390.86"/>
    <s v="Customer C9593"/>
    <x v="0"/>
    <x v="3"/>
    <n v="4"/>
    <n v="2736.02"/>
  </r>
  <r>
    <x v="1569"/>
    <x v="5"/>
    <d v="2024-06-30T00:00:00"/>
    <n v="2024"/>
    <x v="1"/>
    <n v="6"/>
    <x v="2"/>
    <x v="3"/>
    <n v="220.51"/>
    <s v="Customer C9595"/>
    <x v="1"/>
    <x v="3"/>
    <n v="2"/>
    <n v="1102.55"/>
  </r>
  <r>
    <x v="1570"/>
    <x v="2"/>
    <d v="2024-04-11T00:00:00"/>
    <n v="2024"/>
    <x v="1"/>
    <n v="4"/>
    <x v="5"/>
    <x v="1"/>
    <n v="260.33999999999997"/>
    <s v="Customer C9606"/>
    <x v="0"/>
    <x v="2"/>
    <n v="2"/>
    <n v="781.02"/>
  </r>
  <r>
    <x v="1571"/>
    <x v="1"/>
    <d v="2025-01-30T00:00:00"/>
    <n v="2025"/>
    <x v="0"/>
    <n v="1"/>
    <x v="0"/>
    <x v="3"/>
    <n v="432.85"/>
    <s v="Customer C9608"/>
    <x v="2"/>
    <x v="2"/>
    <n v="5"/>
    <n v="2164.25"/>
  </r>
  <r>
    <x v="1572"/>
    <x v="4"/>
    <d v="2025-04-30T00:00:00"/>
    <n v="2025"/>
    <x v="1"/>
    <n v="4"/>
    <x v="5"/>
    <x v="3"/>
    <n v="667.3"/>
    <s v="Customer C9614"/>
    <x v="1"/>
    <x v="0"/>
    <n v="1"/>
    <n v="3336.5"/>
  </r>
  <r>
    <x v="1572"/>
    <x v="3"/>
    <d v="2024-08-02T00:00:00"/>
    <n v="2024"/>
    <x v="2"/>
    <n v="8"/>
    <x v="6"/>
    <x v="3"/>
    <n v="727.71"/>
    <s v="Customer C9614"/>
    <x v="2"/>
    <x v="2"/>
    <n v="2"/>
    <n v="3638.55"/>
  </r>
  <r>
    <x v="1573"/>
    <x v="3"/>
    <d v="2023-07-13T00:00:00"/>
    <n v="2023"/>
    <x v="2"/>
    <n v="7"/>
    <x v="3"/>
    <x v="3"/>
    <n v="563.85"/>
    <s v="Customer C9617"/>
    <x v="2"/>
    <x v="3"/>
    <n v="5"/>
    <n v="2819.25"/>
  </r>
  <r>
    <x v="1574"/>
    <x v="0"/>
    <d v="2023-03-29T00:00:00"/>
    <n v="2023"/>
    <x v="0"/>
    <n v="3"/>
    <x v="10"/>
    <x v="3"/>
    <n v="770.86"/>
    <s v="Customer C9618"/>
    <x v="2"/>
    <x v="2"/>
    <n v="3"/>
    <n v="3854.3"/>
  </r>
  <r>
    <x v="1574"/>
    <x v="5"/>
    <d v="2025-03-02T00:00:00"/>
    <n v="2025"/>
    <x v="0"/>
    <n v="3"/>
    <x v="10"/>
    <x v="3"/>
    <n v="780.03"/>
    <s v="Customer C9618"/>
    <x v="2"/>
    <x v="1"/>
    <n v="2"/>
    <n v="3900.15"/>
  </r>
  <r>
    <x v="1575"/>
    <x v="2"/>
    <d v="2023-04-03T00:00:00"/>
    <n v="2023"/>
    <x v="1"/>
    <n v="4"/>
    <x v="5"/>
    <x v="3"/>
    <n v="384.78"/>
    <s v="Customer C9620"/>
    <x v="2"/>
    <x v="3"/>
    <n v="4"/>
    <n v="1923.9"/>
  </r>
  <r>
    <x v="1576"/>
    <x v="3"/>
    <d v="2024-06-16T00:00:00"/>
    <n v="2024"/>
    <x v="1"/>
    <n v="6"/>
    <x v="2"/>
    <x v="1"/>
    <n v="759.6"/>
    <s v="Customer C9622"/>
    <x v="1"/>
    <x v="1"/>
    <n v="5"/>
    <n v="2278.8000000000002"/>
  </r>
  <r>
    <x v="1577"/>
    <x v="0"/>
    <d v="2024-08-19T00:00:00"/>
    <n v="2024"/>
    <x v="2"/>
    <n v="8"/>
    <x v="6"/>
    <x v="0"/>
    <n v="531.66"/>
    <s v="Customer C9624"/>
    <x v="2"/>
    <x v="3"/>
    <n v="3"/>
    <n v="4253.28"/>
  </r>
  <r>
    <x v="1578"/>
    <x v="1"/>
    <d v="2023-03-12T00:00:00"/>
    <n v="2023"/>
    <x v="0"/>
    <n v="3"/>
    <x v="10"/>
    <x v="3"/>
    <n v="268.68"/>
    <s v="Customer C9625"/>
    <x v="0"/>
    <x v="1"/>
    <n v="5"/>
    <n v="1343.4"/>
  </r>
  <r>
    <x v="1579"/>
    <x v="0"/>
    <d v="2023-12-26T00:00:00"/>
    <n v="2023"/>
    <x v="3"/>
    <n v="12"/>
    <x v="7"/>
    <x v="1"/>
    <n v="272.31"/>
    <s v="Customer C9628"/>
    <x v="0"/>
    <x v="1"/>
    <n v="2"/>
    <n v="816.93"/>
  </r>
  <r>
    <x v="1580"/>
    <x v="1"/>
    <d v="2025-06-23T00:00:00"/>
    <n v="2025"/>
    <x v="1"/>
    <n v="6"/>
    <x v="2"/>
    <x v="6"/>
    <n v="109.67"/>
    <s v="Customer C9636"/>
    <x v="0"/>
    <x v="1"/>
    <n v="3"/>
    <n v="767.69"/>
  </r>
  <r>
    <x v="1581"/>
    <x v="0"/>
    <d v="2024-09-08T00:00:00"/>
    <n v="2024"/>
    <x v="2"/>
    <n v="9"/>
    <x v="11"/>
    <x v="2"/>
    <n v="778.27"/>
    <s v="Customer C9640"/>
    <x v="0"/>
    <x v="0"/>
    <n v="5"/>
    <n v="4669.62"/>
  </r>
  <r>
    <x v="1582"/>
    <x v="4"/>
    <d v="2024-08-31T00:00:00"/>
    <n v="2024"/>
    <x v="2"/>
    <n v="8"/>
    <x v="6"/>
    <x v="3"/>
    <n v="136.72999999999999"/>
    <s v="Customer C9641"/>
    <x v="0"/>
    <x v="1"/>
    <n v="4"/>
    <n v="683.65"/>
  </r>
  <r>
    <x v="1583"/>
    <x v="0"/>
    <d v="2024-06-13T00:00:00"/>
    <n v="2024"/>
    <x v="1"/>
    <n v="6"/>
    <x v="2"/>
    <x v="6"/>
    <n v="559.5"/>
    <s v="Customer C9650"/>
    <x v="2"/>
    <x v="4"/>
    <n v="4"/>
    <n v="3916.5"/>
  </r>
  <r>
    <x v="1584"/>
    <x v="0"/>
    <d v="2024-10-06T00:00:00"/>
    <n v="2024"/>
    <x v="3"/>
    <n v="10"/>
    <x v="4"/>
    <x v="1"/>
    <n v="705.98"/>
    <s v="Customer C9667"/>
    <x v="0"/>
    <x v="0"/>
    <n v="2"/>
    <n v="2117.94"/>
  </r>
  <r>
    <x v="1585"/>
    <x v="4"/>
    <d v="2025-05-07T00:00:00"/>
    <n v="2025"/>
    <x v="1"/>
    <n v="5"/>
    <x v="1"/>
    <x v="4"/>
    <n v="580.17999999999995"/>
    <s v="Customer C9670"/>
    <x v="1"/>
    <x v="0"/>
    <n v="3"/>
    <n v="580.17999999999995"/>
  </r>
  <r>
    <x v="1586"/>
    <x v="0"/>
    <d v="2023-06-08T00:00:00"/>
    <n v="2023"/>
    <x v="1"/>
    <n v="6"/>
    <x v="2"/>
    <x v="5"/>
    <n v="544.39"/>
    <s v="Customer C9678"/>
    <x v="0"/>
    <x v="2"/>
    <n v="2"/>
    <n v="1088.78"/>
  </r>
  <r>
    <x v="1586"/>
    <x v="5"/>
    <d v="2023-01-06T00:00:00"/>
    <n v="2023"/>
    <x v="0"/>
    <n v="1"/>
    <x v="0"/>
    <x v="6"/>
    <n v="579.37"/>
    <s v="Customer C9678"/>
    <x v="1"/>
    <x v="3"/>
    <n v="1"/>
    <n v="4055.59"/>
  </r>
  <r>
    <x v="1586"/>
    <x v="3"/>
    <d v="2024-12-01T00:00:00"/>
    <n v="2024"/>
    <x v="3"/>
    <n v="12"/>
    <x v="7"/>
    <x v="5"/>
    <n v="311.39"/>
    <s v="Customer C9678"/>
    <x v="2"/>
    <x v="4"/>
    <n v="3"/>
    <n v="622.78"/>
  </r>
  <r>
    <x v="1587"/>
    <x v="2"/>
    <d v="2023-01-03T00:00:00"/>
    <n v="2023"/>
    <x v="0"/>
    <n v="1"/>
    <x v="0"/>
    <x v="7"/>
    <n v="576.95000000000005"/>
    <s v="Customer C9680"/>
    <x v="0"/>
    <x v="0"/>
    <n v="5"/>
    <n v="2307.8000000000002"/>
  </r>
  <r>
    <x v="1588"/>
    <x v="3"/>
    <d v="2023-08-21T00:00:00"/>
    <n v="2023"/>
    <x v="2"/>
    <n v="8"/>
    <x v="6"/>
    <x v="6"/>
    <n v="790.77"/>
    <s v="Customer C9685"/>
    <x v="0"/>
    <x v="1"/>
    <n v="3"/>
    <n v="5535.39"/>
  </r>
  <r>
    <x v="1589"/>
    <x v="2"/>
    <d v="2023-06-14T00:00:00"/>
    <n v="2023"/>
    <x v="1"/>
    <n v="6"/>
    <x v="2"/>
    <x v="3"/>
    <n v="307.26"/>
    <s v="Customer C9693"/>
    <x v="2"/>
    <x v="1"/>
    <n v="5"/>
    <n v="1536.3"/>
  </r>
  <r>
    <x v="1590"/>
    <x v="2"/>
    <d v="2023-07-31T00:00:00"/>
    <n v="2023"/>
    <x v="2"/>
    <n v="7"/>
    <x v="3"/>
    <x v="4"/>
    <n v="455.62"/>
    <s v="Customer C9700"/>
    <x v="1"/>
    <x v="3"/>
    <n v="1"/>
    <n v="455.62"/>
  </r>
  <r>
    <x v="1590"/>
    <x v="3"/>
    <d v="2024-08-26T00:00:00"/>
    <n v="2024"/>
    <x v="2"/>
    <n v="8"/>
    <x v="6"/>
    <x v="4"/>
    <n v="660.13"/>
    <s v="Customer C9700"/>
    <x v="2"/>
    <x v="2"/>
    <n v="4"/>
    <n v="660.13"/>
  </r>
  <r>
    <x v="1591"/>
    <x v="0"/>
    <d v="2024-03-26T00:00:00"/>
    <n v="2024"/>
    <x v="0"/>
    <n v="3"/>
    <x v="10"/>
    <x v="5"/>
    <n v="709.1"/>
    <s v="Customer C9702"/>
    <x v="2"/>
    <x v="0"/>
    <n v="2"/>
    <n v="1418.2"/>
  </r>
  <r>
    <x v="1592"/>
    <x v="6"/>
    <d v="2024-07-07T00:00:00"/>
    <n v="2024"/>
    <x v="2"/>
    <n v="7"/>
    <x v="3"/>
    <x v="3"/>
    <n v="487.97"/>
    <s v="Customer C9706"/>
    <x v="0"/>
    <x v="4"/>
    <n v="3"/>
    <n v="2439.85"/>
  </r>
  <r>
    <x v="1593"/>
    <x v="6"/>
    <d v="2024-12-17T00:00:00"/>
    <n v="2024"/>
    <x v="3"/>
    <n v="12"/>
    <x v="7"/>
    <x v="7"/>
    <n v="360.14"/>
    <s v="Customer C9709"/>
    <x v="1"/>
    <x v="2"/>
    <n v="4"/>
    <n v="1440.56"/>
  </r>
  <r>
    <x v="1594"/>
    <x v="0"/>
    <d v="2023-08-06T00:00:00"/>
    <n v="2023"/>
    <x v="2"/>
    <n v="8"/>
    <x v="6"/>
    <x v="2"/>
    <n v="729.68"/>
    <s v="Customer C9710"/>
    <x v="2"/>
    <x v="2"/>
    <n v="4"/>
    <n v="4378.08"/>
  </r>
  <r>
    <x v="1595"/>
    <x v="1"/>
    <d v="2023-09-09T00:00:00"/>
    <n v="2023"/>
    <x v="2"/>
    <n v="9"/>
    <x v="11"/>
    <x v="1"/>
    <n v="391.01"/>
    <s v="Customer C9712"/>
    <x v="2"/>
    <x v="1"/>
    <n v="1"/>
    <n v="1173.03"/>
  </r>
  <r>
    <x v="1596"/>
    <x v="3"/>
    <d v="2024-11-09T00:00:00"/>
    <n v="2024"/>
    <x v="3"/>
    <n v="11"/>
    <x v="8"/>
    <x v="0"/>
    <n v="168.94"/>
    <s v="Customer C9717"/>
    <x v="1"/>
    <x v="2"/>
    <n v="1"/>
    <n v="1351.52"/>
  </r>
  <r>
    <x v="1597"/>
    <x v="4"/>
    <d v="2025-01-04T00:00:00"/>
    <n v="2025"/>
    <x v="0"/>
    <n v="1"/>
    <x v="0"/>
    <x v="0"/>
    <n v="777.8"/>
    <s v="Customer C9723"/>
    <x v="0"/>
    <x v="0"/>
    <n v="3"/>
    <n v="6222.4"/>
  </r>
  <r>
    <x v="1598"/>
    <x v="4"/>
    <d v="2024-10-15T00:00:00"/>
    <n v="2024"/>
    <x v="3"/>
    <n v="10"/>
    <x v="4"/>
    <x v="5"/>
    <n v="118.09"/>
    <s v="Customer C9725"/>
    <x v="2"/>
    <x v="3"/>
    <n v="4"/>
    <n v="236.18"/>
  </r>
  <r>
    <x v="1598"/>
    <x v="1"/>
    <d v="2024-03-14T00:00:00"/>
    <n v="2024"/>
    <x v="0"/>
    <n v="3"/>
    <x v="10"/>
    <x v="6"/>
    <n v="303.18"/>
    <s v="Customer C9725"/>
    <x v="0"/>
    <x v="0"/>
    <n v="2"/>
    <n v="2122.2600000000002"/>
  </r>
  <r>
    <x v="1598"/>
    <x v="1"/>
    <d v="2024-04-01T00:00:00"/>
    <n v="2024"/>
    <x v="1"/>
    <n v="4"/>
    <x v="5"/>
    <x v="3"/>
    <n v="321.10000000000002"/>
    <s v="Customer C9725"/>
    <x v="2"/>
    <x v="1"/>
    <n v="2"/>
    <n v="1605.5"/>
  </r>
  <r>
    <x v="1599"/>
    <x v="4"/>
    <d v="2025-06-18T00:00:00"/>
    <n v="2025"/>
    <x v="1"/>
    <n v="6"/>
    <x v="2"/>
    <x v="7"/>
    <n v="392.13"/>
    <s v="Customer C9739"/>
    <x v="1"/>
    <x v="3"/>
    <n v="5"/>
    <n v="1568.52"/>
  </r>
  <r>
    <x v="1600"/>
    <x v="4"/>
    <d v="2023-01-14T00:00:00"/>
    <n v="2023"/>
    <x v="0"/>
    <n v="1"/>
    <x v="0"/>
    <x v="3"/>
    <n v="251.7"/>
    <s v="Customer C9742"/>
    <x v="0"/>
    <x v="3"/>
    <n v="5"/>
    <n v="1258.5"/>
  </r>
  <r>
    <x v="1601"/>
    <x v="6"/>
    <d v="2024-08-13T00:00:00"/>
    <n v="2024"/>
    <x v="2"/>
    <n v="8"/>
    <x v="6"/>
    <x v="4"/>
    <n v="740.42"/>
    <s v="Customer C9749"/>
    <x v="1"/>
    <x v="3"/>
    <n v="4"/>
    <n v="740.42"/>
  </r>
  <r>
    <x v="1602"/>
    <x v="5"/>
    <d v="2024-07-27T00:00:00"/>
    <n v="2024"/>
    <x v="2"/>
    <n v="7"/>
    <x v="3"/>
    <x v="0"/>
    <n v="254.9"/>
    <s v="Customer C9750"/>
    <x v="2"/>
    <x v="0"/>
    <n v="5"/>
    <n v="2039.2"/>
  </r>
  <r>
    <x v="1603"/>
    <x v="5"/>
    <d v="2024-11-19T00:00:00"/>
    <n v="2024"/>
    <x v="3"/>
    <n v="11"/>
    <x v="8"/>
    <x v="2"/>
    <n v="395.6"/>
    <s v="Customer C9756"/>
    <x v="1"/>
    <x v="3"/>
    <n v="2"/>
    <n v="2373.6"/>
  </r>
  <r>
    <x v="1604"/>
    <x v="0"/>
    <d v="2023-09-17T00:00:00"/>
    <n v="2023"/>
    <x v="2"/>
    <n v="9"/>
    <x v="11"/>
    <x v="0"/>
    <n v="300.38"/>
    <s v="Customer C9760"/>
    <x v="2"/>
    <x v="1"/>
    <n v="1"/>
    <n v="2403.04"/>
  </r>
  <r>
    <x v="1605"/>
    <x v="4"/>
    <d v="2024-07-04T00:00:00"/>
    <n v="2024"/>
    <x v="2"/>
    <n v="7"/>
    <x v="3"/>
    <x v="3"/>
    <n v="121.55"/>
    <s v="Customer C9767"/>
    <x v="0"/>
    <x v="4"/>
    <n v="1"/>
    <n v="607.75"/>
  </r>
  <r>
    <x v="1606"/>
    <x v="4"/>
    <d v="2024-05-03T00:00:00"/>
    <n v="2024"/>
    <x v="1"/>
    <n v="5"/>
    <x v="1"/>
    <x v="7"/>
    <n v="441.89"/>
    <s v="Customer C9771"/>
    <x v="1"/>
    <x v="4"/>
    <n v="3"/>
    <n v="1767.56"/>
  </r>
  <r>
    <x v="1607"/>
    <x v="5"/>
    <d v="2024-09-29T00:00:00"/>
    <n v="2024"/>
    <x v="2"/>
    <n v="9"/>
    <x v="11"/>
    <x v="0"/>
    <n v="588.84"/>
    <s v="Customer C9792"/>
    <x v="2"/>
    <x v="1"/>
    <n v="3"/>
    <n v="4710.72"/>
  </r>
  <r>
    <x v="1608"/>
    <x v="4"/>
    <d v="2023-08-04T00:00:00"/>
    <n v="2023"/>
    <x v="2"/>
    <n v="8"/>
    <x v="6"/>
    <x v="4"/>
    <n v="584.1"/>
    <s v="Customer C9797"/>
    <x v="1"/>
    <x v="0"/>
    <n v="2"/>
    <n v="584.1"/>
  </r>
  <r>
    <x v="1609"/>
    <x v="0"/>
    <d v="2023-02-19T00:00:00"/>
    <n v="2023"/>
    <x v="0"/>
    <n v="2"/>
    <x v="9"/>
    <x v="0"/>
    <n v="507.74"/>
    <s v="Customer C9800"/>
    <x v="1"/>
    <x v="1"/>
    <n v="3"/>
    <n v="4061.92"/>
  </r>
  <r>
    <x v="1609"/>
    <x v="3"/>
    <d v="2023-02-01T00:00:00"/>
    <n v="2023"/>
    <x v="0"/>
    <n v="2"/>
    <x v="9"/>
    <x v="1"/>
    <n v="709.1"/>
    <s v="Customer C9800"/>
    <x v="2"/>
    <x v="1"/>
    <n v="4"/>
    <n v="2127.3000000000002"/>
  </r>
  <r>
    <x v="1610"/>
    <x v="3"/>
    <d v="2024-03-24T00:00:00"/>
    <n v="2024"/>
    <x v="0"/>
    <n v="3"/>
    <x v="10"/>
    <x v="0"/>
    <n v="208.1"/>
    <s v="Customer C9803"/>
    <x v="1"/>
    <x v="4"/>
    <n v="5"/>
    <n v="1664.8"/>
  </r>
  <r>
    <x v="1611"/>
    <x v="3"/>
    <d v="2024-11-12T00:00:00"/>
    <n v="2024"/>
    <x v="3"/>
    <n v="11"/>
    <x v="8"/>
    <x v="5"/>
    <n v="282.66000000000003"/>
    <s v="Customer C9806"/>
    <x v="1"/>
    <x v="2"/>
    <n v="4"/>
    <n v="565.32000000000005"/>
  </r>
  <r>
    <x v="1612"/>
    <x v="6"/>
    <d v="2025-04-09T00:00:00"/>
    <n v="2025"/>
    <x v="1"/>
    <n v="4"/>
    <x v="5"/>
    <x v="5"/>
    <n v="461.16"/>
    <s v="Customer C9808"/>
    <x v="0"/>
    <x v="2"/>
    <n v="1"/>
    <n v="922.32"/>
  </r>
  <r>
    <x v="1613"/>
    <x v="1"/>
    <d v="2025-04-08T00:00:00"/>
    <n v="2025"/>
    <x v="1"/>
    <n v="4"/>
    <x v="5"/>
    <x v="1"/>
    <n v="754.2"/>
    <s v="Customer C9811"/>
    <x v="0"/>
    <x v="1"/>
    <n v="3"/>
    <n v="2262.6"/>
  </r>
  <r>
    <x v="1614"/>
    <x v="2"/>
    <d v="2024-12-25T00:00:00"/>
    <n v="2024"/>
    <x v="3"/>
    <n v="12"/>
    <x v="7"/>
    <x v="2"/>
    <n v="407.58"/>
    <s v="Customer C9813"/>
    <x v="1"/>
    <x v="0"/>
    <n v="4"/>
    <n v="2445.48"/>
  </r>
  <r>
    <x v="1615"/>
    <x v="5"/>
    <d v="2023-01-27T00:00:00"/>
    <n v="2023"/>
    <x v="0"/>
    <n v="1"/>
    <x v="0"/>
    <x v="0"/>
    <n v="686.94"/>
    <s v="Customer C9814"/>
    <x v="0"/>
    <x v="4"/>
    <n v="1"/>
    <n v="5495.52"/>
  </r>
  <r>
    <x v="1616"/>
    <x v="5"/>
    <d v="2023-08-12T00:00:00"/>
    <n v="2023"/>
    <x v="2"/>
    <n v="8"/>
    <x v="6"/>
    <x v="3"/>
    <n v="497.12"/>
    <s v="Customer C9822"/>
    <x v="1"/>
    <x v="4"/>
    <n v="5"/>
    <n v="2485.6"/>
  </r>
  <r>
    <x v="1617"/>
    <x v="1"/>
    <d v="2023-06-04T00:00:00"/>
    <n v="2023"/>
    <x v="1"/>
    <n v="6"/>
    <x v="2"/>
    <x v="1"/>
    <n v="564.27"/>
    <s v="Customer C9835"/>
    <x v="0"/>
    <x v="1"/>
    <n v="1"/>
    <n v="1692.81"/>
  </r>
  <r>
    <x v="1618"/>
    <x v="0"/>
    <d v="2025-05-16T00:00:00"/>
    <n v="2025"/>
    <x v="1"/>
    <n v="5"/>
    <x v="1"/>
    <x v="5"/>
    <n v="134.49"/>
    <s v="Customer C9841"/>
    <x v="2"/>
    <x v="1"/>
    <n v="5"/>
    <n v="268.98"/>
  </r>
  <r>
    <x v="1619"/>
    <x v="2"/>
    <d v="2024-05-12T00:00:00"/>
    <n v="2024"/>
    <x v="1"/>
    <n v="5"/>
    <x v="1"/>
    <x v="7"/>
    <n v="360.23"/>
    <s v="Customer C9853"/>
    <x v="0"/>
    <x v="3"/>
    <n v="4"/>
    <n v="1440.92"/>
  </r>
  <r>
    <x v="1620"/>
    <x v="3"/>
    <d v="2025-05-22T00:00:00"/>
    <n v="2025"/>
    <x v="1"/>
    <n v="5"/>
    <x v="1"/>
    <x v="7"/>
    <n v="139.85"/>
    <s v="Customer C9857"/>
    <x v="1"/>
    <x v="3"/>
    <n v="3"/>
    <n v="559.4"/>
  </r>
  <r>
    <x v="1621"/>
    <x v="3"/>
    <d v="2024-01-25T00:00:00"/>
    <n v="2024"/>
    <x v="0"/>
    <n v="1"/>
    <x v="0"/>
    <x v="3"/>
    <n v="718.01"/>
    <s v="Customer C9859"/>
    <x v="1"/>
    <x v="0"/>
    <n v="4"/>
    <n v="3590.05"/>
  </r>
  <r>
    <x v="1622"/>
    <x v="6"/>
    <d v="2023-04-23T00:00:00"/>
    <n v="2023"/>
    <x v="1"/>
    <n v="4"/>
    <x v="5"/>
    <x v="0"/>
    <n v="521.59"/>
    <s v="Customer C9880"/>
    <x v="1"/>
    <x v="3"/>
    <n v="4"/>
    <n v="4172.72"/>
  </r>
  <r>
    <x v="1623"/>
    <x v="5"/>
    <d v="2024-12-07T00:00:00"/>
    <n v="2024"/>
    <x v="3"/>
    <n v="12"/>
    <x v="7"/>
    <x v="7"/>
    <n v="82.16"/>
    <s v="Customer C9893"/>
    <x v="2"/>
    <x v="4"/>
    <n v="4"/>
    <n v="328.64"/>
  </r>
  <r>
    <x v="1623"/>
    <x v="1"/>
    <d v="2024-06-23T00:00:00"/>
    <n v="2024"/>
    <x v="1"/>
    <n v="6"/>
    <x v="2"/>
    <x v="1"/>
    <n v="752.43"/>
    <s v="Customer C9893"/>
    <x v="0"/>
    <x v="0"/>
    <n v="5"/>
    <n v="2257.29"/>
  </r>
  <r>
    <x v="1624"/>
    <x v="2"/>
    <d v="2023-03-17T00:00:00"/>
    <n v="2023"/>
    <x v="0"/>
    <n v="3"/>
    <x v="10"/>
    <x v="0"/>
    <n v="433.99"/>
    <s v="Customer C9898"/>
    <x v="2"/>
    <x v="1"/>
    <n v="3"/>
    <n v="3471.92"/>
  </r>
  <r>
    <x v="1625"/>
    <x v="1"/>
    <d v="2025-04-28T00:00:00"/>
    <n v="2025"/>
    <x v="1"/>
    <n v="4"/>
    <x v="5"/>
    <x v="7"/>
    <n v="307.95999999999998"/>
    <s v="Customer C9901"/>
    <x v="1"/>
    <x v="3"/>
    <n v="1"/>
    <n v="1231.8399999999999"/>
  </r>
  <r>
    <x v="1626"/>
    <x v="6"/>
    <d v="2023-12-22T00:00:00"/>
    <n v="2023"/>
    <x v="3"/>
    <n v="12"/>
    <x v="7"/>
    <x v="7"/>
    <n v="710.91"/>
    <s v="Customer C9904"/>
    <x v="1"/>
    <x v="3"/>
    <n v="5"/>
    <n v="2843.64"/>
  </r>
  <r>
    <x v="1627"/>
    <x v="4"/>
    <d v="2025-06-20T00:00:00"/>
    <n v="2025"/>
    <x v="1"/>
    <n v="6"/>
    <x v="2"/>
    <x v="3"/>
    <n v="223.34"/>
    <s v="Customer C9907"/>
    <x v="1"/>
    <x v="3"/>
    <n v="2"/>
    <n v="1116.7"/>
  </r>
  <r>
    <x v="1628"/>
    <x v="1"/>
    <d v="2024-08-29T00:00:00"/>
    <n v="2024"/>
    <x v="2"/>
    <n v="8"/>
    <x v="6"/>
    <x v="6"/>
    <n v="606.16999999999996"/>
    <s v="Customer C9913"/>
    <x v="1"/>
    <x v="3"/>
    <n v="2"/>
    <n v="4243.1899999999996"/>
  </r>
  <r>
    <x v="1629"/>
    <x v="0"/>
    <d v="2024-05-25T00:00:00"/>
    <n v="2024"/>
    <x v="1"/>
    <n v="5"/>
    <x v="1"/>
    <x v="5"/>
    <n v="58.29"/>
    <s v="Customer C9916"/>
    <x v="1"/>
    <x v="0"/>
    <n v="3"/>
    <n v="116.58"/>
  </r>
  <r>
    <x v="1630"/>
    <x v="4"/>
    <d v="2023-07-03T00:00:00"/>
    <n v="2023"/>
    <x v="2"/>
    <n v="7"/>
    <x v="3"/>
    <x v="0"/>
    <n v="444.81"/>
    <s v="Customer C9923"/>
    <x v="0"/>
    <x v="4"/>
    <n v="1"/>
    <n v="3558.48"/>
  </r>
  <r>
    <x v="1631"/>
    <x v="6"/>
    <d v="2024-07-14T00:00:00"/>
    <n v="2024"/>
    <x v="2"/>
    <n v="7"/>
    <x v="3"/>
    <x v="0"/>
    <n v="393.38"/>
    <s v="Customer C9925"/>
    <x v="0"/>
    <x v="4"/>
    <n v="3"/>
    <n v="3147.04"/>
  </r>
  <r>
    <x v="1632"/>
    <x v="6"/>
    <d v="2023-05-20T00:00:00"/>
    <n v="2023"/>
    <x v="1"/>
    <n v="5"/>
    <x v="1"/>
    <x v="3"/>
    <n v="225.32"/>
    <s v="Customer C9947"/>
    <x v="2"/>
    <x v="0"/>
    <n v="5"/>
    <n v="1126.5999999999999"/>
  </r>
  <r>
    <x v="1633"/>
    <x v="3"/>
    <d v="2023-07-14T00:00:00"/>
    <n v="2023"/>
    <x v="2"/>
    <n v="7"/>
    <x v="3"/>
    <x v="3"/>
    <n v="283.33999999999997"/>
    <s v="Customer C9957"/>
    <x v="0"/>
    <x v="4"/>
    <n v="2"/>
    <n v="1416.7"/>
  </r>
  <r>
    <x v="1634"/>
    <x v="5"/>
    <d v="2024-06-13T00:00:00"/>
    <n v="2024"/>
    <x v="1"/>
    <n v="6"/>
    <x v="2"/>
    <x v="4"/>
    <n v="218.84"/>
    <s v="Customer C9958"/>
    <x v="1"/>
    <x v="2"/>
    <n v="1"/>
    <n v="218.84"/>
  </r>
  <r>
    <x v="1635"/>
    <x v="5"/>
    <d v="2024-03-04T00:00:00"/>
    <n v="2024"/>
    <x v="0"/>
    <n v="3"/>
    <x v="10"/>
    <x v="7"/>
    <n v="787.22"/>
    <s v="Customer C9960"/>
    <x v="2"/>
    <x v="2"/>
    <n v="2"/>
    <n v="3148.88"/>
  </r>
  <r>
    <x v="1636"/>
    <x v="2"/>
    <d v="2024-08-31T00:00:00"/>
    <n v="2024"/>
    <x v="2"/>
    <n v="8"/>
    <x v="6"/>
    <x v="3"/>
    <n v="441.52"/>
    <s v="Customer C9965"/>
    <x v="1"/>
    <x v="1"/>
    <n v="1"/>
    <n v="2207.6"/>
  </r>
  <r>
    <x v="1637"/>
    <x v="4"/>
    <d v="2023-04-19T00:00:00"/>
    <n v="2023"/>
    <x v="1"/>
    <n v="4"/>
    <x v="5"/>
    <x v="1"/>
    <n v="326.56"/>
    <s v="Customer C9972"/>
    <x v="2"/>
    <x v="1"/>
    <n v="2"/>
    <n v="979.68"/>
  </r>
  <r>
    <x v="1638"/>
    <x v="3"/>
    <d v="2024-06-17T00:00:00"/>
    <n v="2024"/>
    <x v="1"/>
    <n v="6"/>
    <x v="2"/>
    <x v="0"/>
    <n v="247.59"/>
    <s v="Customer C9976"/>
    <x v="0"/>
    <x v="0"/>
    <n v="1"/>
    <n v="1980.72"/>
  </r>
  <r>
    <x v="1639"/>
    <x v="6"/>
    <d v="2023-10-05T00:00:00"/>
    <n v="2023"/>
    <x v="3"/>
    <n v="10"/>
    <x v="4"/>
    <x v="4"/>
    <n v="782.08"/>
    <s v="Customer C9984"/>
    <x v="2"/>
    <x v="1"/>
    <n v="4"/>
    <n v="782.08"/>
  </r>
  <r>
    <x v="1640"/>
    <x v="5"/>
    <d v="2024-04-27T00:00:00"/>
    <n v="2024"/>
    <x v="1"/>
    <n v="4"/>
    <x v="5"/>
    <x v="7"/>
    <n v="684.41"/>
    <s v="Customer C9986"/>
    <x v="2"/>
    <x v="1"/>
    <n v="1"/>
    <n v="2737.64"/>
  </r>
  <r>
    <x v="1641"/>
    <x v="3"/>
    <d v="2025-05-21T00:00:00"/>
    <n v="2025"/>
    <x v="1"/>
    <n v="5"/>
    <x v="1"/>
    <x v="1"/>
    <n v="374.04"/>
    <s v="Customer C9993"/>
    <x v="2"/>
    <x v="2"/>
    <n v="3"/>
    <n v="1122.11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EA22F-2021-4EEE-9566-9215FFAED29E}" name="Catagorywise Sal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M11:N15" firstHeaderRow="1" firstDataRow="1" firstDataCol="1"/>
  <pivotFields count="14">
    <pivotField showAll="0"/>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showAll="0"/>
    <pivotField showAll="0"/>
    <pivotField showAll="0"/>
    <pivotField axis="axisRow" showAll="0">
      <items count="4">
        <item x="1"/>
        <item x="2"/>
        <item x="0"/>
        <item t="default"/>
      </items>
    </pivotField>
    <pivotField showAll="0">
      <items count="6">
        <item x="0"/>
        <item x="1"/>
        <item x="4"/>
        <item x="2"/>
        <item x="3"/>
        <item t="default"/>
      </items>
    </pivotField>
    <pivotField showAll="0"/>
    <pivotField dataField="1" showAll="0"/>
  </pivotFields>
  <rowFields count="1">
    <field x="10"/>
  </rowFields>
  <rowItems count="4">
    <i>
      <x/>
    </i>
    <i>
      <x v="1"/>
    </i>
    <i>
      <x v="2"/>
    </i>
    <i t="grand">
      <x/>
    </i>
  </rowItems>
  <colItems count="1">
    <i/>
  </colItems>
  <dataFields count="1">
    <dataField name="Sum of TotalPrice" fld="13" baseField="0" baseItem="0"/>
  </dataFields>
  <formats count="1">
    <format dxfId="10">
      <pivotArea outline="0" collapsedLevelsAreSubtotals="1" fieldPosition="0"/>
    </format>
  </formats>
  <chartFormats count="4">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0" count="1" selected="0">
            <x v="0"/>
          </reference>
        </references>
      </pivotArea>
    </chartFormat>
    <chartFormat chart="21" format="7">
      <pivotArea type="data" outline="0" fieldPosition="0">
        <references count="2">
          <reference field="4294967294" count="1" selected="0">
            <x v="0"/>
          </reference>
          <reference field="10" count="1" selected="0">
            <x v="1"/>
          </reference>
        </references>
      </pivotArea>
    </chartFormat>
    <chartFormat chart="21"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99FAF5-ABA3-4ED5-86EB-819701113B63}" name="Payment Metho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11:K17" firstHeaderRow="1" firstDataRow="1" firstDataCol="1"/>
  <pivotFields count="14">
    <pivotField showAll="0"/>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showAll="0"/>
    <pivotField showAll="0"/>
    <pivotField showAll="0"/>
    <pivotField showAll="0">
      <items count="4">
        <item x="1"/>
        <item x="2"/>
        <item x="0"/>
        <item t="default"/>
      </items>
    </pivotField>
    <pivotField axis="axisRow" showAll="0">
      <items count="6">
        <item x="0"/>
        <item x="1"/>
        <item x="4"/>
        <item x="2"/>
        <item x="3"/>
        <item t="default"/>
      </items>
    </pivotField>
    <pivotField showAll="0"/>
    <pivotField dataField="1" showAll="0"/>
  </pivotFields>
  <rowFields count="1">
    <field x="11"/>
  </rowFields>
  <rowItems count="6">
    <i>
      <x/>
    </i>
    <i>
      <x v="1"/>
    </i>
    <i>
      <x v="2"/>
    </i>
    <i>
      <x v="3"/>
    </i>
    <i>
      <x v="4"/>
    </i>
    <i t="grand">
      <x/>
    </i>
  </rowItems>
  <colItems count="1">
    <i/>
  </colItems>
  <dataFields count="1">
    <dataField name="Sum of TotalPrice" fld="13" showDataAs="percentOfTotal" baseField="11" baseItem="0" numFmtId="10"/>
  </dataFields>
  <formats count="2">
    <format dxfId="11">
      <pivotArea outline="0" collapsedLevelsAreSubtotals="1" fieldPosition="0"/>
    </format>
    <format dxfId="12">
      <pivotArea outline="0" fieldPosition="0">
        <references count="1">
          <reference field="4294967294" count="1">
            <x v="0"/>
          </reference>
        </references>
      </pivotArea>
    </format>
  </formats>
  <chartFormats count="6">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1" count="1" selected="0">
            <x v="0"/>
          </reference>
        </references>
      </pivotArea>
    </chartFormat>
    <chartFormat chart="15" format="9">
      <pivotArea type="data" outline="0" fieldPosition="0">
        <references count="2">
          <reference field="4294967294" count="1" selected="0">
            <x v="0"/>
          </reference>
          <reference field="11" count="1" selected="0">
            <x v="1"/>
          </reference>
        </references>
      </pivotArea>
    </chartFormat>
    <chartFormat chart="15" format="10">
      <pivotArea type="data" outline="0" fieldPosition="0">
        <references count="2">
          <reference field="4294967294" count="1" selected="0">
            <x v="0"/>
          </reference>
          <reference field="11" count="1" selected="0">
            <x v="2"/>
          </reference>
        </references>
      </pivotArea>
    </chartFormat>
    <chartFormat chart="15" format="11">
      <pivotArea type="data" outline="0" fieldPosition="0">
        <references count="2">
          <reference field="4294967294" count="1" selected="0">
            <x v="0"/>
          </reference>
          <reference field="11" count="1" selected="0">
            <x v="3"/>
          </reference>
        </references>
      </pivotArea>
    </chartFormat>
    <chartFormat chart="15"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560DAA-10F4-4464-9494-662C6C0B8ACD}" name="Count of Cust I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14">
    <pivotField dataField="1" showAll="0">
      <items count="16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t="default"/>
      </items>
    </pivotField>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showAll="0"/>
    <pivotField showAll="0"/>
    <pivotField showAll="0"/>
    <pivotField showAll="0">
      <items count="4">
        <item x="1"/>
        <item x="2"/>
        <item x="0"/>
        <item t="default"/>
      </items>
    </pivotField>
    <pivotField showAll="0">
      <items count="6">
        <item x="0"/>
        <item x="1"/>
        <item x="4"/>
        <item x="2"/>
        <item x="3"/>
        <item t="default"/>
      </items>
    </pivotField>
    <pivotField showAll="0"/>
    <pivotField showAll="0"/>
  </pivotFields>
  <rowItems count="1">
    <i/>
  </rowItems>
  <colItems count="1">
    <i/>
  </colItems>
  <dataFields count="1">
    <dataField name="Count Of Cst Id" fld="0"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C4A8F1-6D68-4F0E-AA35-2AC593BA71F8}"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89" firstHeaderRow="1" firstDataRow="1" firstDataCol="1"/>
  <pivotFields count="14">
    <pivotField axis="axisRow"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items count="8">
        <item x="2"/>
        <item x="5"/>
        <item x="1"/>
        <item x="4"/>
        <item x="0"/>
        <item x="3"/>
        <item x="6"/>
        <item t="default"/>
      </items>
    </pivotField>
    <pivotField numFmtId="14" showAll="0"/>
    <pivotField showAll="0"/>
    <pivotField showAll="0"/>
    <pivotField showAll="0"/>
    <pivotField showAll="0"/>
    <pivotField showAll="0"/>
    <pivotField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pivotField showAll="0"/>
    <pivotField showAll="0"/>
    <pivotField dataField="1" showAll="0"/>
  </pivotFields>
  <rowFields count="2">
    <field x="1"/>
    <field x="0"/>
  </rowFields>
  <rowItems count="1786">
    <i>
      <x/>
    </i>
    <i r="1">
      <x v="3"/>
    </i>
    <i r="1">
      <x v="7"/>
    </i>
    <i r="1">
      <x v="29"/>
    </i>
    <i r="1">
      <x v="32"/>
    </i>
    <i r="1">
      <x v="42"/>
    </i>
    <i r="1">
      <x v="51"/>
    </i>
    <i r="1">
      <x v="53"/>
    </i>
    <i r="1">
      <x v="56"/>
    </i>
    <i r="1">
      <x v="64"/>
    </i>
    <i r="1">
      <x v="71"/>
    </i>
    <i r="1">
      <x v="75"/>
    </i>
    <i r="1">
      <x v="81"/>
    </i>
    <i r="1">
      <x v="93"/>
    </i>
    <i r="1">
      <x v="96"/>
    </i>
    <i r="1">
      <x v="97"/>
    </i>
    <i r="1">
      <x v="101"/>
    </i>
    <i r="1">
      <x v="107"/>
    </i>
    <i r="1">
      <x v="112"/>
    </i>
    <i r="1">
      <x v="125"/>
    </i>
    <i r="1">
      <x v="129"/>
    </i>
    <i r="1">
      <x v="134"/>
    </i>
    <i r="1">
      <x v="140"/>
    </i>
    <i r="1">
      <x v="143"/>
    </i>
    <i r="1">
      <x v="151"/>
    </i>
    <i r="1">
      <x v="157"/>
    </i>
    <i r="1">
      <x v="165"/>
    </i>
    <i r="1">
      <x v="168"/>
    </i>
    <i r="1">
      <x v="171"/>
    </i>
    <i r="1">
      <x v="184"/>
    </i>
    <i r="1">
      <x v="185"/>
    </i>
    <i r="1">
      <x v="191"/>
    </i>
    <i r="1">
      <x v="194"/>
    </i>
    <i r="1">
      <x v="200"/>
    </i>
    <i r="1">
      <x v="201"/>
    </i>
    <i r="1">
      <x v="202"/>
    </i>
    <i r="1">
      <x v="210"/>
    </i>
    <i r="1">
      <x v="214"/>
    </i>
    <i r="1">
      <x v="215"/>
    </i>
    <i r="1">
      <x v="248"/>
    </i>
    <i r="1">
      <x v="265"/>
    </i>
    <i r="1">
      <x v="282"/>
    </i>
    <i r="1">
      <x v="290"/>
    </i>
    <i r="1">
      <x v="303"/>
    </i>
    <i r="1">
      <x v="310"/>
    </i>
    <i r="1">
      <x v="313"/>
    </i>
    <i r="1">
      <x v="331"/>
    </i>
    <i r="1">
      <x v="336"/>
    </i>
    <i r="1">
      <x v="339"/>
    </i>
    <i r="1">
      <x v="347"/>
    </i>
    <i r="1">
      <x v="365"/>
    </i>
    <i r="1">
      <x v="368"/>
    </i>
    <i r="1">
      <x v="372"/>
    </i>
    <i r="1">
      <x v="374"/>
    </i>
    <i r="1">
      <x v="382"/>
    </i>
    <i r="1">
      <x v="388"/>
    </i>
    <i r="1">
      <x v="390"/>
    </i>
    <i r="1">
      <x v="391"/>
    </i>
    <i r="1">
      <x v="397"/>
    </i>
    <i r="1">
      <x v="402"/>
    </i>
    <i r="1">
      <x v="410"/>
    </i>
    <i r="1">
      <x v="412"/>
    </i>
    <i r="1">
      <x v="427"/>
    </i>
    <i r="1">
      <x v="432"/>
    </i>
    <i r="1">
      <x v="441"/>
    </i>
    <i r="1">
      <x v="446"/>
    </i>
    <i r="1">
      <x v="447"/>
    </i>
    <i r="1">
      <x v="452"/>
    </i>
    <i r="1">
      <x v="453"/>
    </i>
    <i r="1">
      <x v="458"/>
    </i>
    <i r="1">
      <x v="461"/>
    </i>
    <i r="1">
      <x v="465"/>
    </i>
    <i r="1">
      <x v="486"/>
    </i>
    <i r="1">
      <x v="487"/>
    </i>
    <i r="1">
      <x v="494"/>
    </i>
    <i r="1">
      <x v="496"/>
    </i>
    <i r="1">
      <x v="499"/>
    </i>
    <i r="1">
      <x v="510"/>
    </i>
    <i r="1">
      <x v="514"/>
    </i>
    <i r="1">
      <x v="526"/>
    </i>
    <i r="1">
      <x v="527"/>
    </i>
    <i r="1">
      <x v="528"/>
    </i>
    <i r="1">
      <x v="536"/>
    </i>
    <i r="1">
      <x v="556"/>
    </i>
    <i r="1">
      <x v="561"/>
    </i>
    <i r="1">
      <x v="567"/>
    </i>
    <i r="1">
      <x v="572"/>
    </i>
    <i r="1">
      <x v="576"/>
    </i>
    <i r="1">
      <x v="577"/>
    </i>
    <i r="1">
      <x v="584"/>
    </i>
    <i r="1">
      <x v="587"/>
    </i>
    <i r="1">
      <x v="591"/>
    </i>
    <i r="1">
      <x v="598"/>
    </i>
    <i r="1">
      <x v="602"/>
    </i>
    <i r="1">
      <x v="617"/>
    </i>
    <i r="1">
      <x v="621"/>
    </i>
    <i r="1">
      <x v="623"/>
    </i>
    <i r="1">
      <x v="635"/>
    </i>
    <i r="1">
      <x v="640"/>
    </i>
    <i r="1">
      <x v="644"/>
    </i>
    <i r="1">
      <x v="647"/>
    </i>
    <i r="1">
      <x v="655"/>
    </i>
    <i r="1">
      <x v="660"/>
    </i>
    <i r="1">
      <x v="663"/>
    </i>
    <i r="1">
      <x v="664"/>
    </i>
    <i r="1">
      <x v="687"/>
    </i>
    <i r="1">
      <x v="689"/>
    </i>
    <i r="1">
      <x v="691"/>
    </i>
    <i r="1">
      <x v="694"/>
    </i>
    <i r="1">
      <x v="699"/>
    </i>
    <i r="1">
      <x v="703"/>
    </i>
    <i r="1">
      <x v="704"/>
    </i>
    <i r="1">
      <x v="723"/>
    </i>
    <i r="1">
      <x v="731"/>
    </i>
    <i r="1">
      <x v="741"/>
    </i>
    <i r="1">
      <x v="743"/>
    </i>
    <i r="1">
      <x v="745"/>
    </i>
    <i r="1">
      <x v="746"/>
    </i>
    <i r="1">
      <x v="750"/>
    </i>
    <i r="1">
      <x v="764"/>
    </i>
    <i r="1">
      <x v="770"/>
    </i>
    <i r="1">
      <x v="776"/>
    </i>
    <i r="1">
      <x v="781"/>
    </i>
    <i r="1">
      <x v="786"/>
    </i>
    <i r="1">
      <x v="797"/>
    </i>
    <i r="1">
      <x v="804"/>
    </i>
    <i r="1">
      <x v="808"/>
    </i>
    <i r="1">
      <x v="810"/>
    </i>
    <i r="1">
      <x v="824"/>
    </i>
    <i r="1">
      <x v="826"/>
    </i>
    <i r="1">
      <x v="828"/>
    </i>
    <i r="1">
      <x v="829"/>
    </i>
    <i r="1">
      <x v="830"/>
    </i>
    <i r="1">
      <x v="835"/>
    </i>
    <i r="1">
      <x v="845"/>
    </i>
    <i r="1">
      <x v="849"/>
    </i>
    <i r="1">
      <x v="856"/>
    </i>
    <i r="1">
      <x v="857"/>
    </i>
    <i r="1">
      <x v="860"/>
    </i>
    <i r="1">
      <x v="864"/>
    </i>
    <i r="1">
      <x v="865"/>
    </i>
    <i r="1">
      <x v="870"/>
    </i>
    <i r="1">
      <x v="874"/>
    </i>
    <i r="1">
      <x v="887"/>
    </i>
    <i r="1">
      <x v="900"/>
    </i>
    <i r="1">
      <x v="911"/>
    </i>
    <i r="1">
      <x v="914"/>
    </i>
    <i r="1">
      <x v="918"/>
    </i>
    <i r="1">
      <x v="942"/>
    </i>
    <i r="1">
      <x v="951"/>
    </i>
    <i r="1">
      <x v="955"/>
    </i>
    <i r="1">
      <x v="959"/>
    </i>
    <i r="1">
      <x v="964"/>
    </i>
    <i r="1">
      <x v="965"/>
    </i>
    <i r="1">
      <x v="967"/>
    </i>
    <i r="1">
      <x v="976"/>
    </i>
    <i r="1">
      <x v="991"/>
    </i>
    <i r="1">
      <x v="993"/>
    </i>
    <i r="1">
      <x v="996"/>
    </i>
    <i r="1">
      <x v="1002"/>
    </i>
    <i r="1">
      <x v="1003"/>
    </i>
    <i r="1">
      <x v="1009"/>
    </i>
    <i r="1">
      <x v="1014"/>
    </i>
    <i r="1">
      <x v="1015"/>
    </i>
    <i r="1">
      <x v="1017"/>
    </i>
    <i r="1">
      <x v="1023"/>
    </i>
    <i r="1">
      <x v="1028"/>
    </i>
    <i r="1">
      <x v="1037"/>
    </i>
    <i r="1">
      <x v="1052"/>
    </i>
    <i r="1">
      <x v="1057"/>
    </i>
    <i r="1">
      <x v="1058"/>
    </i>
    <i r="1">
      <x v="1073"/>
    </i>
    <i r="1">
      <x v="1077"/>
    </i>
    <i r="1">
      <x v="1085"/>
    </i>
    <i r="1">
      <x v="1086"/>
    </i>
    <i r="1">
      <x v="1094"/>
    </i>
    <i r="1">
      <x v="1105"/>
    </i>
    <i r="1">
      <x v="1110"/>
    </i>
    <i r="1">
      <x v="1113"/>
    </i>
    <i r="1">
      <x v="1117"/>
    </i>
    <i r="1">
      <x v="1124"/>
    </i>
    <i r="1">
      <x v="1135"/>
    </i>
    <i r="1">
      <x v="1138"/>
    </i>
    <i r="1">
      <x v="1140"/>
    </i>
    <i r="1">
      <x v="1141"/>
    </i>
    <i r="1">
      <x v="1145"/>
    </i>
    <i r="1">
      <x v="1149"/>
    </i>
    <i r="1">
      <x v="1160"/>
    </i>
    <i r="1">
      <x v="1163"/>
    </i>
    <i r="1">
      <x v="1183"/>
    </i>
    <i r="1">
      <x v="1189"/>
    </i>
    <i r="1">
      <x v="1194"/>
    </i>
    <i r="1">
      <x v="1204"/>
    </i>
    <i r="1">
      <x v="1207"/>
    </i>
    <i r="1">
      <x v="1215"/>
    </i>
    <i r="1">
      <x v="1216"/>
    </i>
    <i r="1">
      <x v="1226"/>
    </i>
    <i r="1">
      <x v="1238"/>
    </i>
    <i r="1">
      <x v="1241"/>
    </i>
    <i r="1">
      <x v="1258"/>
    </i>
    <i r="1">
      <x v="1259"/>
    </i>
    <i r="1">
      <x v="1263"/>
    </i>
    <i r="1">
      <x v="1270"/>
    </i>
    <i r="1">
      <x v="1273"/>
    </i>
    <i r="1">
      <x v="1284"/>
    </i>
    <i r="1">
      <x v="1286"/>
    </i>
    <i r="1">
      <x v="1307"/>
    </i>
    <i r="1">
      <x v="1322"/>
    </i>
    <i r="1">
      <x v="1327"/>
    </i>
    <i r="1">
      <x v="1333"/>
    </i>
    <i r="1">
      <x v="1337"/>
    </i>
    <i r="1">
      <x v="1344"/>
    </i>
    <i r="1">
      <x v="1346"/>
    </i>
    <i r="1">
      <x v="1350"/>
    </i>
    <i r="1">
      <x v="1352"/>
    </i>
    <i r="1">
      <x v="1355"/>
    </i>
    <i r="1">
      <x v="1359"/>
    </i>
    <i r="1">
      <x v="1364"/>
    </i>
    <i r="1">
      <x v="1368"/>
    </i>
    <i r="1">
      <x v="1372"/>
    </i>
    <i r="1">
      <x v="1376"/>
    </i>
    <i r="1">
      <x v="1383"/>
    </i>
    <i r="1">
      <x v="1386"/>
    </i>
    <i r="1">
      <x v="1389"/>
    </i>
    <i r="1">
      <x v="1392"/>
    </i>
    <i r="1">
      <x v="1393"/>
    </i>
    <i r="1">
      <x v="1400"/>
    </i>
    <i r="1">
      <x v="1413"/>
    </i>
    <i r="1">
      <x v="1414"/>
    </i>
    <i r="1">
      <x v="1421"/>
    </i>
    <i r="1">
      <x v="1433"/>
    </i>
    <i r="1">
      <x v="1435"/>
    </i>
    <i r="1">
      <x v="1444"/>
    </i>
    <i r="1">
      <x v="1448"/>
    </i>
    <i r="1">
      <x v="1451"/>
    </i>
    <i r="1">
      <x v="1482"/>
    </i>
    <i r="1">
      <x v="1489"/>
    </i>
    <i r="1">
      <x v="1500"/>
    </i>
    <i r="1">
      <x v="1503"/>
    </i>
    <i r="1">
      <x v="1515"/>
    </i>
    <i r="1">
      <x v="1534"/>
    </i>
    <i r="1">
      <x v="1548"/>
    </i>
    <i r="1">
      <x v="1565"/>
    </i>
    <i r="1">
      <x v="1567"/>
    </i>
    <i r="1">
      <x v="1570"/>
    </i>
    <i r="1">
      <x v="1575"/>
    </i>
    <i r="1">
      <x v="1587"/>
    </i>
    <i r="1">
      <x v="1589"/>
    </i>
    <i r="1">
      <x v="1590"/>
    </i>
    <i r="1">
      <x v="1614"/>
    </i>
    <i r="1">
      <x v="1619"/>
    </i>
    <i r="1">
      <x v="1624"/>
    </i>
    <i r="1">
      <x v="1636"/>
    </i>
    <i>
      <x v="1"/>
    </i>
    <i r="1">
      <x v="9"/>
    </i>
    <i r="1">
      <x v="17"/>
    </i>
    <i r="1">
      <x v="19"/>
    </i>
    <i r="1">
      <x v="22"/>
    </i>
    <i r="1">
      <x v="41"/>
    </i>
    <i r="1">
      <x v="43"/>
    </i>
    <i r="1">
      <x v="48"/>
    </i>
    <i r="1">
      <x v="58"/>
    </i>
    <i r="1">
      <x v="59"/>
    </i>
    <i r="1">
      <x v="61"/>
    </i>
    <i r="1">
      <x v="67"/>
    </i>
    <i r="1">
      <x v="96"/>
    </i>
    <i r="1">
      <x v="103"/>
    </i>
    <i r="1">
      <x v="109"/>
    </i>
    <i r="1">
      <x v="111"/>
    </i>
    <i r="1">
      <x v="114"/>
    </i>
    <i r="1">
      <x v="138"/>
    </i>
    <i r="1">
      <x v="146"/>
    </i>
    <i r="1">
      <x v="179"/>
    </i>
    <i r="1">
      <x v="182"/>
    </i>
    <i r="1">
      <x v="186"/>
    </i>
    <i r="1">
      <x v="199"/>
    </i>
    <i r="1">
      <x v="213"/>
    </i>
    <i r="1">
      <x v="218"/>
    </i>
    <i r="1">
      <x v="225"/>
    </i>
    <i r="1">
      <x v="244"/>
    </i>
    <i r="1">
      <x v="246"/>
    </i>
    <i r="1">
      <x v="249"/>
    </i>
    <i r="1">
      <x v="253"/>
    </i>
    <i r="1">
      <x v="262"/>
    </i>
    <i r="1">
      <x v="269"/>
    </i>
    <i r="1">
      <x v="271"/>
    </i>
    <i r="1">
      <x v="272"/>
    </i>
    <i r="1">
      <x v="273"/>
    </i>
    <i r="1">
      <x v="281"/>
    </i>
    <i r="1">
      <x v="283"/>
    </i>
    <i r="1">
      <x v="285"/>
    </i>
    <i r="1">
      <x v="288"/>
    </i>
    <i r="1">
      <x v="299"/>
    </i>
    <i r="1">
      <x v="302"/>
    </i>
    <i r="1">
      <x v="311"/>
    </i>
    <i r="1">
      <x v="314"/>
    </i>
    <i r="1">
      <x v="315"/>
    </i>
    <i r="1">
      <x v="340"/>
    </i>
    <i r="1">
      <x v="346"/>
    </i>
    <i r="1">
      <x v="348"/>
    </i>
    <i r="1">
      <x v="360"/>
    </i>
    <i r="1">
      <x v="364"/>
    </i>
    <i r="1">
      <x v="370"/>
    </i>
    <i r="1">
      <x v="377"/>
    </i>
    <i r="1">
      <x v="404"/>
    </i>
    <i r="1">
      <x v="408"/>
    </i>
    <i r="1">
      <x v="417"/>
    </i>
    <i r="1">
      <x v="419"/>
    </i>
    <i r="1">
      <x v="422"/>
    </i>
    <i r="1">
      <x v="431"/>
    </i>
    <i r="1">
      <x v="434"/>
    </i>
    <i r="1">
      <x v="438"/>
    </i>
    <i r="1">
      <x v="446"/>
    </i>
    <i r="1">
      <x v="450"/>
    </i>
    <i r="1">
      <x v="472"/>
    </i>
    <i r="1">
      <x v="479"/>
    </i>
    <i r="1">
      <x v="488"/>
    </i>
    <i r="1">
      <x v="500"/>
    </i>
    <i r="1">
      <x v="501"/>
    </i>
    <i r="1">
      <x v="506"/>
    </i>
    <i r="1">
      <x v="508"/>
    </i>
    <i r="1">
      <x v="512"/>
    </i>
    <i r="1">
      <x v="515"/>
    </i>
    <i r="1">
      <x v="516"/>
    </i>
    <i r="1">
      <x v="521"/>
    </i>
    <i r="1">
      <x v="529"/>
    </i>
    <i r="1">
      <x v="545"/>
    </i>
    <i r="1">
      <x v="548"/>
    </i>
    <i r="1">
      <x v="550"/>
    </i>
    <i r="1">
      <x v="566"/>
    </i>
    <i r="1">
      <x v="576"/>
    </i>
    <i r="1">
      <x v="580"/>
    </i>
    <i r="1">
      <x v="586"/>
    </i>
    <i r="1">
      <x v="590"/>
    </i>
    <i r="1">
      <x v="594"/>
    </i>
    <i r="1">
      <x v="599"/>
    </i>
    <i r="1">
      <x v="606"/>
    </i>
    <i r="1">
      <x v="608"/>
    </i>
    <i r="1">
      <x v="610"/>
    </i>
    <i r="1">
      <x v="611"/>
    </i>
    <i r="1">
      <x v="623"/>
    </i>
    <i r="1">
      <x v="632"/>
    </i>
    <i r="1">
      <x v="638"/>
    </i>
    <i r="1">
      <x v="642"/>
    </i>
    <i r="1">
      <x v="647"/>
    </i>
    <i r="1">
      <x v="653"/>
    </i>
    <i r="1">
      <x v="667"/>
    </i>
    <i r="1">
      <x v="670"/>
    </i>
    <i r="1">
      <x v="674"/>
    </i>
    <i r="1">
      <x v="683"/>
    </i>
    <i r="1">
      <x v="686"/>
    </i>
    <i r="1">
      <x v="688"/>
    </i>
    <i r="1">
      <x v="695"/>
    </i>
    <i r="1">
      <x v="700"/>
    </i>
    <i r="1">
      <x v="709"/>
    </i>
    <i r="1">
      <x v="713"/>
    </i>
    <i r="1">
      <x v="714"/>
    </i>
    <i r="1">
      <x v="715"/>
    </i>
    <i r="1">
      <x v="720"/>
    </i>
    <i r="1">
      <x v="735"/>
    </i>
    <i r="1">
      <x v="736"/>
    </i>
    <i r="1">
      <x v="741"/>
    </i>
    <i r="1">
      <x v="742"/>
    </i>
    <i r="1">
      <x v="755"/>
    </i>
    <i r="1">
      <x v="756"/>
    </i>
    <i r="1">
      <x v="758"/>
    </i>
    <i r="1">
      <x v="760"/>
    </i>
    <i r="1">
      <x v="761"/>
    </i>
    <i r="1">
      <x v="766"/>
    </i>
    <i r="1">
      <x v="771"/>
    </i>
    <i r="1">
      <x v="774"/>
    </i>
    <i r="1">
      <x v="775"/>
    </i>
    <i r="1">
      <x v="784"/>
    </i>
    <i r="1">
      <x v="789"/>
    </i>
    <i r="1">
      <x v="805"/>
    </i>
    <i r="1">
      <x v="807"/>
    </i>
    <i r="1">
      <x v="814"/>
    </i>
    <i r="1">
      <x v="818"/>
    </i>
    <i r="1">
      <x v="827"/>
    </i>
    <i r="1">
      <x v="840"/>
    </i>
    <i r="1">
      <x v="843"/>
    </i>
    <i r="1">
      <x v="850"/>
    </i>
    <i r="1">
      <x v="851"/>
    </i>
    <i r="1">
      <x v="863"/>
    </i>
    <i r="1">
      <x v="867"/>
    </i>
    <i r="1">
      <x v="889"/>
    </i>
    <i r="1">
      <x v="896"/>
    </i>
    <i r="1">
      <x v="899"/>
    </i>
    <i r="1">
      <x v="933"/>
    </i>
    <i r="1">
      <x v="939"/>
    </i>
    <i r="1">
      <x v="940"/>
    </i>
    <i r="1">
      <x v="945"/>
    </i>
    <i r="1">
      <x v="947"/>
    </i>
    <i r="1">
      <x v="952"/>
    </i>
    <i r="1">
      <x v="956"/>
    </i>
    <i r="1">
      <x v="961"/>
    </i>
    <i r="1">
      <x v="966"/>
    </i>
    <i r="1">
      <x v="972"/>
    </i>
    <i r="1">
      <x v="977"/>
    </i>
    <i r="1">
      <x v="994"/>
    </i>
    <i r="1">
      <x v="1013"/>
    </i>
    <i r="1">
      <x v="1018"/>
    </i>
    <i r="1">
      <x v="1022"/>
    </i>
    <i r="1">
      <x v="1028"/>
    </i>
    <i r="1">
      <x v="1029"/>
    </i>
    <i r="1">
      <x v="1048"/>
    </i>
    <i r="1">
      <x v="1056"/>
    </i>
    <i r="1">
      <x v="1060"/>
    </i>
    <i r="1">
      <x v="1063"/>
    </i>
    <i r="1">
      <x v="1064"/>
    </i>
    <i r="1">
      <x v="1065"/>
    </i>
    <i r="1">
      <x v="1068"/>
    </i>
    <i r="1">
      <x v="1078"/>
    </i>
    <i r="1">
      <x v="1082"/>
    </i>
    <i r="1">
      <x v="1084"/>
    </i>
    <i r="1">
      <x v="1088"/>
    </i>
    <i r="1">
      <x v="1090"/>
    </i>
    <i r="1">
      <x v="1091"/>
    </i>
    <i r="1">
      <x v="1097"/>
    </i>
    <i r="1">
      <x v="1100"/>
    </i>
    <i r="1">
      <x v="1102"/>
    </i>
    <i r="1">
      <x v="1111"/>
    </i>
    <i r="1">
      <x v="1112"/>
    </i>
    <i r="1">
      <x v="1114"/>
    </i>
    <i r="1">
      <x v="1120"/>
    </i>
    <i r="1">
      <x v="1122"/>
    </i>
    <i r="1">
      <x v="1144"/>
    </i>
    <i r="1">
      <x v="1146"/>
    </i>
    <i r="1">
      <x v="1152"/>
    </i>
    <i r="1">
      <x v="1161"/>
    </i>
    <i r="1">
      <x v="1168"/>
    </i>
    <i r="1">
      <x v="1169"/>
    </i>
    <i r="1">
      <x v="1170"/>
    </i>
    <i r="1">
      <x v="1173"/>
    </i>
    <i r="1">
      <x v="1180"/>
    </i>
    <i r="1">
      <x v="1181"/>
    </i>
    <i r="1">
      <x v="1185"/>
    </i>
    <i r="1">
      <x v="1195"/>
    </i>
    <i r="1">
      <x v="1203"/>
    </i>
    <i r="1">
      <x v="1213"/>
    </i>
    <i r="1">
      <x v="1219"/>
    </i>
    <i r="1">
      <x v="1220"/>
    </i>
    <i r="1">
      <x v="1221"/>
    </i>
    <i r="1">
      <x v="1231"/>
    </i>
    <i r="1">
      <x v="1239"/>
    </i>
    <i r="1">
      <x v="1240"/>
    </i>
    <i r="1">
      <x v="1243"/>
    </i>
    <i r="1">
      <x v="1251"/>
    </i>
    <i r="1">
      <x v="1255"/>
    </i>
    <i r="1">
      <x v="1262"/>
    </i>
    <i r="1">
      <x v="1276"/>
    </i>
    <i r="1">
      <x v="1289"/>
    </i>
    <i r="1">
      <x v="1291"/>
    </i>
    <i r="1">
      <x v="1313"/>
    </i>
    <i r="1">
      <x v="1323"/>
    </i>
    <i r="1">
      <x v="1328"/>
    </i>
    <i r="1">
      <x v="1329"/>
    </i>
    <i r="1">
      <x v="1335"/>
    </i>
    <i r="1">
      <x v="1342"/>
    </i>
    <i r="1">
      <x v="1345"/>
    </i>
    <i r="1">
      <x v="1351"/>
    </i>
    <i r="1">
      <x v="1357"/>
    </i>
    <i r="1">
      <x v="1360"/>
    </i>
    <i r="1">
      <x v="1368"/>
    </i>
    <i r="1">
      <x v="1396"/>
    </i>
    <i r="1">
      <x v="1402"/>
    </i>
    <i r="1">
      <x v="1418"/>
    </i>
    <i r="1">
      <x v="1428"/>
    </i>
    <i r="1">
      <x v="1438"/>
    </i>
    <i r="1">
      <x v="1449"/>
    </i>
    <i r="1">
      <x v="1460"/>
    </i>
    <i r="1">
      <x v="1463"/>
    </i>
    <i r="1">
      <x v="1467"/>
    </i>
    <i r="1">
      <x v="1471"/>
    </i>
    <i r="1">
      <x v="1478"/>
    </i>
    <i r="1">
      <x v="1479"/>
    </i>
    <i r="1">
      <x v="1487"/>
    </i>
    <i r="1">
      <x v="1491"/>
    </i>
    <i r="1">
      <x v="1492"/>
    </i>
    <i r="1">
      <x v="1496"/>
    </i>
    <i r="1">
      <x v="1501"/>
    </i>
    <i r="1">
      <x v="1502"/>
    </i>
    <i r="1">
      <x v="1506"/>
    </i>
    <i r="1">
      <x v="1511"/>
    </i>
    <i r="1">
      <x v="1525"/>
    </i>
    <i r="1">
      <x v="1526"/>
    </i>
    <i r="1">
      <x v="1527"/>
    </i>
    <i r="1">
      <x v="1533"/>
    </i>
    <i r="1">
      <x v="1537"/>
    </i>
    <i r="1">
      <x v="1541"/>
    </i>
    <i r="1">
      <x v="1544"/>
    </i>
    <i r="1">
      <x v="1554"/>
    </i>
    <i r="1">
      <x v="1556"/>
    </i>
    <i r="1">
      <x v="1563"/>
    </i>
    <i r="1">
      <x v="1568"/>
    </i>
    <i r="1">
      <x v="1572"/>
    </i>
    <i r="1">
      <x v="1582"/>
    </i>
    <i r="1">
      <x v="1585"/>
    </i>
    <i r="1">
      <x v="1597"/>
    </i>
    <i r="1">
      <x v="1598"/>
    </i>
    <i r="1">
      <x v="1599"/>
    </i>
    <i r="1">
      <x v="1600"/>
    </i>
    <i r="1">
      <x v="1605"/>
    </i>
    <i r="1">
      <x v="1606"/>
    </i>
    <i r="1">
      <x v="1608"/>
    </i>
    <i r="1">
      <x v="1627"/>
    </i>
    <i r="1">
      <x v="1630"/>
    </i>
    <i r="1">
      <x v="1637"/>
    </i>
    <i>
      <x v="2"/>
    </i>
    <i r="1">
      <x/>
    </i>
    <i r="1">
      <x v="11"/>
    </i>
    <i r="1">
      <x v="13"/>
    </i>
    <i r="1">
      <x v="15"/>
    </i>
    <i r="1">
      <x v="27"/>
    </i>
    <i r="1">
      <x v="28"/>
    </i>
    <i r="1">
      <x v="38"/>
    </i>
    <i r="1">
      <x v="44"/>
    </i>
    <i r="1">
      <x v="52"/>
    </i>
    <i r="1">
      <x v="53"/>
    </i>
    <i r="1">
      <x v="66"/>
    </i>
    <i r="1">
      <x v="73"/>
    </i>
    <i r="1">
      <x v="78"/>
    </i>
    <i r="1">
      <x v="85"/>
    </i>
    <i r="1">
      <x v="94"/>
    </i>
    <i r="1">
      <x v="98"/>
    </i>
    <i r="1">
      <x v="104"/>
    </i>
    <i r="1">
      <x v="106"/>
    </i>
    <i r="1">
      <x v="117"/>
    </i>
    <i r="1">
      <x v="120"/>
    </i>
    <i r="1">
      <x v="123"/>
    </i>
    <i r="1">
      <x v="139"/>
    </i>
    <i r="1">
      <x v="145"/>
    </i>
    <i r="1">
      <x v="155"/>
    </i>
    <i r="1">
      <x v="164"/>
    </i>
    <i r="1">
      <x v="167"/>
    </i>
    <i r="1">
      <x v="175"/>
    </i>
    <i r="1">
      <x v="177"/>
    </i>
    <i r="1">
      <x v="183"/>
    </i>
    <i r="1">
      <x v="192"/>
    </i>
    <i r="1">
      <x v="209"/>
    </i>
    <i r="1">
      <x v="217"/>
    </i>
    <i r="1">
      <x v="219"/>
    </i>
    <i r="1">
      <x v="220"/>
    </i>
    <i r="1">
      <x v="222"/>
    </i>
    <i r="1">
      <x v="226"/>
    </i>
    <i r="1">
      <x v="236"/>
    </i>
    <i r="1">
      <x v="247"/>
    </i>
    <i r="1">
      <x v="252"/>
    </i>
    <i r="1">
      <x v="257"/>
    </i>
    <i r="1">
      <x v="263"/>
    </i>
    <i r="1">
      <x v="268"/>
    </i>
    <i r="1">
      <x v="275"/>
    </i>
    <i r="1">
      <x v="309"/>
    </i>
    <i r="1">
      <x v="313"/>
    </i>
    <i r="1">
      <x v="314"/>
    </i>
    <i r="1">
      <x v="316"/>
    </i>
    <i r="1">
      <x v="317"/>
    </i>
    <i r="1">
      <x v="324"/>
    </i>
    <i r="1">
      <x v="331"/>
    </i>
    <i r="1">
      <x v="332"/>
    </i>
    <i r="1">
      <x v="334"/>
    </i>
    <i r="1">
      <x v="335"/>
    </i>
    <i r="1">
      <x v="342"/>
    </i>
    <i r="1">
      <x v="351"/>
    </i>
    <i r="1">
      <x v="352"/>
    </i>
    <i r="1">
      <x v="357"/>
    </i>
    <i r="1">
      <x v="358"/>
    </i>
    <i r="1">
      <x v="359"/>
    </i>
    <i r="1">
      <x v="361"/>
    </i>
    <i r="1">
      <x v="369"/>
    </i>
    <i r="1">
      <x v="373"/>
    </i>
    <i r="1">
      <x v="376"/>
    </i>
    <i r="1">
      <x v="378"/>
    </i>
    <i r="1">
      <x v="383"/>
    </i>
    <i r="1">
      <x v="384"/>
    </i>
    <i r="1">
      <x v="385"/>
    </i>
    <i r="1">
      <x v="396"/>
    </i>
    <i r="1">
      <x v="407"/>
    </i>
    <i r="1">
      <x v="415"/>
    </i>
    <i r="1">
      <x v="420"/>
    </i>
    <i r="1">
      <x v="429"/>
    </i>
    <i r="1">
      <x v="436"/>
    </i>
    <i r="1">
      <x v="442"/>
    </i>
    <i r="1">
      <x v="443"/>
    </i>
    <i r="1">
      <x v="444"/>
    </i>
    <i r="1">
      <x v="451"/>
    </i>
    <i r="1">
      <x v="460"/>
    </i>
    <i r="1">
      <x v="468"/>
    </i>
    <i r="1">
      <x v="471"/>
    </i>
    <i r="1">
      <x v="477"/>
    </i>
    <i r="1">
      <x v="478"/>
    </i>
    <i r="1">
      <x v="501"/>
    </i>
    <i r="1">
      <x v="502"/>
    </i>
    <i r="1">
      <x v="504"/>
    </i>
    <i r="1">
      <x v="513"/>
    </i>
    <i r="1">
      <x v="517"/>
    </i>
    <i r="1">
      <x v="520"/>
    </i>
    <i r="1">
      <x v="521"/>
    </i>
    <i r="1">
      <x v="530"/>
    </i>
    <i r="1">
      <x v="540"/>
    </i>
    <i r="1">
      <x v="541"/>
    </i>
    <i r="1">
      <x v="544"/>
    </i>
    <i r="1">
      <x v="546"/>
    </i>
    <i r="1">
      <x v="552"/>
    </i>
    <i r="1">
      <x v="558"/>
    </i>
    <i r="1">
      <x v="560"/>
    </i>
    <i r="1">
      <x v="562"/>
    </i>
    <i r="1">
      <x v="563"/>
    </i>
    <i r="1">
      <x v="564"/>
    </i>
    <i r="1">
      <x v="568"/>
    </i>
    <i r="1">
      <x v="571"/>
    </i>
    <i r="1">
      <x v="579"/>
    </i>
    <i r="1">
      <x v="594"/>
    </i>
    <i r="1">
      <x v="600"/>
    </i>
    <i r="1">
      <x v="602"/>
    </i>
    <i r="1">
      <x v="607"/>
    </i>
    <i r="1">
      <x v="609"/>
    </i>
    <i r="1">
      <x v="612"/>
    </i>
    <i r="1">
      <x v="630"/>
    </i>
    <i r="1">
      <x v="638"/>
    </i>
    <i r="1">
      <x v="641"/>
    </i>
    <i r="1">
      <x v="643"/>
    </i>
    <i r="1">
      <x v="651"/>
    </i>
    <i r="1">
      <x v="652"/>
    </i>
    <i r="1">
      <x v="653"/>
    </i>
    <i r="1">
      <x v="671"/>
    </i>
    <i r="1">
      <x v="675"/>
    </i>
    <i r="1">
      <x v="677"/>
    </i>
    <i r="1">
      <x v="678"/>
    </i>
    <i r="1">
      <x v="679"/>
    </i>
    <i r="1">
      <x v="716"/>
    </i>
    <i r="1">
      <x v="724"/>
    </i>
    <i r="1">
      <x v="727"/>
    </i>
    <i r="1">
      <x v="735"/>
    </i>
    <i r="1">
      <x v="740"/>
    </i>
    <i r="1">
      <x v="747"/>
    </i>
    <i r="1">
      <x v="748"/>
    </i>
    <i r="1">
      <x v="752"/>
    </i>
    <i r="1">
      <x v="757"/>
    </i>
    <i r="1">
      <x v="762"/>
    </i>
    <i r="1">
      <x v="765"/>
    </i>
    <i r="1">
      <x v="768"/>
    </i>
    <i r="1">
      <x v="776"/>
    </i>
    <i r="1">
      <x v="778"/>
    </i>
    <i r="1">
      <x v="785"/>
    </i>
    <i r="1">
      <x v="787"/>
    </i>
    <i r="1">
      <x v="790"/>
    </i>
    <i r="1">
      <x v="798"/>
    </i>
    <i r="1">
      <x v="800"/>
    </i>
    <i r="1">
      <x v="817"/>
    </i>
    <i r="1">
      <x v="819"/>
    </i>
    <i r="1">
      <x v="832"/>
    </i>
    <i r="1">
      <x v="846"/>
    </i>
    <i r="1">
      <x v="854"/>
    </i>
    <i r="1">
      <x v="855"/>
    </i>
    <i r="1">
      <x v="859"/>
    </i>
    <i r="1">
      <x v="861"/>
    </i>
    <i r="1">
      <x v="868"/>
    </i>
    <i r="1">
      <x v="871"/>
    </i>
    <i r="1">
      <x v="875"/>
    </i>
    <i r="1">
      <x v="883"/>
    </i>
    <i r="1">
      <x v="888"/>
    </i>
    <i r="1">
      <x v="894"/>
    </i>
    <i r="1">
      <x v="895"/>
    </i>
    <i r="1">
      <x v="908"/>
    </i>
    <i r="1">
      <x v="910"/>
    </i>
    <i r="1">
      <x v="911"/>
    </i>
    <i r="1">
      <x v="912"/>
    </i>
    <i r="1">
      <x v="913"/>
    </i>
    <i r="1">
      <x v="916"/>
    </i>
    <i r="1">
      <x v="924"/>
    </i>
    <i r="1">
      <x v="928"/>
    </i>
    <i r="1">
      <x v="932"/>
    </i>
    <i r="1">
      <x v="936"/>
    </i>
    <i r="1">
      <x v="937"/>
    </i>
    <i r="1">
      <x v="938"/>
    </i>
    <i r="1">
      <x v="944"/>
    </i>
    <i r="1">
      <x v="956"/>
    </i>
    <i r="1">
      <x v="968"/>
    </i>
    <i r="1">
      <x v="974"/>
    </i>
    <i r="1">
      <x v="975"/>
    </i>
    <i r="1">
      <x v="978"/>
    </i>
    <i r="1">
      <x v="990"/>
    </i>
    <i r="1">
      <x v="997"/>
    </i>
    <i r="1">
      <x v="999"/>
    </i>
    <i r="1">
      <x v="1030"/>
    </i>
    <i r="1">
      <x v="1035"/>
    </i>
    <i r="1">
      <x v="1036"/>
    </i>
    <i r="1">
      <x v="1050"/>
    </i>
    <i r="1">
      <x v="1051"/>
    </i>
    <i r="1">
      <x v="1054"/>
    </i>
    <i r="1">
      <x v="1061"/>
    </i>
    <i r="1">
      <x v="1062"/>
    </i>
    <i r="1">
      <x v="1072"/>
    </i>
    <i r="1">
      <x v="1079"/>
    </i>
    <i r="1">
      <x v="1092"/>
    </i>
    <i r="1">
      <x v="1095"/>
    </i>
    <i r="1">
      <x v="1099"/>
    </i>
    <i r="1">
      <x v="1101"/>
    </i>
    <i r="1">
      <x v="1105"/>
    </i>
    <i r="1">
      <x v="1123"/>
    </i>
    <i r="1">
      <x v="1127"/>
    </i>
    <i r="1">
      <x v="1151"/>
    </i>
    <i r="1">
      <x v="1155"/>
    </i>
    <i r="1">
      <x v="1156"/>
    </i>
    <i r="1">
      <x v="1158"/>
    </i>
    <i r="1">
      <x v="1161"/>
    </i>
    <i r="1">
      <x v="1165"/>
    </i>
    <i r="1">
      <x v="1174"/>
    </i>
    <i r="1">
      <x v="1176"/>
    </i>
    <i r="1">
      <x v="1184"/>
    </i>
    <i r="1">
      <x v="1197"/>
    </i>
    <i r="1">
      <x v="1208"/>
    </i>
    <i r="1">
      <x v="1209"/>
    </i>
    <i r="1">
      <x v="1212"/>
    </i>
    <i r="1">
      <x v="1218"/>
    </i>
    <i r="1">
      <x v="1225"/>
    </i>
    <i r="1">
      <x v="1230"/>
    </i>
    <i r="1">
      <x v="1233"/>
    </i>
    <i r="1">
      <x v="1236"/>
    </i>
    <i r="1">
      <x v="1247"/>
    </i>
    <i r="1">
      <x v="1259"/>
    </i>
    <i r="1">
      <x v="1274"/>
    </i>
    <i r="1">
      <x v="1278"/>
    </i>
    <i r="1">
      <x v="1294"/>
    </i>
    <i r="1">
      <x v="1301"/>
    </i>
    <i r="1">
      <x v="1302"/>
    </i>
    <i r="1">
      <x v="1309"/>
    </i>
    <i r="1">
      <x v="1310"/>
    </i>
    <i r="1">
      <x v="1311"/>
    </i>
    <i r="1">
      <x v="1314"/>
    </i>
    <i r="1">
      <x v="1319"/>
    </i>
    <i r="1">
      <x v="1320"/>
    </i>
    <i r="1">
      <x v="1333"/>
    </i>
    <i r="1">
      <x v="1349"/>
    </i>
    <i r="1">
      <x v="1354"/>
    </i>
    <i r="1">
      <x v="1365"/>
    </i>
    <i r="1">
      <x v="1373"/>
    </i>
    <i r="1">
      <x v="1385"/>
    </i>
    <i r="1">
      <x v="1390"/>
    </i>
    <i r="1">
      <x v="1391"/>
    </i>
    <i r="1">
      <x v="1398"/>
    </i>
    <i r="1">
      <x v="1404"/>
    </i>
    <i r="1">
      <x v="1406"/>
    </i>
    <i r="1">
      <x v="1408"/>
    </i>
    <i r="1">
      <x v="1422"/>
    </i>
    <i r="1">
      <x v="1423"/>
    </i>
    <i r="1">
      <x v="1424"/>
    </i>
    <i r="1">
      <x v="1426"/>
    </i>
    <i r="1">
      <x v="1430"/>
    </i>
    <i r="1">
      <x v="1436"/>
    </i>
    <i r="1">
      <x v="1446"/>
    </i>
    <i r="1">
      <x v="1450"/>
    </i>
    <i r="1">
      <x v="1453"/>
    </i>
    <i r="1">
      <x v="1457"/>
    </i>
    <i r="1">
      <x v="1458"/>
    </i>
    <i r="1">
      <x v="1474"/>
    </i>
    <i r="1">
      <x v="1475"/>
    </i>
    <i r="1">
      <x v="1484"/>
    </i>
    <i r="1">
      <x v="1494"/>
    </i>
    <i r="1">
      <x v="1504"/>
    </i>
    <i r="1">
      <x v="1516"/>
    </i>
    <i r="1">
      <x v="1522"/>
    </i>
    <i r="1">
      <x v="1537"/>
    </i>
    <i r="1">
      <x v="1540"/>
    </i>
    <i r="1">
      <x v="1542"/>
    </i>
    <i r="1">
      <x v="1553"/>
    </i>
    <i r="1">
      <x v="1560"/>
    </i>
    <i r="1">
      <x v="1564"/>
    </i>
    <i r="1">
      <x v="1566"/>
    </i>
    <i r="1">
      <x v="1574"/>
    </i>
    <i r="1">
      <x v="1577"/>
    </i>
    <i r="1">
      <x v="1579"/>
    </i>
    <i r="1">
      <x v="1581"/>
    </i>
    <i r="1">
      <x v="1583"/>
    </i>
    <i r="1">
      <x v="1584"/>
    </i>
    <i r="1">
      <x v="1586"/>
    </i>
    <i r="1">
      <x v="1591"/>
    </i>
    <i r="1">
      <x v="1594"/>
    </i>
    <i r="1">
      <x v="1604"/>
    </i>
    <i r="1">
      <x v="1609"/>
    </i>
    <i r="1">
      <x v="1618"/>
    </i>
    <i r="1">
      <x v="1629"/>
    </i>
    <i>
      <x v="3"/>
    </i>
    <i r="1">
      <x v="10"/>
    </i>
    <i r="1">
      <x v="20"/>
    </i>
    <i r="1">
      <x v="21"/>
    </i>
    <i r="1">
      <x v="30"/>
    </i>
    <i r="1">
      <x v="31"/>
    </i>
    <i r="1">
      <x v="34"/>
    </i>
    <i r="1">
      <x v="35"/>
    </i>
    <i r="1">
      <x v="46"/>
    </i>
    <i r="1">
      <x v="47"/>
    </i>
    <i r="1">
      <x v="49"/>
    </i>
    <i r="1">
      <x v="60"/>
    </i>
    <i r="1">
      <x v="68"/>
    </i>
    <i r="1">
      <x v="82"/>
    </i>
    <i r="1">
      <x v="86"/>
    </i>
    <i r="1">
      <x v="87"/>
    </i>
    <i r="1">
      <x v="92"/>
    </i>
    <i r="1">
      <x v="127"/>
    </i>
    <i r="1">
      <x v="128"/>
    </i>
    <i r="1">
      <x v="131"/>
    </i>
    <i r="1">
      <x v="135"/>
    </i>
    <i r="1">
      <x v="136"/>
    </i>
    <i r="1">
      <x v="141"/>
    </i>
    <i r="1">
      <x v="142"/>
    </i>
    <i r="1">
      <x v="144"/>
    </i>
    <i r="1">
      <x v="154"/>
    </i>
    <i r="1">
      <x v="156"/>
    </i>
    <i r="1">
      <x v="161"/>
    </i>
    <i r="1">
      <x v="165"/>
    </i>
    <i r="1">
      <x v="169"/>
    </i>
    <i r="1">
      <x v="170"/>
    </i>
    <i r="1">
      <x v="196"/>
    </i>
    <i r="1">
      <x v="204"/>
    </i>
    <i r="1">
      <x v="206"/>
    </i>
    <i r="1">
      <x v="213"/>
    </i>
    <i r="1">
      <x v="232"/>
    </i>
    <i r="1">
      <x v="235"/>
    </i>
    <i r="1">
      <x v="238"/>
    </i>
    <i r="1">
      <x v="243"/>
    </i>
    <i r="1">
      <x v="246"/>
    </i>
    <i r="1">
      <x v="250"/>
    </i>
    <i r="1">
      <x v="251"/>
    </i>
    <i r="1">
      <x v="255"/>
    </i>
    <i r="1">
      <x v="259"/>
    </i>
    <i r="1">
      <x v="260"/>
    </i>
    <i r="1">
      <x v="266"/>
    </i>
    <i r="1">
      <x v="279"/>
    </i>
    <i r="1">
      <x v="291"/>
    </i>
    <i r="1">
      <x v="292"/>
    </i>
    <i r="1">
      <x v="296"/>
    </i>
    <i r="1">
      <x v="298"/>
    </i>
    <i r="1">
      <x v="328"/>
    </i>
    <i r="1">
      <x v="329"/>
    </i>
    <i r="1">
      <x v="339"/>
    </i>
    <i r="1">
      <x v="344"/>
    </i>
    <i r="1">
      <x v="350"/>
    </i>
    <i r="1">
      <x v="355"/>
    </i>
    <i r="1">
      <x v="356"/>
    </i>
    <i r="1">
      <x v="357"/>
    </i>
    <i r="1">
      <x v="363"/>
    </i>
    <i r="1">
      <x v="366"/>
    </i>
    <i r="1">
      <x v="386"/>
    </i>
    <i r="1">
      <x v="392"/>
    </i>
    <i r="1">
      <x v="393"/>
    </i>
    <i r="1">
      <x v="397"/>
    </i>
    <i r="1">
      <x v="406"/>
    </i>
    <i r="1">
      <x v="416"/>
    </i>
    <i r="1">
      <x v="425"/>
    </i>
    <i r="1">
      <x v="440"/>
    </i>
    <i r="1">
      <x v="448"/>
    </i>
    <i r="1">
      <x v="449"/>
    </i>
    <i r="1">
      <x v="452"/>
    </i>
    <i r="1">
      <x v="454"/>
    </i>
    <i r="1">
      <x v="455"/>
    </i>
    <i r="1">
      <x v="456"/>
    </i>
    <i r="1">
      <x v="459"/>
    </i>
    <i r="1">
      <x v="463"/>
    </i>
    <i r="1">
      <x v="464"/>
    </i>
    <i r="1">
      <x v="475"/>
    </i>
    <i r="1">
      <x v="480"/>
    </i>
    <i r="1">
      <x v="481"/>
    </i>
    <i r="1">
      <x v="482"/>
    </i>
    <i r="1">
      <x v="489"/>
    </i>
    <i r="1">
      <x v="503"/>
    </i>
    <i r="1">
      <x v="536"/>
    </i>
    <i r="1">
      <x v="537"/>
    </i>
    <i r="1">
      <x v="543"/>
    </i>
    <i r="1">
      <x v="551"/>
    </i>
    <i r="1">
      <x v="553"/>
    </i>
    <i r="1">
      <x v="557"/>
    </i>
    <i r="1">
      <x v="558"/>
    </i>
    <i r="1">
      <x v="559"/>
    </i>
    <i r="1">
      <x v="578"/>
    </i>
    <i r="1">
      <x v="588"/>
    </i>
    <i r="1">
      <x v="592"/>
    </i>
    <i r="1">
      <x v="604"/>
    </i>
    <i r="1">
      <x v="613"/>
    </i>
    <i r="1">
      <x v="615"/>
    </i>
    <i r="1">
      <x v="628"/>
    </i>
    <i r="1">
      <x v="629"/>
    </i>
    <i r="1">
      <x v="633"/>
    </i>
    <i r="1">
      <x v="634"/>
    </i>
    <i r="1">
      <x v="637"/>
    </i>
    <i r="1">
      <x v="650"/>
    </i>
    <i r="1">
      <x v="657"/>
    </i>
    <i r="1">
      <x v="662"/>
    </i>
    <i r="1">
      <x v="676"/>
    </i>
    <i r="1">
      <x v="686"/>
    </i>
    <i r="1">
      <x v="693"/>
    </i>
    <i r="1">
      <x v="701"/>
    </i>
    <i r="1">
      <x v="710"/>
    </i>
    <i r="1">
      <x v="711"/>
    </i>
    <i r="1">
      <x v="718"/>
    </i>
    <i r="1">
      <x v="725"/>
    </i>
    <i r="1">
      <x v="730"/>
    </i>
    <i r="1">
      <x v="736"/>
    </i>
    <i r="1">
      <x v="743"/>
    </i>
    <i r="1">
      <x v="753"/>
    </i>
    <i r="1">
      <x v="759"/>
    </i>
    <i r="1">
      <x v="767"/>
    </i>
    <i r="1">
      <x v="773"/>
    </i>
    <i r="1">
      <x v="780"/>
    </i>
    <i r="1">
      <x v="788"/>
    </i>
    <i r="1">
      <x v="794"/>
    </i>
    <i r="1">
      <x v="803"/>
    </i>
    <i r="1">
      <x v="809"/>
    </i>
    <i r="1">
      <x v="825"/>
    </i>
    <i r="1">
      <x v="831"/>
    </i>
    <i r="1">
      <x v="836"/>
    </i>
    <i r="1">
      <x v="881"/>
    </i>
    <i r="1">
      <x v="885"/>
    </i>
    <i r="1">
      <x v="903"/>
    </i>
    <i r="1">
      <x v="909"/>
    </i>
    <i r="1">
      <x v="925"/>
    </i>
    <i r="1">
      <x v="934"/>
    </i>
    <i r="1">
      <x v="935"/>
    </i>
    <i r="1">
      <x v="941"/>
    </i>
    <i r="1">
      <x v="946"/>
    </i>
    <i r="1">
      <x v="950"/>
    </i>
    <i r="1">
      <x v="960"/>
    </i>
    <i r="1">
      <x v="969"/>
    </i>
    <i r="1">
      <x v="970"/>
    </i>
    <i r="1">
      <x v="971"/>
    </i>
    <i r="1">
      <x v="979"/>
    </i>
    <i r="1">
      <x v="980"/>
    </i>
    <i r="1">
      <x v="981"/>
    </i>
    <i r="1">
      <x v="986"/>
    </i>
    <i r="1">
      <x v="989"/>
    </i>
    <i r="1">
      <x v="1016"/>
    </i>
    <i r="1">
      <x v="1024"/>
    </i>
    <i r="1">
      <x v="1026"/>
    </i>
    <i r="1">
      <x v="1027"/>
    </i>
    <i r="1">
      <x v="1039"/>
    </i>
    <i r="1">
      <x v="1040"/>
    </i>
    <i r="1">
      <x v="1044"/>
    </i>
    <i r="1">
      <x v="1053"/>
    </i>
    <i r="1">
      <x v="1059"/>
    </i>
    <i r="1">
      <x v="1069"/>
    </i>
    <i r="1">
      <x v="1071"/>
    </i>
    <i r="1">
      <x v="1074"/>
    </i>
    <i r="1">
      <x v="1075"/>
    </i>
    <i r="1">
      <x v="1093"/>
    </i>
    <i r="1">
      <x v="1107"/>
    </i>
    <i r="1">
      <x v="1115"/>
    </i>
    <i r="1">
      <x v="1121"/>
    </i>
    <i r="1">
      <x v="1132"/>
    </i>
    <i r="1">
      <x v="1134"/>
    </i>
    <i r="1">
      <x v="1142"/>
    </i>
    <i r="1">
      <x v="1146"/>
    </i>
    <i r="1">
      <x v="1155"/>
    </i>
    <i r="1">
      <x v="1162"/>
    </i>
    <i r="1">
      <x v="1167"/>
    </i>
    <i r="1">
      <x v="1171"/>
    </i>
    <i r="1">
      <x v="1175"/>
    </i>
    <i r="1">
      <x v="1191"/>
    </i>
    <i r="1">
      <x v="1192"/>
    </i>
    <i r="1">
      <x v="1193"/>
    </i>
    <i r="1">
      <x v="1200"/>
    </i>
    <i r="1">
      <x v="1201"/>
    </i>
    <i r="1">
      <x v="1202"/>
    </i>
    <i r="1">
      <x v="1206"/>
    </i>
    <i r="1">
      <x v="1210"/>
    </i>
    <i r="1">
      <x v="1223"/>
    </i>
    <i r="1">
      <x v="1245"/>
    </i>
    <i r="1">
      <x v="1253"/>
    </i>
    <i r="1">
      <x v="1256"/>
    </i>
    <i r="1">
      <x v="1265"/>
    </i>
    <i r="1">
      <x v="1266"/>
    </i>
    <i r="1">
      <x v="1277"/>
    </i>
    <i r="1">
      <x v="1281"/>
    </i>
    <i r="1">
      <x v="1283"/>
    </i>
    <i r="1">
      <x v="1287"/>
    </i>
    <i r="1">
      <x v="1288"/>
    </i>
    <i r="1">
      <x v="1296"/>
    </i>
    <i r="1">
      <x v="1298"/>
    </i>
    <i r="1">
      <x v="1299"/>
    </i>
    <i r="1">
      <x v="1303"/>
    </i>
    <i r="1">
      <x v="1305"/>
    </i>
    <i r="1">
      <x v="1308"/>
    </i>
    <i r="1">
      <x v="1312"/>
    </i>
    <i r="1">
      <x v="1318"/>
    </i>
    <i r="1">
      <x v="1322"/>
    </i>
    <i r="1">
      <x v="1348"/>
    </i>
    <i r="1">
      <x v="1356"/>
    </i>
    <i r="1">
      <x v="1362"/>
    </i>
    <i r="1">
      <x v="1366"/>
    </i>
    <i r="1">
      <x v="1368"/>
    </i>
    <i r="1">
      <x v="1371"/>
    </i>
    <i r="1">
      <x v="1374"/>
    </i>
    <i r="1">
      <x v="1388"/>
    </i>
    <i r="1">
      <x v="1395"/>
    </i>
    <i r="1">
      <x v="1397"/>
    </i>
    <i r="1">
      <x v="1403"/>
    </i>
    <i r="1">
      <x v="1405"/>
    </i>
    <i r="1">
      <x v="1406"/>
    </i>
    <i r="1">
      <x v="1411"/>
    </i>
    <i r="1">
      <x v="1427"/>
    </i>
    <i r="1">
      <x v="1431"/>
    </i>
    <i r="1">
      <x v="1439"/>
    </i>
    <i r="1">
      <x v="1442"/>
    </i>
    <i r="1">
      <x v="1443"/>
    </i>
    <i r="1">
      <x v="1452"/>
    </i>
    <i r="1">
      <x v="1455"/>
    </i>
    <i r="1">
      <x v="1465"/>
    </i>
    <i r="1">
      <x v="1473"/>
    </i>
    <i r="1">
      <x v="1480"/>
    </i>
    <i r="1">
      <x v="1488"/>
    </i>
    <i r="1">
      <x v="1493"/>
    </i>
    <i r="1">
      <x v="1497"/>
    </i>
    <i r="1">
      <x v="1498"/>
    </i>
    <i r="1">
      <x v="1499"/>
    </i>
    <i r="1">
      <x v="1507"/>
    </i>
    <i r="1">
      <x v="1513"/>
    </i>
    <i r="1">
      <x v="1514"/>
    </i>
    <i r="1">
      <x v="1523"/>
    </i>
    <i r="1">
      <x v="1535"/>
    </i>
    <i r="1">
      <x v="1547"/>
    </i>
    <i r="1">
      <x v="1548"/>
    </i>
    <i r="1">
      <x v="1551"/>
    </i>
    <i r="1">
      <x v="1560"/>
    </i>
    <i r="1">
      <x v="1565"/>
    </i>
    <i r="1">
      <x v="1569"/>
    </i>
    <i r="1">
      <x v="1574"/>
    </i>
    <i r="1">
      <x v="1586"/>
    </i>
    <i r="1">
      <x v="1602"/>
    </i>
    <i r="1">
      <x v="1603"/>
    </i>
    <i r="1">
      <x v="1607"/>
    </i>
    <i r="1">
      <x v="1615"/>
    </i>
    <i r="1">
      <x v="1616"/>
    </i>
    <i r="1">
      <x v="1623"/>
    </i>
    <i r="1">
      <x v="1634"/>
    </i>
    <i r="1">
      <x v="1635"/>
    </i>
    <i r="1">
      <x v="1640"/>
    </i>
    <i>
      <x v="4"/>
    </i>
    <i r="1">
      <x v="5"/>
    </i>
    <i r="1">
      <x v="6"/>
    </i>
    <i r="1">
      <x v="12"/>
    </i>
    <i r="1">
      <x v="14"/>
    </i>
    <i r="1">
      <x v="16"/>
    </i>
    <i r="1">
      <x v="18"/>
    </i>
    <i r="1">
      <x v="25"/>
    </i>
    <i r="1">
      <x v="36"/>
    </i>
    <i r="1">
      <x v="50"/>
    </i>
    <i r="1">
      <x v="55"/>
    </i>
    <i r="1">
      <x v="72"/>
    </i>
    <i r="1">
      <x v="77"/>
    </i>
    <i r="1">
      <x v="84"/>
    </i>
    <i r="1">
      <x v="91"/>
    </i>
    <i r="1">
      <x v="99"/>
    </i>
    <i r="1">
      <x v="108"/>
    </i>
    <i r="1">
      <x v="113"/>
    </i>
    <i r="1">
      <x v="118"/>
    </i>
    <i r="1">
      <x v="119"/>
    </i>
    <i r="1">
      <x v="122"/>
    </i>
    <i r="1">
      <x v="126"/>
    </i>
    <i r="1">
      <x v="127"/>
    </i>
    <i r="1">
      <x v="159"/>
    </i>
    <i r="1">
      <x v="162"/>
    </i>
    <i r="1">
      <x v="163"/>
    </i>
    <i r="1">
      <x v="180"/>
    </i>
    <i r="1">
      <x v="181"/>
    </i>
    <i r="1">
      <x v="191"/>
    </i>
    <i r="1">
      <x v="193"/>
    </i>
    <i r="1">
      <x v="195"/>
    </i>
    <i r="1">
      <x v="208"/>
    </i>
    <i r="1">
      <x v="211"/>
    </i>
    <i r="1">
      <x v="212"/>
    </i>
    <i r="1">
      <x v="231"/>
    </i>
    <i r="1">
      <x v="239"/>
    </i>
    <i r="1">
      <x v="242"/>
    </i>
    <i r="1">
      <x v="245"/>
    </i>
    <i r="1">
      <x v="250"/>
    </i>
    <i r="1">
      <x v="254"/>
    </i>
    <i r="1">
      <x v="258"/>
    </i>
    <i r="1">
      <x v="261"/>
    </i>
    <i r="1">
      <x v="280"/>
    </i>
    <i r="1">
      <x v="284"/>
    </i>
    <i r="1">
      <x v="286"/>
    </i>
    <i r="1">
      <x v="287"/>
    </i>
    <i r="1">
      <x v="294"/>
    </i>
    <i r="1">
      <x v="307"/>
    </i>
    <i r="1">
      <x v="308"/>
    </i>
    <i r="1">
      <x v="320"/>
    </i>
    <i r="1">
      <x v="322"/>
    </i>
    <i r="1">
      <x v="333"/>
    </i>
    <i r="1">
      <x v="349"/>
    </i>
    <i r="1">
      <x v="353"/>
    </i>
    <i r="1">
      <x v="355"/>
    </i>
    <i r="1">
      <x v="367"/>
    </i>
    <i r="1">
      <x v="380"/>
    </i>
    <i r="1">
      <x v="392"/>
    </i>
    <i r="1">
      <x v="394"/>
    </i>
    <i r="1">
      <x v="395"/>
    </i>
    <i r="1">
      <x v="398"/>
    </i>
    <i r="1">
      <x v="403"/>
    </i>
    <i r="1">
      <x v="411"/>
    </i>
    <i r="1">
      <x v="424"/>
    </i>
    <i r="1">
      <x v="445"/>
    </i>
    <i r="1">
      <x v="449"/>
    </i>
    <i r="1">
      <x v="462"/>
    </i>
    <i r="1">
      <x v="466"/>
    </i>
    <i r="1">
      <x v="474"/>
    </i>
    <i r="1">
      <x v="490"/>
    </i>
    <i r="1">
      <x v="497"/>
    </i>
    <i r="1">
      <x v="498"/>
    </i>
    <i r="1">
      <x v="509"/>
    </i>
    <i r="1">
      <x v="518"/>
    </i>
    <i r="1">
      <x v="519"/>
    </i>
    <i r="1">
      <x v="522"/>
    </i>
    <i r="1">
      <x v="534"/>
    </i>
    <i r="1">
      <x v="547"/>
    </i>
    <i r="1">
      <x v="565"/>
    </i>
    <i r="1">
      <x v="584"/>
    </i>
    <i r="1">
      <x v="585"/>
    </i>
    <i r="1">
      <x v="589"/>
    </i>
    <i r="1">
      <x v="593"/>
    </i>
    <i r="1">
      <x v="595"/>
    </i>
    <i r="1">
      <x v="601"/>
    </i>
    <i r="1">
      <x v="611"/>
    </i>
    <i r="1">
      <x v="618"/>
    </i>
    <i r="1">
      <x v="619"/>
    </i>
    <i r="1">
      <x v="620"/>
    </i>
    <i r="1">
      <x v="622"/>
    </i>
    <i r="1">
      <x v="631"/>
    </i>
    <i r="1">
      <x v="646"/>
    </i>
    <i r="1">
      <x v="649"/>
    </i>
    <i r="1">
      <x v="656"/>
    </i>
    <i r="1">
      <x v="658"/>
    </i>
    <i r="1">
      <x v="661"/>
    </i>
    <i r="1">
      <x v="668"/>
    </i>
    <i r="1">
      <x v="669"/>
    </i>
    <i r="1">
      <x v="673"/>
    </i>
    <i r="1">
      <x v="682"/>
    </i>
    <i r="1">
      <x v="697"/>
    </i>
    <i r="1">
      <x v="705"/>
    </i>
    <i r="1">
      <x v="706"/>
    </i>
    <i r="1">
      <x v="707"/>
    </i>
    <i r="1">
      <x v="708"/>
    </i>
    <i r="1">
      <x v="719"/>
    </i>
    <i r="1">
      <x v="726"/>
    </i>
    <i r="1">
      <x v="747"/>
    </i>
    <i r="1">
      <x v="749"/>
    </i>
    <i r="1">
      <x v="763"/>
    </i>
    <i r="1">
      <x v="769"/>
    </i>
    <i r="1">
      <x v="772"/>
    </i>
    <i r="1">
      <x v="777"/>
    </i>
    <i r="1">
      <x v="783"/>
    </i>
    <i r="1">
      <x v="799"/>
    </i>
    <i r="1">
      <x v="801"/>
    </i>
    <i r="1">
      <x v="802"/>
    </i>
    <i r="1">
      <x v="806"/>
    </i>
    <i r="1">
      <x v="815"/>
    </i>
    <i r="1">
      <x v="820"/>
    </i>
    <i r="1">
      <x v="821"/>
    </i>
    <i r="1">
      <x v="834"/>
    </i>
    <i r="1">
      <x v="838"/>
    </i>
    <i r="1">
      <x v="841"/>
    </i>
    <i r="1">
      <x v="844"/>
    </i>
    <i r="1">
      <x v="848"/>
    </i>
    <i r="1">
      <x v="853"/>
    </i>
    <i r="1">
      <x v="866"/>
    </i>
    <i r="1">
      <x v="870"/>
    </i>
    <i r="1">
      <x v="873"/>
    </i>
    <i r="1">
      <x v="879"/>
    </i>
    <i r="1">
      <x v="880"/>
    </i>
    <i r="1">
      <x v="882"/>
    </i>
    <i r="1">
      <x v="886"/>
    </i>
    <i r="1">
      <x v="890"/>
    </i>
    <i r="1">
      <x v="897"/>
    </i>
    <i r="1">
      <x v="898"/>
    </i>
    <i r="1">
      <x v="902"/>
    </i>
    <i r="1">
      <x v="905"/>
    </i>
    <i r="1">
      <x v="906"/>
    </i>
    <i r="1">
      <x v="915"/>
    </i>
    <i r="1">
      <x v="917"/>
    </i>
    <i r="1">
      <x v="920"/>
    </i>
    <i r="1">
      <x v="923"/>
    </i>
    <i r="1">
      <x v="926"/>
    </i>
    <i r="1">
      <x v="927"/>
    </i>
    <i r="1">
      <x v="949"/>
    </i>
    <i r="1">
      <x v="953"/>
    </i>
    <i r="1">
      <x v="954"/>
    </i>
    <i r="1">
      <x v="963"/>
    </i>
    <i r="1">
      <x v="987"/>
    </i>
    <i r="1">
      <x v="998"/>
    </i>
    <i r="1">
      <x v="1006"/>
    </i>
    <i r="1">
      <x v="1012"/>
    </i>
    <i r="1">
      <x v="1019"/>
    </i>
    <i r="1">
      <x v="1045"/>
    </i>
    <i r="1">
      <x v="1046"/>
    </i>
    <i r="1">
      <x v="1066"/>
    </i>
    <i r="1">
      <x v="1067"/>
    </i>
    <i r="1">
      <x v="1071"/>
    </i>
    <i r="1">
      <x v="1076"/>
    </i>
    <i r="1">
      <x v="1081"/>
    </i>
    <i r="1">
      <x v="1087"/>
    </i>
    <i r="1">
      <x v="1096"/>
    </i>
    <i r="1">
      <x v="1098"/>
    </i>
    <i r="1">
      <x v="1104"/>
    </i>
    <i r="1">
      <x v="1109"/>
    </i>
    <i r="1">
      <x v="1128"/>
    </i>
    <i r="1">
      <x v="1129"/>
    </i>
    <i r="1">
      <x v="1136"/>
    </i>
    <i r="1">
      <x v="1137"/>
    </i>
    <i r="1">
      <x v="1139"/>
    </i>
    <i r="1">
      <x v="1141"/>
    </i>
    <i r="1">
      <x v="1148"/>
    </i>
    <i r="1">
      <x v="1150"/>
    </i>
    <i r="1">
      <x v="1157"/>
    </i>
    <i r="1">
      <x v="1159"/>
    </i>
    <i r="1">
      <x v="1172"/>
    </i>
    <i r="1">
      <x v="1187"/>
    </i>
    <i r="1">
      <x v="1224"/>
    </i>
    <i r="1">
      <x v="1227"/>
    </i>
    <i r="1">
      <x v="1228"/>
    </i>
    <i r="1">
      <x v="1229"/>
    </i>
    <i r="1">
      <x v="1232"/>
    </i>
    <i r="1">
      <x v="1234"/>
    </i>
    <i r="1">
      <x v="1249"/>
    </i>
    <i r="1">
      <x v="1252"/>
    </i>
    <i r="1">
      <x v="1257"/>
    </i>
    <i r="1">
      <x v="1261"/>
    </i>
    <i r="1">
      <x v="1267"/>
    </i>
    <i r="1">
      <x v="1268"/>
    </i>
    <i r="1">
      <x v="1317"/>
    </i>
    <i r="1">
      <x v="1332"/>
    </i>
    <i r="1">
      <x v="1338"/>
    </i>
    <i r="1">
      <x v="1339"/>
    </i>
    <i r="1">
      <x v="1340"/>
    </i>
    <i r="1">
      <x v="1343"/>
    </i>
    <i r="1">
      <x v="1353"/>
    </i>
    <i r="1">
      <x v="1358"/>
    </i>
    <i r="1">
      <x v="1370"/>
    </i>
    <i r="1">
      <x v="1375"/>
    </i>
    <i r="1">
      <x v="1382"/>
    </i>
    <i r="1">
      <x v="1384"/>
    </i>
    <i r="1">
      <x v="1387"/>
    </i>
    <i r="1">
      <x v="1394"/>
    </i>
    <i r="1">
      <x v="1398"/>
    </i>
    <i r="1">
      <x v="1401"/>
    </i>
    <i r="1">
      <x v="1412"/>
    </i>
    <i r="1">
      <x v="1418"/>
    </i>
    <i r="1">
      <x v="1425"/>
    </i>
    <i r="1">
      <x v="1437"/>
    </i>
    <i r="1">
      <x v="1440"/>
    </i>
    <i r="1">
      <x v="1441"/>
    </i>
    <i r="1">
      <x v="1454"/>
    </i>
    <i r="1">
      <x v="1470"/>
    </i>
    <i r="1">
      <x v="1483"/>
    </i>
    <i r="1">
      <x v="1495"/>
    </i>
    <i r="1">
      <x v="1517"/>
    </i>
    <i r="1">
      <x v="1521"/>
    </i>
    <i r="1">
      <x v="1528"/>
    </i>
    <i r="1">
      <x v="1529"/>
    </i>
    <i r="1">
      <x v="1531"/>
    </i>
    <i r="1">
      <x v="1545"/>
    </i>
    <i r="1">
      <x v="1546"/>
    </i>
    <i r="1">
      <x v="1550"/>
    </i>
    <i r="1">
      <x v="1557"/>
    </i>
    <i r="1">
      <x v="1572"/>
    </i>
    <i r="1">
      <x v="1573"/>
    </i>
    <i r="1">
      <x v="1576"/>
    </i>
    <i r="1">
      <x v="1586"/>
    </i>
    <i r="1">
      <x v="1588"/>
    </i>
    <i r="1">
      <x v="1590"/>
    </i>
    <i r="1">
      <x v="1596"/>
    </i>
    <i r="1">
      <x v="1609"/>
    </i>
    <i r="1">
      <x v="1610"/>
    </i>
    <i r="1">
      <x v="1611"/>
    </i>
    <i r="1">
      <x v="1620"/>
    </i>
    <i r="1">
      <x v="1621"/>
    </i>
    <i r="1">
      <x v="1633"/>
    </i>
    <i r="1">
      <x v="1638"/>
    </i>
    <i r="1">
      <x v="1641"/>
    </i>
    <i>
      <x v="5"/>
    </i>
    <i r="1">
      <x v="1"/>
    </i>
    <i r="1">
      <x v="2"/>
    </i>
    <i r="1">
      <x v="4"/>
    </i>
    <i r="1">
      <x v="8"/>
    </i>
    <i r="1">
      <x v="17"/>
    </i>
    <i r="1">
      <x v="23"/>
    </i>
    <i r="1">
      <x v="33"/>
    </i>
    <i r="1">
      <x v="37"/>
    </i>
    <i r="1">
      <x v="39"/>
    </i>
    <i r="1">
      <x v="45"/>
    </i>
    <i r="1">
      <x v="53"/>
    </i>
    <i r="1">
      <x v="62"/>
    </i>
    <i r="1">
      <x v="69"/>
    </i>
    <i r="1">
      <x v="70"/>
    </i>
    <i r="1">
      <x v="79"/>
    </i>
    <i r="1">
      <x v="80"/>
    </i>
    <i r="1">
      <x v="88"/>
    </i>
    <i r="1">
      <x v="89"/>
    </i>
    <i r="1">
      <x v="90"/>
    </i>
    <i r="1">
      <x v="97"/>
    </i>
    <i r="1">
      <x v="102"/>
    </i>
    <i r="1">
      <x v="107"/>
    </i>
    <i r="1">
      <x v="121"/>
    </i>
    <i r="1">
      <x v="132"/>
    </i>
    <i r="1">
      <x v="133"/>
    </i>
    <i r="1">
      <x v="137"/>
    </i>
    <i r="1">
      <x v="148"/>
    </i>
    <i r="1">
      <x v="149"/>
    </i>
    <i r="1">
      <x v="172"/>
    </i>
    <i r="1">
      <x v="174"/>
    </i>
    <i r="1">
      <x v="176"/>
    </i>
    <i r="1">
      <x v="189"/>
    </i>
    <i r="1">
      <x v="190"/>
    </i>
    <i r="1">
      <x v="198"/>
    </i>
    <i r="1">
      <x v="203"/>
    </i>
    <i r="1">
      <x v="207"/>
    </i>
    <i r="1">
      <x v="221"/>
    </i>
    <i r="1">
      <x v="223"/>
    </i>
    <i r="1">
      <x v="227"/>
    </i>
    <i r="1">
      <x v="228"/>
    </i>
    <i r="1">
      <x v="230"/>
    </i>
    <i r="1">
      <x v="233"/>
    </i>
    <i r="1">
      <x v="237"/>
    </i>
    <i r="1">
      <x v="240"/>
    </i>
    <i r="1">
      <x v="267"/>
    </i>
    <i r="1">
      <x v="270"/>
    </i>
    <i r="1">
      <x v="274"/>
    </i>
    <i r="1">
      <x v="278"/>
    </i>
    <i r="1">
      <x v="297"/>
    </i>
    <i r="1">
      <x v="300"/>
    </i>
    <i r="1">
      <x v="312"/>
    </i>
    <i r="1">
      <x v="318"/>
    </i>
    <i r="1">
      <x v="321"/>
    </i>
    <i r="1">
      <x v="330"/>
    </i>
    <i r="1">
      <x v="337"/>
    </i>
    <i r="1">
      <x v="338"/>
    </i>
    <i r="1">
      <x v="341"/>
    </i>
    <i r="1">
      <x v="354"/>
    </i>
    <i r="1">
      <x v="362"/>
    </i>
    <i r="1">
      <x v="371"/>
    </i>
    <i r="1">
      <x v="375"/>
    </i>
    <i r="1">
      <x v="400"/>
    </i>
    <i r="1">
      <x v="419"/>
    </i>
    <i r="1">
      <x v="424"/>
    </i>
    <i r="1">
      <x v="433"/>
    </i>
    <i r="1">
      <x v="435"/>
    </i>
    <i r="1">
      <x v="439"/>
    </i>
    <i r="1">
      <x v="452"/>
    </i>
    <i r="1">
      <x v="457"/>
    </i>
    <i r="1">
      <x v="467"/>
    </i>
    <i r="1">
      <x v="470"/>
    </i>
    <i r="1">
      <x v="483"/>
    </i>
    <i r="1">
      <x v="484"/>
    </i>
    <i r="1">
      <x v="485"/>
    </i>
    <i r="1">
      <x v="487"/>
    </i>
    <i r="1">
      <x v="491"/>
    </i>
    <i r="1">
      <x v="492"/>
    </i>
    <i r="1">
      <x v="495"/>
    </i>
    <i r="1">
      <x v="498"/>
    </i>
    <i r="1">
      <x v="507"/>
    </i>
    <i r="1">
      <x v="511"/>
    </i>
    <i r="1">
      <x v="513"/>
    </i>
    <i r="1">
      <x v="518"/>
    </i>
    <i r="1">
      <x v="525"/>
    </i>
    <i r="1">
      <x v="555"/>
    </i>
    <i r="1">
      <x v="569"/>
    </i>
    <i r="1">
      <x v="573"/>
    </i>
    <i r="1">
      <x v="577"/>
    </i>
    <i r="1">
      <x v="581"/>
    </i>
    <i r="1">
      <x v="583"/>
    </i>
    <i r="1">
      <x v="597"/>
    </i>
    <i r="1">
      <x v="616"/>
    </i>
    <i r="1">
      <x v="626"/>
    </i>
    <i r="1">
      <x v="636"/>
    </i>
    <i r="1">
      <x v="637"/>
    </i>
    <i r="1">
      <x v="639"/>
    </i>
    <i r="1">
      <x v="640"/>
    </i>
    <i r="1">
      <x v="648"/>
    </i>
    <i r="1">
      <x v="665"/>
    </i>
    <i r="1">
      <x v="680"/>
    </i>
    <i r="1">
      <x v="684"/>
    </i>
    <i r="1">
      <x v="692"/>
    </i>
    <i r="1">
      <x v="702"/>
    </i>
    <i r="1">
      <x v="712"/>
    </i>
    <i r="1">
      <x v="717"/>
    </i>
    <i r="1">
      <x v="722"/>
    </i>
    <i r="1">
      <x v="729"/>
    </i>
    <i r="1">
      <x v="733"/>
    </i>
    <i r="1">
      <x v="737"/>
    </i>
    <i r="1">
      <x v="739"/>
    </i>
    <i r="1">
      <x v="744"/>
    </i>
    <i r="1">
      <x v="764"/>
    </i>
    <i r="1">
      <x v="779"/>
    </i>
    <i r="1">
      <x v="795"/>
    </i>
    <i r="1">
      <x v="796"/>
    </i>
    <i r="1">
      <x v="811"/>
    </i>
    <i r="1">
      <x v="813"/>
    </i>
    <i r="1">
      <x v="822"/>
    </i>
    <i r="1">
      <x v="832"/>
    </i>
    <i r="1">
      <x v="839"/>
    </i>
    <i r="1">
      <x v="842"/>
    </i>
    <i r="1">
      <x v="852"/>
    </i>
    <i r="1">
      <x v="856"/>
    </i>
    <i r="1">
      <x v="876"/>
    </i>
    <i r="1">
      <x v="877"/>
    </i>
    <i r="1">
      <x v="893"/>
    </i>
    <i r="1">
      <x v="907"/>
    </i>
    <i r="1">
      <x v="921"/>
    </i>
    <i r="1">
      <x v="922"/>
    </i>
    <i r="1">
      <x v="929"/>
    </i>
    <i r="1">
      <x v="943"/>
    </i>
    <i r="1">
      <x v="973"/>
    </i>
    <i r="1">
      <x v="983"/>
    </i>
    <i r="1">
      <x v="984"/>
    </i>
    <i r="1">
      <x v="985"/>
    </i>
    <i r="1">
      <x v="995"/>
    </i>
    <i r="1">
      <x v="1000"/>
    </i>
    <i r="1">
      <x v="1004"/>
    </i>
    <i r="1">
      <x v="1005"/>
    </i>
    <i r="1">
      <x v="1007"/>
    </i>
    <i r="1">
      <x v="1008"/>
    </i>
    <i r="1">
      <x v="1010"/>
    </i>
    <i r="1">
      <x v="1020"/>
    </i>
    <i r="1">
      <x v="1032"/>
    </i>
    <i r="1">
      <x v="1038"/>
    </i>
    <i r="1">
      <x v="1041"/>
    </i>
    <i r="1">
      <x v="1043"/>
    </i>
    <i r="1">
      <x v="1049"/>
    </i>
    <i r="1">
      <x v="1055"/>
    </i>
    <i r="1">
      <x v="1063"/>
    </i>
    <i r="1">
      <x v="1064"/>
    </i>
    <i r="1">
      <x v="1080"/>
    </i>
    <i r="1">
      <x v="1116"/>
    </i>
    <i r="1">
      <x v="1119"/>
    </i>
    <i r="1">
      <x v="1125"/>
    </i>
    <i r="1">
      <x v="1130"/>
    </i>
    <i r="1">
      <x v="1131"/>
    </i>
    <i r="1">
      <x v="1133"/>
    </i>
    <i r="1">
      <x v="1143"/>
    </i>
    <i r="1">
      <x v="1166"/>
    </i>
    <i r="1">
      <x v="1177"/>
    </i>
    <i r="1">
      <x v="1178"/>
    </i>
    <i r="1">
      <x v="1181"/>
    </i>
    <i r="1">
      <x v="1182"/>
    </i>
    <i r="1">
      <x v="1186"/>
    </i>
    <i r="1">
      <x v="1188"/>
    </i>
    <i r="1">
      <x v="1214"/>
    </i>
    <i r="1">
      <x v="1222"/>
    </i>
    <i r="1">
      <x v="1224"/>
    </i>
    <i r="1">
      <x v="1242"/>
    </i>
    <i r="1">
      <x v="1244"/>
    </i>
    <i r="1">
      <x v="1246"/>
    </i>
    <i r="1">
      <x v="1250"/>
    </i>
    <i r="1">
      <x v="1264"/>
    </i>
    <i r="1">
      <x v="1272"/>
    </i>
    <i r="1">
      <x v="1282"/>
    </i>
    <i r="1">
      <x v="1285"/>
    </i>
    <i r="1">
      <x v="1289"/>
    </i>
    <i r="1">
      <x v="1290"/>
    </i>
    <i r="1">
      <x v="1292"/>
    </i>
    <i r="1">
      <x v="1295"/>
    </i>
    <i r="1">
      <x v="1297"/>
    </i>
    <i r="1">
      <x v="1304"/>
    </i>
    <i r="1">
      <x v="1315"/>
    </i>
    <i r="1">
      <x v="1316"/>
    </i>
    <i r="1">
      <x v="1321"/>
    </i>
    <i r="1">
      <x v="1324"/>
    </i>
    <i r="1">
      <x v="1346"/>
    </i>
    <i r="1">
      <x v="1347"/>
    </i>
    <i r="1">
      <x v="1367"/>
    </i>
    <i r="1">
      <x v="1369"/>
    </i>
    <i r="1">
      <x v="1370"/>
    </i>
    <i r="1">
      <x v="1381"/>
    </i>
    <i r="1">
      <x v="1393"/>
    </i>
    <i r="1">
      <x v="1399"/>
    </i>
    <i r="1">
      <x v="1415"/>
    </i>
    <i r="1">
      <x v="1417"/>
    </i>
    <i r="1">
      <x v="1430"/>
    </i>
    <i r="1">
      <x v="1432"/>
    </i>
    <i r="1">
      <x v="1434"/>
    </i>
    <i r="1">
      <x v="1445"/>
    </i>
    <i r="1">
      <x v="1447"/>
    </i>
    <i r="1">
      <x v="1456"/>
    </i>
    <i r="1">
      <x v="1466"/>
    </i>
    <i r="1">
      <x v="1475"/>
    </i>
    <i r="1">
      <x v="1477"/>
    </i>
    <i r="1">
      <x v="1485"/>
    </i>
    <i r="1">
      <x v="1505"/>
    </i>
    <i r="1">
      <x v="1508"/>
    </i>
    <i r="1">
      <x v="1512"/>
    </i>
    <i r="1">
      <x v="1519"/>
    </i>
    <i r="1">
      <x v="1532"/>
    </i>
    <i r="1">
      <x v="1533"/>
    </i>
    <i r="1">
      <x v="1536"/>
    </i>
    <i r="1">
      <x v="1538"/>
    </i>
    <i r="1">
      <x v="1539"/>
    </i>
    <i r="1">
      <x v="1549"/>
    </i>
    <i r="1">
      <x v="1552"/>
    </i>
    <i r="1">
      <x v="1561"/>
    </i>
    <i r="1">
      <x v="1562"/>
    </i>
    <i r="1">
      <x v="1568"/>
    </i>
    <i r="1">
      <x v="1571"/>
    </i>
    <i r="1">
      <x v="1578"/>
    </i>
    <i r="1">
      <x v="1580"/>
    </i>
    <i r="1">
      <x v="1595"/>
    </i>
    <i r="1">
      <x v="1598"/>
    </i>
    <i r="1">
      <x v="1613"/>
    </i>
    <i r="1">
      <x v="1617"/>
    </i>
    <i r="1">
      <x v="1623"/>
    </i>
    <i r="1">
      <x v="1625"/>
    </i>
    <i r="1">
      <x v="1628"/>
    </i>
    <i>
      <x v="6"/>
    </i>
    <i r="1">
      <x v="24"/>
    </i>
    <i r="1">
      <x v="26"/>
    </i>
    <i r="1">
      <x v="40"/>
    </i>
    <i r="1">
      <x v="54"/>
    </i>
    <i r="1">
      <x v="57"/>
    </i>
    <i r="1">
      <x v="59"/>
    </i>
    <i r="1">
      <x v="63"/>
    </i>
    <i r="1">
      <x v="65"/>
    </i>
    <i r="1">
      <x v="74"/>
    </i>
    <i r="1">
      <x v="76"/>
    </i>
    <i r="1">
      <x v="83"/>
    </i>
    <i r="1">
      <x v="95"/>
    </i>
    <i r="1">
      <x v="98"/>
    </i>
    <i r="1">
      <x v="100"/>
    </i>
    <i r="1">
      <x v="105"/>
    </i>
    <i r="1">
      <x v="110"/>
    </i>
    <i r="1">
      <x v="113"/>
    </i>
    <i r="1">
      <x v="115"/>
    </i>
    <i r="1">
      <x v="116"/>
    </i>
    <i r="1">
      <x v="122"/>
    </i>
    <i r="1">
      <x v="124"/>
    </i>
    <i r="1">
      <x v="130"/>
    </i>
    <i r="1">
      <x v="147"/>
    </i>
    <i r="1">
      <x v="150"/>
    </i>
    <i r="1">
      <x v="152"/>
    </i>
    <i r="1">
      <x v="153"/>
    </i>
    <i r="1">
      <x v="154"/>
    </i>
    <i r="1">
      <x v="158"/>
    </i>
    <i r="1">
      <x v="160"/>
    </i>
    <i r="1">
      <x v="163"/>
    </i>
    <i r="1">
      <x v="166"/>
    </i>
    <i r="1">
      <x v="173"/>
    </i>
    <i r="1">
      <x v="178"/>
    </i>
    <i r="1">
      <x v="180"/>
    </i>
    <i r="1">
      <x v="187"/>
    </i>
    <i r="1">
      <x v="188"/>
    </i>
    <i r="1">
      <x v="197"/>
    </i>
    <i r="1">
      <x v="205"/>
    </i>
    <i r="1">
      <x v="216"/>
    </i>
    <i r="1">
      <x v="223"/>
    </i>
    <i r="1">
      <x v="224"/>
    </i>
    <i r="1">
      <x v="229"/>
    </i>
    <i r="1">
      <x v="234"/>
    </i>
    <i r="1">
      <x v="241"/>
    </i>
    <i r="1">
      <x v="256"/>
    </i>
    <i r="1">
      <x v="264"/>
    </i>
    <i r="1">
      <x v="276"/>
    </i>
    <i r="1">
      <x v="277"/>
    </i>
    <i r="1">
      <x v="281"/>
    </i>
    <i r="1">
      <x v="289"/>
    </i>
    <i r="1">
      <x v="293"/>
    </i>
    <i r="1">
      <x v="295"/>
    </i>
    <i r="1">
      <x v="301"/>
    </i>
    <i r="1">
      <x v="304"/>
    </i>
    <i r="1">
      <x v="305"/>
    </i>
    <i r="1">
      <x v="306"/>
    </i>
    <i r="1">
      <x v="319"/>
    </i>
    <i r="1">
      <x v="323"/>
    </i>
    <i r="1">
      <x v="325"/>
    </i>
    <i r="1">
      <x v="326"/>
    </i>
    <i r="1">
      <x v="327"/>
    </i>
    <i r="1">
      <x v="343"/>
    </i>
    <i r="1">
      <x v="345"/>
    </i>
    <i r="1">
      <x v="379"/>
    </i>
    <i r="1">
      <x v="381"/>
    </i>
    <i r="1">
      <x v="387"/>
    </i>
    <i r="1">
      <x v="389"/>
    </i>
    <i r="1">
      <x v="399"/>
    </i>
    <i r="1">
      <x v="401"/>
    </i>
    <i r="1">
      <x v="405"/>
    </i>
    <i r="1">
      <x v="408"/>
    </i>
    <i r="1">
      <x v="409"/>
    </i>
    <i r="1">
      <x v="413"/>
    </i>
    <i r="1">
      <x v="414"/>
    </i>
    <i r="1">
      <x v="418"/>
    </i>
    <i r="1">
      <x v="421"/>
    </i>
    <i r="1">
      <x v="423"/>
    </i>
    <i r="1">
      <x v="426"/>
    </i>
    <i r="1">
      <x v="428"/>
    </i>
    <i r="1">
      <x v="430"/>
    </i>
    <i r="1">
      <x v="437"/>
    </i>
    <i r="1">
      <x v="469"/>
    </i>
    <i r="1">
      <x v="473"/>
    </i>
    <i r="1">
      <x v="476"/>
    </i>
    <i r="1">
      <x v="493"/>
    </i>
    <i r="1">
      <x v="505"/>
    </i>
    <i r="1">
      <x v="523"/>
    </i>
    <i r="1">
      <x v="524"/>
    </i>
    <i r="1">
      <x v="531"/>
    </i>
    <i r="1">
      <x v="532"/>
    </i>
    <i r="1">
      <x v="533"/>
    </i>
    <i r="1">
      <x v="535"/>
    </i>
    <i r="1">
      <x v="538"/>
    </i>
    <i r="1">
      <x v="539"/>
    </i>
    <i r="1">
      <x v="542"/>
    </i>
    <i r="1">
      <x v="549"/>
    </i>
    <i r="1">
      <x v="554"/>
    </i>
    <i r="1">
      <x v="559"/>
    </i>
    <i r="1">
      <x v="570"/>
    </i>
    <i r="1">
      <x v="574"/>
    </i>
    <i r="1">
      <x v="575"/>
    </i>
    <i r="1">
      <x v="582"/>
    </i>
    <i r="1">
      <x v="596"/>
    </i>
    <i r="1">
      <x v="603"/>
    </i>
    <i r="1">
      <x v="605"/>
    </i>
    <i r="1">
      <x v="614"/>
    </i>
    <i r="1">
      <x v="623"/>
    </i>
    <i r="1">
      <x v="624"/>
    </i>
    <i r="1">
      <x v="625"/>
    </i>
    <i r="1">
      <x v="627"/>
    </i>
    <i r="1">
      <x v="645"/>
    </i>
    <i r="1">
      <x v="654"/>
    </i>
    <i r="1">
      <x v="659"/>
    </i>
    <i r="1">
      <x v="666"/>
    </i>
    <i r="1">
      <x v="672"/>
    </i>
    <i r="1">
      <x v="681"/>
    </i>
    <i r="1">
      <x v="685"/>
    </i>
    <i r="1">
      <x v="690"/>
    </i>
    <i r="1">
      <x v="696"/>
    </i>
    <i r="1">
      <x v="698"/>
    </i>
    <i r="1">
      <x v="704"/>
    </i>
    <i r="1">
      <x v="721"/>
    </i>
    <i r="1">
      <x v="728"/>
    </i>
    <i r="1">
      <x v="732"/>
    </i>
    <i r="1">
      <x v="734"/>
    </i>
    <i r="1">
      <x v="738"/>
    </i>
    <i r="1">
      <x v="751"/>
    </i>
    <i r="1">
      <x v="754"/>
    </i>
    <i r="1">
      <x v="782"/>
    </i>
    <i r="1">
      <x v="791"/>
    </i>
    <i r="1">
      <x v="792"/>
    </i>
    <i r="1">
      <x v="793"/>
    </i>
    <i r="1">
      <x v="796"/>
    </i>
    <i r="1">
      <x v="812"/>
    </i>
    <i r="1">
      <x v="816"/>
    </i>
    <i r="1">
      <x v="823"/>
    </i>
    <i r="1">
      <x v="833"/>
    </i>
    <i r="1">
      <x v="837"/>
    </i>
    <i r="1">
      <x v="847"/>
    </i>
    <i r="1">
      <x v="858"/>
    </i>
    <i r="1">
      <x v="862"/>
    </i>
    <i r="1">
      <x v="869"/>
    </i>
    <i r="1">
      <x v="872"/>
    </i>
    <i r="1">
      <x v="878"/>
    </i>
    <i r="1">
      <x v="884"/>
    </i>
    <i r="1">
      <x v="885"/>
    </i>
    <i r="1">
      <x v="891"/>
    </i>
    <i r="1">
      <x v="892"/>
    </i>
    <i r="1">
      <x v="901"/>
    </i>
    <i r="1">
      <x v="904"/>
    </i>
    <i r="1">
      <x v="913"/>
    </i>
    <i r="1">
      <x v="919"/>
    </i>
    <i r="1">
      <x v="930"/>
    </i>
    <i r="1">
      <x v="931"/>
    </i>
    <i r="1">
      <x v="941"/>
    </i>
    <i r="1">
      <x v="948"/>
    </i>
    <i r="1">
      <x v="949"/>
    </i>
    <i r="1">
      <x v="957"/>
    </i>
    <i r="1">
      <x v="958"/>
    </i>
    <i r="1">
      <x v="962"/>
    </i>
    <i r="1">
      <x v="969"/>
    </i>
    <i r="1">
      <x v="982"/>
    </i>
    <i r="1">
      <x v="988"/>
    </i>
    <i r="1">
      <x v="992"/>
    </i>
    <i r="1">
      <x v="999"/>
    </i>
    <i r="1">
      <x v="1000"/>
    </i>
    <i r="1">
      <x v="1001"/>
    </i>
    <i r="1">
      <x v="1011"/>
    </i>
    <i r="1">
      <x v="1021"/>
    </i>
    <i r="1">
      <x v="1025"/>
    </i>
    <i r="1">
      <x v="1031"/>
    </i>
    <i r="1">
      <x v="1033"/>
    </i>
    <i r="1">
      <x v="1034"/>
    </i>
    <i r="1">
      <x v="1042"/>
    </i>
    <i r="1">
      <x v="1047"/>
    </i>
    <i r="1">
      <x v="1070"/>
    </i>
    <i r="1">
      <x v="1079"/>
    </i>
    <i r="1">
      <x v="1083"/>
    </i>
    <i r="1">
      <x v="1089"/>
    </i>
    <i r="1">
      <x v="1101"/>
    </i>
    <i r="1">
      <x v="1103"/>
    </i>
    <i r="1">
      <x v="1106"/>
    </i>
    <i r="1">
      <x v="1108"/>
    </i>
    <i r="1">
      <x v="1118"/>
    </i>
    <i r="1">
      <x v="1126"/>
    </i>
    <i r="1">
      <x v="1147"/>
    </i>
    <i r="1">
      <x v="1153"/>
    </i>
    <i r="1">
      <x v="1154"/>
    </i>
    <i r="1">
      <x v="1164"/>
    </i>
    <i r="1">
      <x v="1179"/>
    </i>
    <i r="1">
      <x v="1184"/>
    </i>
    <i r="1">
      <x v="1188"/>
    </i>
    <i r="1">
      <x v="1190"/>
    </i>
    <i r="1">
      <x v="1194"/>
    </i>
    <i r="1">
      <x v="1196"/>
    </i>
    <i r="1">
      <x v="1198"/>
    </i>
    <i r="1">
      <x v="1199"/>
    </i>
    <i r="1">
      <x v="1205"/>
    </i>
    <i r="1">
      <x v="1207"/>
    </i>
    <i r="1">
      <x v="1211"/>
    </i>
    <i r="1">
      <x v="1217"/>
    </i>
    <i r="1">
      <x v="1225"/>
    </i>
    <i r="1">
      <x v="1235"/>
    </i>
    <i r="1">
      <x v="1237"/>
    </i>
    <i r="1">
      <x v="1248"/>
    </i>
    <i r="1">
      <x v="1254"/>
    </i>
    <i r="1">
      <x v="1260"/>
    </i>
    <i r="1">
      <x v="1263"/>
    </i>
    <i r="1">
      <x v="1269"/>
    </i>
    <i r="1">
      <x v="1271"/>
    </i>
    <i r="1">
      <x v="1275"/>
    </i>
    <i r="1">
      <x v="1279"/>
    </i>
    <i r="1">
      <x v="1280"/>
    </i>
    <i r="1">
      <x v="1287"/>
    </i>
    <i r="1">
      <x v="1293"/>
    </i>
    <i r="1">
      <x v="1300"/>
    </i>
    <i r="1">
      <x v="1306"/>
    </i>
    <i r="1">
      <x v="1321"/>
    </i>
    <i r="1">
      <x v="1325"/>
    </i>
    <i r="1">
      <x v="1326"/>
    </i>
    <i r="1">
      <x v="1330"/>
    </i>
    <i r="1">
      <x v="1331"/>
    </i>
    <i r="1">
      <x v="1334"/>
    </i>
    <i r="1">
      <x v="1336"/>
    </i>
    <i r="1">
      <x v="1341"/>
    </i>
    <i r="1">
      <x v="1361"/>
    </i>
    <i r="1">
      <x v="1363"/>
    </i>
    <i r="1">
      <x v="1377"/>
    </i>
    <i r="1">
      <x v="1378"/>
    </i>
    <i r="1">
      <x v="1379"/>
    </i>
    <i r="1">
      <x v="1380"/>
    </i>
    <i r="1">
      <x v="1381"/>
    </i>
    <i r="1">
      <x v="1393"/>
    </i>
    <i r="1">
      <x v="1407"/>
    </i>
    <i r="1">
      <x v="1409"/>
    </i>
    <i r="1">
      <x v="1410"/>
    </i>
    <i r="1">
      <x v="1416"/>
    </i>
    <i r="1">
      <x v="1419"/>
    </i>
    <i r="1">
      <x v="1420"/>
    </i>
    <i r="1">
      <x v="1429"/>
    </i>
    <i r="1">
      <x v="1459"/>
    </i>
    <i r="1">
      <x v="1460"/>
    </i>
    <i r="1">
      <x v="1461"/>
    </i>
    <i r="1">
      <x v="1462"/>
    </i>
    <i r="1">
      <x v="1464"/>
    </i>
    <i r="1">
      <x v="1468"/>
    </i>
    <i r="1">
      <x v="1469"/>
    </i>
    <i r="1">
      <x v="1472"/>
    </i>
    <i r="1">
      <x v="1476"/>
    </i>
    <i r="1">
      <x v="1481"/>
    </i>
    <i r="1">
      <x v="1486"/>
    </i>
    <i r="1">
      <x v="1490"/>
    </i>
    <i r="1">
      <x v="1509"/>
    </i>
    <i r="1">
      <x v="1510"/>
    </i>
    <i r="1">
      <x v="1517"/>
    </i>
    <i r="1">
      <x v="1518"/>
    </i>
    <i r="1">
      <x v="1519"/>
    </i>
    <i r="1">
      <x v="1520"/>
    </i>
    <i r="1">
      <x v="1524"/>
    </i>
    <i r="1">
      <x v="1527"/>
    </i>
    <i r="1">
      <x v="1530"/>
    </i>
    <i r="1">
      <x v="1538"/>
    </i>
    <i r="1">
      <x v="1543"/>
    </i>
    <i r="1">
      <x v="1555"/>
    </i>
    <i r="1">
      <x v="1558"/>
    </i>
    <i r="1">
      <x v="1559"/>
    </i>
    <i r="1">
      <x v="1592"/>
    </i>
    <i r="1">
      <x v="1593"/>
    </i>
    <i r="1">
      <x v="1601"/>
    </i>
    <i r="1">
      <x v="1612"/>
    </i>
    <i r="1">
      <x v="1622"/>
    </i>
    <i r="1">
      <x v="1626"/>
    </i>
    <i r="1">
      <x v="1631"/>
    </i>
    <i r="1">
      <x v="1632"/>
    </i>
    <i r="1">
      <x v="1639"/>
    </i>
    <i t="grand">
      <x/>
    </i>
  </rowItems>
  <colItems count="1">
    <i/>
  </colItems>
  <dataFields count="1">
    <dataField name="Sum of TotalPrice" fld="13" baseField="0" baseItem="0"/>
  </dataFields>
  <formats count="1">
    <format dxfId="1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77A388-6EB1-4750-8AAD-699C5D2E41D7}" name="Sum Of Review"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14">
    <pivotField showAll="0"/>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showAll="0"/>
    <pivotField showAll="0"/>
    <pivotField showAll="0"/>
    <pivotField showAll="0">
      <items count="4">
        <item x="1"/>
        <item x="2"/>
        <item x="0"/>
        <item t="default"/>
      </items>
    </pivotField>
    <pivotField showAll="0">
      <items count="6">
        <item x="0"/>
        <item x="1"/>
        <item x="4"/>
        <item x="2"/>
        <item x="3"/>
        <item t="default"/>
      </items>
    </pivotField>
    <pivotField dataField="1" showAll="0"/>
    <pivotField showAll="0"/>
  </pivotFields>
  <rowItems count="1">
    <i/>
  </rowItems>
  <colItems count="1">
    <i/>
  </colItems>
  <dataFields count="1">
    <dataField name="Sum of ReviewRating" fld="12"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7ECFA-C19F-4430-8434-641A6F15E82D}" name="TOTAL QUANTIT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4">
    <pivotField showAll="0"/>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dataField="1" showAll="0"/>
    <pivotField showAll="0"/>
    <pivotField showAll="0"/>
    <pivotField showAll="0">
      <items count="4">
        <item x="1"/>
        <item x="2"/>
        <item x="0"/>
        <item t="default"/>
      </items>
    </pivotField>
    <pivotField showAll="0">
      <items count="6">
        <item x="0"/>
        <item x="1"/>
        <item x="4"/>
        <item x="2"/>
        <item x="3"/>
        <item t="default"/>
      </items>
    </pivotField>
    <pivotField showAll="0"/>
    <pivotField showAll="0"/>
  </pivotFields>
  <rowItems count="1">
    <i/>
  </rowItems>
  <colItems count="1">
    <i/>
  </colItems>
  <dataFields count="1">
    <dataField name="Total Quantity" fld="7"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5610CA-0172-4A45-9F00-401448AFF79A}" name="Total Sal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4">
    <pivotField showAll="0"/>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showAll="0"/>
    <pivotField showAll="0"/>
    <pivotField showAll="0"/>
    <pivotField showAll="0">
      <items count="4">
        <item x="1"/>
        <item x="2"/>
        <item x="0"/>
        <item t="default"/>
      </items>
    </pivotField>
    <pivotField showAll="0">
      <items count="6">
        <item x="0"/>
        <item x="1"/>
        <item x="4"/>
        <item x="2"/>
        <item x="3"/>
        <item t="default"/>
      </items>
    </pivotField>
    <pivotField showAll="0"/>
    <pivotField dataField="1" showAll="0"/>
  </pivotFields>
  <rowItems count="1">
    <i/>
  </rowItems>
  <colItems count="1">
    <i/>
  </colItems>
  <dataFields count="1">
    <dataField name="Total Sale" fld="13" baseField="0"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0C99EA-4639-44BF-94E9-64AB0067A620}" name="Monthwise Sal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24" firstHeaderRow="1" firstDataRow="1" firstDataCol="1"/>
  <pivotFields count="14">
    <pivotField showAll="0"/>
    <pivotField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axis="axisRow" showAll="0">
      <items count="13">
        <item x="0"/>
        <item x="9"/>
        <item x="10"/>
        <item x="5"/>
        <item x="1"/>
        <item x="2"/>
        <item x="3"/>
        <item x="6"/>
        <item x="11"/>
        <item x="4"/>
        <item x="8"/>
        <item x="7"/>
        <item t="default"/>
      </items>
    </pivotField>
    <pivotField showAll="0">
      <items count="9">
        <item x="4"/>
        <item x="5"/>
        <item x="1"/>
        <item x="7"/>
        <item x="3"/>
        <item x="2"/>
        <item x="6"/>
        <item x="0"/>
        <item t="default"/>
      </items>
    </pivotField>
    <pivotField showAll="0"/>
    <pivotField showAll="0"/>
    <pivotField showAll="0">
      <items count="4">
        <item x="1"/>
        <item x="2"/>
        <item x="0"/>
        <item t="default"/>
      </items>
    </pivotField>
    <pivotField showAll="0">
      <items count="6">
        <item x="0"/>
        <item x="1"/>
        <item x="4"/>
        <item x="2"/>
        <item x="3"/>
        <item t="default"/>
      </items>
    </pivotField>
    <pivotField showAll="0"/>
    <pivotField dataField="1" showAll="0"/>
  </pivotFields>
  <rowFields count="1">
    <field x="6"/>
  </rowFields>
  <rowItems count="13">
    <i>
      <x/>
    </i>
    <i>
      <x v="1"/>
    </i>
    <i>
      <x v="2"/>
    </i>
    <i>
      <x v="3"/>
    </i>
    <i>
      <x v="4"/>
    </i>
    <i>
      <x v="5"/>
    </i>
    <i>
      <x v="6"/>
    </i>
    <i>
      <x v="7"/>
    </i>
    <i>
      <x v="8"/>
    </i>
    <i>
      <x v="9"/>
    </i>
    <i>
      <x v="10"/>
    </i>
    <i>
      <x v="11"/>
    </i>
    <i t="grand">
      <x/>
    </i>
  </rowItems>
  <colItems count="1">
    <i/>
  </colItems>
  <dataFields count="1">
    <dataField name="Grand Total Sale" fld="13" baseField="6" baseItem="0" numFmtId="165"/>
  </dataFields>
  <formats count="2">
    <format dxfId="19">
      <pivotArea outline="0" collapsedLevelsAreSubtotals="1" fieldPosition="0"/>
    </format>
    <format dxfId="18">
      <pivotArea collapsedLevelsAreSubtotals="1" fieldPosition="0">
        <references count="1">
          <reference field="6"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910D2C-67B7-42ED-8A25-A8FCF35EC2D5}" name="Productwise Quantit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1:H19" firstHeaderRow="1" firstDataRow="1" firstDataCol="1"/>
  <pivotFields count="14">
    <pivotField showAll="0"/>
    <pivotField axis="axisRow" showAll="0">
      <items count="8">
        <item x="2"/>
        <item x="4"/>
        <item x="0"/>
        <item x="5"/>
        <item x="3"/>
        <item x="1"/>
        <item x="6"/>
        <item t="default"/>
      </items>
    </pivotField>
    <pivotField numFmtId="14" showAll="0"/>
    <pivotField showAll="0"/>
    <pivotField showAll="0">
      <items count="5">
        <item x="0"/>
        <item x="1"/>
        <item x="2"/>
        <item x="3"/>
        <item t="default"/>
      </items>
    </pivotField>
    <pivotField showAll="0"/>
    <pivotField showAll="0"/>
    <pivotField dataField="1" showAll="0"/>
    <pivotField showAll="0"/>
    <pivotField showAll="0"/>
    <pivotField showAll="0">
      <items count="4">
        <item x="1"/>
        <item x="2"/>
        <item x="0"/>
        <item t="default"/>
      </items>
    </pivotField>
    <pivotField showAll="0">
      <items count="6">
        <item x="0"/>
        <item x="1"/>
        <item x="4"/>
        <item x="2"/>
        <item x="3"/>
        <item t="default"/>
      </items>
    </pivotField>
    <pivotField showAll="0"/>
    <pivotField showAll="0"/>
  </pivotFields>
  <rowFields count="1">
    <field x="1"/>
  </rowFields>
  <rowItems count="8">
    <i>
      <x/>
    </i>
    <i>
      <x v="1"/>
    </i>
    <i>
      <x v="2"/>
    </i>
    <i>
      <x v="3"/>
    </i>
    <i>
      <x v="4"/>
    </i>
    <i>
      <x v="5"/>
    </i>
    <i>
      <x v="6"/>
    </i>
    <i t="grand">
      <x/>
    </i>
  </rowItems>
  <colItems count="1">
    <i/>
  </colItems>
  <dataFields count="1">
    <dataField name="Total Quantity" fld="7" baseField="0" baseItem="0" numFmtId="2"/>
  </dataFields>
  <formats count="1">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F69C4446-79DB-49E1-AFB2-E9B11423665B}" sourceName="ProductCategory">
  <pivotTables>
    <pivotTable tabId="3" name="Payment Method"/>
    <pivotTable tabId="3" name="Count of Cust Id"/>
    <pivotTable tabId="3" name="Monthwise Sale"/>
    <pivotTable tabId="3" name="Productwise Quantity"/>
    <pivotTable tabId="3" name="Sum Of Review"/>
    <pivotTable tabId="3" name="TOTAL QUANTITY"/>
    <pivotTable tabId="3" name="Total Sale"/>
  </pivotTables>
  <data>
    <tabular pivotCacheId="9708654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CE495881-D5C0-4C59-AEA0-0494FF3C532E}" sourceName="PaymentMethod">
  <pivotTables>
    <pivotTable tabId="3" name="Catagorywise Sale"/>
    <pivotTable tabId="3" name="Count of Cust Id"/>
    <pivotTable tabId="3" name="Monthwise Sale"/>
    <pivotTable tabId="3" name="Productwise Quantity"/>
    <pivotTable tabId="3" name="Sum Of Review"/>
    <pivotTable tabId="3" name="TOTAL QUANTITY"/>
    <pivotTable tabId="3" name="Total Sale"/>
  </pivotTables>
  <data>
    <tabular pivotCacheId="970865484">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79E8F77-86BB-491D-9D6C-62921754234B}" sourceName="Quarter">
  <pivotTables>
    <pivotTable tabId="3" name="Monthwise Sale"/>
    <pivotTable tabId="3" name="Catagorywise Sale"/>
    <pivotTable tabId="3" name="Count of Cust Id"/>
    <pivotTable tabId="3" name="Payment Method"/>
    <pivotTable tabId="3" name="Productwise Quantity"/>
    <pivotTable tabId="3" name="Sum Of Review"/>
    <pivotTable tabId="3" name="TOTAL QUANTITY"/>
    <pivotTable tabId="3" name="Total Sale"/>
  </pivotTables>
  <data>
    <tabular pivotCacheId="97086548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B58A281A-A4C9-422F-893A-E8B88483036F}" cache="Slicer_ProductCategory" caption="ProductCategory" rowHeight="247650"/>
  <slicer name="PaymentMethod" xr10:uid="{592A2002-1C40-4265-9B1F-2A6855606A8A}" cache="Slicer_PaymentMethod" caption="PaymentMethod" style="SlicerStyleDark4" rowHeight="247650"/>
  <slicer name="Quarter" xr10:uid="{CBEC2857-C42A-4117-AE05-E08E6E6226EE}"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8C087E-C4BF-4CC0-9DC0-1287D0885000}" name="Table1" displayName="Table1" ref="A1:N1801" totalsRowShown="0">
  <autoFilter ref="A1:N1801" xr:uid="{A78C087E-C4BF-4CC0-9DC0-1287D0885000}"/>
  <tableColumns count="14">
    <tableColumn id="1" xr3:uid="{7202F52E-8D25-4C50-8BB3-17132B80AC84}" name="CustomerID"/>
    <tableColumn id="2" xr3:uid="{EE347A2E-5F08-4FFD-A9C5-076146BEA605}" name="Product"/>
    <tableColumn id="3" xr3:uid="{4994B6CE-4608-4DCF-813C-F8DBBF53CB8B}" name="PurchaseDate" dataDxfId="25"/>
    <tableColumn id="13" xr3:uid="{C075F5F6-3889-4539-9D62-214362885278}" name="Year" dataDxfId="24">
      <calculatedColumnFormula>YEAR(Table1[[#This Row],[PurchaseDate]])</calculatedColumnFormula>
    </tableColumn>
    <tableColumn id="21" xr3:uid="{FB053C5A-37C9-472E-B02A-90AD52C9CF4C}" name="Quarter" dataDxfId="23">
      <calculatedColumnFormula>"Q"&amp;ROUNDUP(MONTH(Table1[[#This Row],[PurchaseDate]])/3,0)</calculatedColumnFormula>
    </tableColumn>
    <tableColumn id="15" xr3:uid="{F757503E-6737-407C-A914-486A19E805DB}" name="Month No" dataDxfId="22">
      <calculatedColumnFormula>MONTH(Table1[[#This Row],[PurchaseDate]])</calculatedColumnFormula>
    </tableColumn>
    <tableColumn id="18" xr3:uid="{269DDEEB-D88B-41C3-BDFF-7717FEB59ACB}" name="Month" dataDxfId="21">
      <calculatedColumnFormula>TEXT(Table1[[#This Row],[PurchaseDate]],"MMM")</calculatedColumnFormula>
    </tableColumn>
    <tableColumn id="4" xr3:uid="{99B2807F-B030-488A-8CB8-F78CF64EBEF7}" name="Quantity"/>
    <tableColumn id="5" xr3:uid="{24F1CE0F-FACB-43ED-9646-EA41A72E9AC8}" name="UnitPrice"/>
    <tableColumn id="6" xr3:uid="{4D631AE3-9C94-479F-8FBF-452752DF7C19}" name="CustomerName"/>
    <tableColumn id="7" xr3:uid="{675A4B94-438C-4714-AA1F-E3E047EE3B27}" name="ProductCategory"/>
    <tableColumn id="8" xr3:uid="{AB45FF47-BFC0-434E-B737-A92973DAF16B}" name="PaymentMethod"/>
    <tableColumn id="9" xr3:uid="{FB1B47F7-ECF1-4290-9E8F-E249EC00C51A}" name="ReviewRating"/>
    <tableColumn id="10" xr3:uid="{E12B1AB4-2574-4DDD-9895-26D6D12D364A}" name="Total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8A04B-9774-4FA8-B2B4-F1E7EFC77A36}">
  <sheetPr>
    <tabColor rgb="FFFF0000"/>
  </sheetPr>
  <dimension ref="A1:N1801"/>
  <sheetViews>
    <sheetView workbookViewId="0"/>
  </sheetViews>
  <sheetFormatPr defaultRowHeight="14.4" x14ac:dyDescent="0.3"/>
  <cols>
    <col min="1" max="1" width="12.77734375" customWidth="1"/>
    <col min="2" max="2" width="9.44140625" customWidth="1"/>
    <col min="3" max="3" width="14.44140625" customWidth="1"/>
    <col min="4" max="7" width="14.44140625" style="2" customWidth="1"/>
    <col min="8" max="8" width="10" customWidth="1"/>
    <col min="9" max="9" width="10.6640625" customWidth="1"/>
    <col min="10" max="10" width="16" customWidth="1"/>
    <col min="11" max="11" width="16.77734375" customWidth="1"/>
    <col min="12" max="12" width="16.44140625" customWidth="1"/>
    <col min="13" max="13" width="14" customWidth="1"/>
    <col min="14" max="14" width="11.33203125" customWidth="1"/>
  </cols>
  <sheetData>
    <row r="1" spans="1:14" x14ac:dyDescent="0.3">
      <c r="A1" t="s">
        <v>0</v>
      </c>
      <c r="B1" t="s">
        <v>1</v>
      </c>
      <c r="C1" t="s">
        <v>2</v>
      </c>
      <c r="D1" s="2" t="s">
        <v>3309</v>
      </c>
      <c r="E1" s="2" t="s">
        <v>3312</v>
      </c>
      <c r="F1" s="2" t="s">
        <v>3310</v>
      </c>
      <c r="G1" s="2" t="s">
        <v>3311</v>
      </c>
      <c r="H1" t="s">
        <v>3</v>
      </c>
      <c r="I1" t="s">
        <v>4</v>
      </c>
      <c r="J1" t="s">
        <v>5</v>
      </c>
      <c r="K1" t="s">
        <v>6</v>
      </c>
      <c r="L1" t="s">
        <v>7</v>
      </c>
      <c r="M1" t="s">
        <v>8</v>
      </c>
      <c r="N1" t="s">
        <v>9</v>
      </c>
    </row>
    <row r="2" spans="1:14" x14ac:dyDescent="0.3">
      <c r="A2" t="s">
        <v>10</v>
      </c>
      <c r="B2" t="s">
        <v>11</v>
      </c>
      <c r="C2" s="1">
        <v>45356</v>
      </c>
      <c r="D2" s="2">
        <f>YEAR(Table1[[#This Row],[PurchaseDate]])</f>
        <v>2024</v>
      </c>
      <c r="E2" s="2" t="str">
        <f>"Q"&amp;ROUNDUP(MONTH(Table1[[#This Row],[PurchaseDate]])/3,0)</f>
        <v>Q1</v>
      </c>
      <c r="F2" s="2">
        <f>MONTH(Table1[[#This Row],[PurchaseDate]])</f>
        <v>3</v>
      </c>
      <c r="G2" s="2" t="str">
        <f>TEXT(Table1[[#This Row],[PurchaseDate]],"MMM")</f>
        <v>Mar</v>
      </c>
      <c r="H2">
        <v>8</v>
      </c>
      <c r="I2">
        <v>618.83000000000004</v>
      </c>
      <c r="J2" t="s">
        <v>12</v>
      </c>
      <c r="K2" t="s">
        <v>13</v>
      </c>
      <c r="L2" t="s">
        <v>14</v>
      </c>
      <c r="M2">
        <v>1</v>
      </c>
      <c r="N2">
        <v>4950.6400000000003</v>
      </c>
    </row>
    <row r="3" spans="1:14" x14ac:dyDescent="0.3">
      <c r="A3" t="s">
        <v>15</v>
      </c>
      <c r="B3" t="s">
        <v>16</v>
      </c>
      <c r="C3" s="1">
        <v>45829</v>
      </c>
      <c r="D3" s="2">
        <f>YEAR(Table1[[#This Row],[PurchaseDate]])</f>
        <v>2025</v>
      </c>
      <c r="E3" s="2" t="str">
        <f>"Q"&amp;ROUNDUP(MONTH(Table1[[#This Row],[PurchaseDate]])/3,0)</f>
        <v>Q2</v>
      </c>
      <c r="F3" s="2">
        <f>MONTH(Table1[[#This Row],[PurchaseDate]])</f>
        <v>6</v>
      </c>
      <c r="G3" s="2" t="str">
        <f>TEXT(Table1[[#This Row],[PurchaseDate]],"MMM")</f>
        <v>Jun</v>
      </c>
      <c r="H3">
        <v>7</v>
      </c>
      <c r="I3">
        <v>366.22</v>
      </c>
      <c r="J3" t="s">
        <v>17</v>
      </c>
      <c r="K3" t="s">
        <v>18</v>
      </c>
      <c r="L3" t="s">
        <v>19</v>
      </c>
      <c r="M3">
        <v>3</v>
      </c>
      <c r="N3">
        <v>2563.54</v>
      </c>
    </row>
    <row r="4" spans="1:14" x14ac:dyDescent="0.3">
      <c r="A4" t="s">
        <v>20</v>
      </c>
      <c r="B4" t="s">
        <v>21</v>
      </c>
      <c r="C4" s="1">
        <v>45102</v>
      </c>
      <c r="D4" s="2">
        <f>YEAR(Table1[[#This Row],[PurchaseDate]])</f>
        <v>2023</v>
      </c>
      <c r="E4" s="2" t="str">
        <f>"Q"&amp;ROUNDUP(MONTH(Table1[[#This Row],[PurchaseDate]])/3,0)</f>
        <v>Q2</v>
      </c>
      <c r="F4" s="2">
        <f>MONTH(Table1[[#This Row],[PurchaseDate]])</f>
        <v>6</v>
      </c>
      <c r="G4" s="2" t="str">
        <f>TEXT(Table1[[#This Row],[PurchaseDate]],"MMM")</f>
        <v>Jun</v>
      </c>
      <c r="H4">
        <v>5</v>
      </c>
      <c r="I4">
        <v>634.51</v>
      </c>
      <c r="J4" t="s">
        <v>22</v>
      </c>
      <c r="K4" t="s">
        <v>13</v>
      </c>
      <c r="L4" t="s">
        <v>23</v>
      </c>
      <c r="M4">
        <v>4</v>
      </c>
      <c r="N4">
        <v>3172.55</v>
      </c>
    </row>
    <row r="5" spans="1:14" x14ac:dyDescent="0.3">
      <c r="A5" t="s">
        <v>24</v>
      </c>
      <c r="B5" t="s">
        <v>25</v>
      </c>
      <c r="C5" s="1">
        <v>45199</v>
      </c>
      <c r="D5" s="2">
        <f>YEAR(Table1[[#This Row],[PurchaseDate]])</f>
        <v>2023</v>
      </c>
      <c r="E5" s="2" t="str">
        <f>"Q"&amp;ROUNDUP(MONTH(Table1[[#This Row],[PurchaseDate]])/3,0)</f>
        <v>Q3</v>
      </c>
      <c r="F5" s="2">
        <f>MONTH(Table1[[#This Row],[PurchaseDate]])</f>
        <v>9</v>
      </c>
      <c r="G5" s="2" t="str">
        <f>TEXT(Table1[[#This Row],[PurchaseDate]],"MMM")</f>
        <v>Sep</v>
      </c>
      <c r="H5">
        <v>3</v>
      </c>
      <c r="I5">
        <v>508.63</v>
      </c>
      <c r="J5" t="s">
        <v>26</v>
      </c>
      <c r="K5" t="s">
        <v>13</v>
      </c>
      <c r="L5" t="s">
        <v>27</v>
      </c>
      <c r="M5">
        <v>1</v>
      </c>
      <c r="N5">
        <v>1525.89</v>
      </c>
    </row>
    <row r="6" spans="1:14" x14ac:dyDescent="0.3">
      <c r="A6" t="s">
        <v>28</v>
      </c>
      <c r="B6" t="s">
        <v>29</v>
      </c>
      <c r="C6" s="1">
        <v>45019</v>
      </c>
      <c r="D6" s="2">
        <f>YEAR(Table1[[#This Row],[PurchaseDate]])</f>
        <v>2023</v>
      </c>
      <c r="E6" s="2" t="str">
        <f>"Q"&amp;ROUNDUP(MONTH(Table1[[#This Row],[PurchaseDate]])/3,0)</f>
        <v>Q2</v>
      </c>
      <c r="F6" s="2">
        <f>MONTH(Table1[[#This Row],[PurchaseDate]])</f>
        <v>4</v>
      </c>
      <c r="G6" s="2" t="str">
        <f>TEXT(Table1[[#This Row],[PurchaseDate]],"MMM")</f>
        <v>Apr</v>
      </c>
      <c r="H6">
        <v>4</v>
      </c>
      <c r="I6">
        <v>452.06</v>
      </c>
      <c r="J6" t="s">
        <v>30</v>
      </c>
      <c r="K6" t="s">
        <v>18</v>
      </c>
      <c r="L6" t="s">
        <v>23</v>
      </c>
      <c r="M6">
        <v>2</v>
      </c>
      <c r="N6">
        <v>1808.24</v>
      </c>
    </row>
    <row r="7" spans="1:14" x14ac:dyDescent="0.3">
      <c r="A7" t="s">
        <v>31</v>
      </c>
      <c r="B7" t="s">
        <v>21</v>
      </c>
      <c r="C7" s="1">
        <v>45027</v>
      </c>
      <c r="D7" s="2">
        <f>YEAR(Table1[[#This Row],[PurchaseDate]])</f>
        <v>2023</v>
      </c>
      <c r="E7" s="2" t="str">
        <f>"Q"&amp;ROUNDUP(MONTH(Table1[[#This Row],[PurchaseDate]])/3,0)</f>
        <v>Q2</v>
      </c>
      <c r="F7" s="2">
        <f>MONTH(Table1[[#This Row],[PurchaseDate]])</f>
        <v>4</v>
      </c>
      <c r="G7" s="2" t="str">
        <f>TEXT(Table1[[#This Row],[PurchaseDate]],"MMM")</f>
        <v>Apr</v>
      </c>
      <c r="H7">
        <v>3</v>
      </c>
      <c r="I7">
        <v>209.79</v>
      </c>
      <c r="J7" t="s">
        <v>32</v>
      </c>
      <c r="K7" t="s">
        <v>13</v>
      </c>
      <c r="L7" t="s">
        <v>27</v>
      </c>
      <c r="M7">
        <v>1</v>
      </c>
      <c r="N7">
        <v>629.37</v>
      </c>
    </row>
    <row r="8" spans="1:14" x14ac:dyDescent="0.3">
      <c r="A8" t="s">
        <v>33</v>
      </c>
      <c r="B8" t="s">
        <v>34</v>
      </c>
      <c r="C8" s="1">
        <v>45462</v>
      </c>
      <c r="D8" s="2">
        <f>YEAR(Table1[[#This Row],[PurchaseDate]])</f>
        <v>2024</v>
      </c>
      <c r="E8" s="2" t="str">
        <f>"Q"&amp;ROUNDUP(MONTH(Table1[[#This Row],[PurchaseDate]])/3,0)</f>
        <v>Q2</v>
      </c>
      <c r="F8" s="2">
        <f>MONTH(Table1[[#This Row],[PurchaseDate]])</f>
        <v>6</v>
      </c>
      <c r="G8" s="2" t="str">
        <f>TEXT(Table1[[#This Row],[PurchaseDate]],"MMM")</f>
        <v>Jun</v>
      </c>
      <c r="H8">
        <v>3</v>
      </c>
      <c r="I8">
        <v>88.74</v>
      </c>
      <c r="J8" t="s">
        <v>35</v>
      </c>
      <c r="K8" t="s">
        <v>13</v>
      </c>
      <c r="L8" t="s">
        <v>19</v>
      </c>
      <c r="M8">
        <v>3</v>
      </c>
      <c r="N8">
        <v>266.22000000000003</v>
      </c>
    </row>
    <row r="9" spans="1:14" x14ac:dyDescent="0.3">
      <c r="A9" t="s">
        <v>36</v>
      </c>
      <c r="B9" t="s">
        <v>21</v>
      </c>
      <c r="C9" s="1">
        <v>45154</v>
      </c>
      <c r="D9" s="2">
        <f>YEAR(Table1[[#This Row],[PurchaseDate]])</f>
        <v>2023</v>
      </c>
      <c r="E9" s="2" t="str">
        <f>"Q"&amp;ROUNDUP(MONTH(Table1[[#This Row],[PurchaseDate]])/3,0)</f>
        <v>Q3</v>
      </c>
      <c r="F9" s="2">
        <f>MONTH(Table1[[#This Row],[PurchaseDate]])</f>
        <v>8</v>
      </c>
      <c r="G9" s="2" t="str">
        <f>TEXT(Table1[[#This Row],[PurchaseDate]],"MMM")</f>
        <v>Aug</v>
      </c>
      <c r="H9">
        <v>8</v>
      </c>
      <c r="I9">
        <v>273.92</v>
      </c>
      <c r="J9" t="s">
        <v>37</v>
      </c>
      <c r="K9" t="s">
        <v>38</v>
      </c>
      <c r="L9" t="s">
        <v>23</v>
      </c>
      <c r="M9">
        <v>2</v>
      </c>
      <c r="N9">
        <v>2191.36</v>
      </c>
    </row>
    <row r="10" spans="1:14" x14ac:dyDescent="0.3">
      <c r="A10" t="s">
        <v>39</v>
      </c>
      <c r="B10" t="s">
        <v>29</v>
      </c>
      <c r="C10" s="1">
        <v>44968</v>
      </c>
      <c r="D10" s="2">
        <f>YEAR(Table1[[#This Row],[PurchaseDate]])</f>
        <v>2023</v>
      </c>
      <c r="E10" s="2" t="str">
        <f>"Q"&amp;ROUNDUP(MONTH(Table1[[#This Row],[PurchaseDate]])/3,0)</f>
        <v>Q1</v>
      </c>
      <c r="F10" s="2">
        <f>MONTH(Table1[[#This Row],[PurchaseDate]])</f>
        <v>2</v>
      </c>
      <c r="G10" s="2" t="str">
        <f>TEXT(Table1[[#This Row],[PurchaseDate]],"MMM")</f>
        <v>Feb</v>
      </c>
      <c r="H10">
        <v>6</v>
      </c>
      <c r="I10">
        <v>718.79</v>
      </c>
      <c r="J10" t="s">
        <v>40</v>
      </c>
      <c r="K10" t="s">
        <v>18</v>
      </c>
      <c r="L10" t="s">
        <v>27</v>
      </c>
      <c r="M10">
        <v>3</v>
      </c>
      <c r="N10">
        <v>4312.74</v>
      </c>
    </row>
    <row r="11" spans="1:14" x14ac:dyDescent="0.3">
      <c r="A11" t="s">
        <v>41</v>
      </c>
      <c r="B11" t="s">
        <v>42</v>
      </c>
      <c r="C11" s="1">
        <v>45822</v>
      </c>
      <c r="D11" s="2">
        <f>YEAR(Table1[[#This Row],[PurchaseDate]])</f>
        <v>2025</v>
      </c>
      <c r="E11" s="2" t="str">
        <f>"Q"&amp;ROUNDUP(MONTH(Table1[[#This Row],[PurchaseDate]])/3,0)</f>
        <v>Q2</v>
      </c>
      <c r="F11" s="2">
        <f>MONTH(Table1[[#This Row],[PurchaseDate]])</f>
        <v>6</v>
      </c>
      <c r="G11" s="2" t="str">
        <f>TEXT(Table1[[#This Row],[PurchaseDate]],"MMM")</f>
        <v>Jun</v>
      </c>
      <c r="H11">
        <v>7</v>
      </c>
      <c r="I11">
        <v>100.37</v>
      </c>
      <c r="J11" t="s">
        <v>43</v>
      </c>
      <c r="K11" t="s">
        <v>13</v>
      </c>
      <c r="L11" t="s">
        <v>19</v>
      </c>
      <c r="M11">
        <v>4</v>
      </c>
      <c r="N11">
        <v>702.59</v>
      </c>
    </row>
    <row r="12" spans="1:14" x14ac:dyDescent="0.3">
      <c r="A12" t="s">
        <v>44</v>
      </c>
      <c r="B12" t="s">
        <v>34</v>
      </c>
      <c r="C12" s="1">
        <v>45193</v>
      </c>
      <c r="D12" s="2">
        <f>YEAR(Table1[[#This Row],[PurchaseDate]])</f>
        <v>2023</v>
      </c>
      <c r="E12" s="2" t="str">
        <f>"Q"&amp;ROUNDUP(MONTH(Table1[[#This Row],[PurchaseDate]])/3,0)</f>
        <v>Q3</v>
      </c>
      <c r="F12" s="2">
        <f>MONTH(Table1[[#This Row],[PurchaseDate]])</f>
        <v>9</v>
      </c>
      <c r="G12" s="2" t="str">
        <f>TEXT(Table1[[#This Row],[PurchaseDate]],"MMM")</f>
        <v>Sep</v>
      </c>
      <c r="H12">
        <v>2</v>
      </c>
      <c r="I12">
        <v>453.05</v>
      </c>
      <c r="J12" t="s">
        <v>45</v>
      </c>
      <c r="K12" t="s">
        <v>18</v>
      </c>
      <c r="L12" t="s">
        <v>23</v>
      </c>
      <c r="M12">
        <v>4</v>
      </c>
      <c r="N12">
        <v>906.1</v>
      </c>
    </row>
    <row r="13" spans="1:14" x14ac:dyDescent="0.3">
      <c r="A13" t="s">
        <v>46</v>
      </c>
      <c r="B13" t="s">
        <v>34</v>
      </c>
      <c r="C13" s="1">
        <v>45772</v>
      </c>
      <c r="D13" s="2">
        <f>YEAR(Table1[[#This Row],[PurchaseDate]])</f>
        <v>2025</v>
      </c>
      <c r="E13" s="2" t="str">
        <f>"Q"&amp;ROUNDUP(MONTH(Table1[[#This Row],[PurchaseDate]])/3,0)</f>
        <v>Q2</v>
      </c>
      <c r="F13" s="2">
        <f>MONTH(Table1[[#This Row],[PurchaseDate]])</f>
        <v>4</v>
      </c>
      <c r="G13" s="2" t="str">
        <f>TEXT(Table1[[#This Row],[PurchaseDate]],"MMM")</f>
        <v>Apr</v>
      </c>
      <c r="H13">
        <v>7</v>
      </c>
      <c r="I13">
        <v>528.22</v>
      </c>
      <c r="J13" t="s">
        <v>47</v>
      </c>
      <c r="K13" t="s">
        <v>38</v>
      </c>
      <c r="L13" t="s">
        <v>19</v>
      </c>
      <c r="M13">
        <v>4</v>
      </c>
      <c r="N13">
        <v>3697.54</v>
      </c>
    </row>
    <row r="14" spans="1:14" x14ac:dyDescent="0.3">
      <c r="A14" t="s">
        <v>48</v>
      </c>
      <c r="B14" t="s">
        <v>16</v>
      </c>
      <c r="C14" s="1">
        <v>45563</v>
      </c>
      <c r="D14" s="2">
        <f>YEAR(Table1[[#This Row],[PurchaseDate]])</f>
        <v>2024</v>
      </c>
      <c r="E14" s="2" t="str">
        <f>"Q"&amp;ROUNDUP(MONTH(Table1[[#This Row],[PurchaseDate]])/3,0)</f>
        <v>Q3</v>
      </c>
      <c r="F14" s="2">
        <f>MONTH(Table1[[#This Row],[PurchaseDate]])</f>
        <v>9</v>
      </c>
      <c r="G14" s="2" t="str">
        <f>TEXT(Table1[[#This Row],[PurchaseDate]],"MMM")</f>
        <v>Sep</v>
      </c>
      <c r="H14">
        <v>1</v>
      </c>
      <c r="I14">
        <v>539.66999999999996</v>
      </c>
      <c r="J14" t="s">
        <v>49</v>
      </c>
      <c r="K14" t="s">
        <v>38</v>
      </c>
      <c r="L14" t="s">
        <v>14</v>
      </c>
      <c r="M14">
        <v>3</v>
      </c>
      <c r="N14">
        <v>539.66999999999996</v>
      </c>
    </row>
    <row r="15" spans="1:14" x14ac:dyDescent="0.3">
      <c r="A15" t="s">
        <v>50</v>
      </c>
      <c r="B15" t="s">
        <v>11</v>
      </c>
      <c r="C15" s="1">
        <v>45683</v>
      </c>
      <c r="D15" s="2">
        <f>YEAR(Table1[[#This Row],[PurchaseDate]])</f>
        <v>2025</v>
      </c>
      <c r="E15" s="2" t="str">
        <f>"Q"&amp;ROUNDUP(MONTH(Table1[[#This Row],[PurchaseDate]])/3,0)</f>
        <v>Q1</v>
      </c>
      <c r="F15" s="2">
        <f>MONTH(Table1[[#This Row],[PurchaseDate]])</f>
        <v>1</v>
      </c>
      <c r="G15" s="2" t="str">
        <f>TEXT(Table1[[#This Row],[PurchaseDate]],"MMM")</f>
        <v>Jan</v>
      </c>
      <c r="H15">
        <v>2</v>
      </c>
      <c r="I15">
        <v>797.46</v>
      </c>
      <c r="J15" t="s">
        <v>51</v>
      </c>
      <c r="K15" t="s">
        <v>18</v>
      </c>
      <c r="L15" t="s">
        <v>23</v>
      </c>
      <c r="M15">
        <v>3</v>
      </c>
      <c r="N15">
        <v>1594.92</v>
      </c>
    </row>
    <row r="16" spans="1:14" x14ac:dyDescent="0.3">
      <c r="A16" t="s">
        <v>52</v>
      </c>
      <c r="B16" t="s">
        <v>11</v>
      </c>
      <c r="C16" s="1">
        <v>45246</v>
      </c>
      <c r="D16" s="2">
        <f>YEAR(Table1[[#This Row],[PurchaseDate]])</f>
        <v>2023</v>
      </c>
      <c r="E16" s="2" t="str">
        <f>"Q"&amp;ROUNDUP(MONTH(Table1[[#This Row],[PurchaseDate]])/3,0)</f>
        <v>Q4</v>
      </c>
      <c r="F16" s="2">
        <f>MONTH(Table1[[#This Row],[PurchaseDate]])</f>
        <v>11</v>
      </c>
      <c r="G16" s="2" t="str">
        <f>TEXT(Table1[[#This Row],[PurchaseDate]],"MMM")</f>
        <v>Nov</v>
      </c>
      <c r="H16">
        <v>8</v>
      </c>
      <c r="I16">
        <v>283.94</v>
      </c>
      <c r="J16" t="s">
        <v>53</v>
      </c>
      <c r="K16" t="s">
        <v>18</v>
      </c>
      <c r="L16" t="s">
        <v>14</v>
      </c>
      <c r="M16">
        <v>1</v>
      </c>
      <c r="N16">
        <v>2271.52</v>
      </c>
    </row>
    <row r="17" spans="1:14" x14ac:dyDescent="0.3">
      <c r="A17" t="s">
        <v>54</v>
      </c>
      <c r="B17" t="s">
        <v>16</v>
      </c>
      <c r="C17" s="1">
        <v>45616</v>
      </c>
      <c r="D17" s="2">
        <f>YEAR(Table1[[#This Row],[PurchaseDate]])</f>
        <v>2024</v>
      </c>
      <c r="E17" s="2" t="str">
        <f>"Q"&amp;ROUNDUP(MONTH(Table1[[#This Row],[PurchaseDate]])/3,0)</f>
        <v>Q4</v>
      </c>
      <c r="F17" s="2">
        <f>MONTH(Table1[[#This Row],[PurchaseDate]])</f>
        <v>11</v>
      </c>
      <c r="G17" s="2" t="str">
        <f>TEXT(Table1[[#This Row],[PurchaseDate]],"MMM")</f>
        <v>Nov</v>
      </c>
      <c r="H17">
        <v>8</v>
      </c>
      <c r="I17">
        <v>569.55999999999995</v>
      </c>
      <c r="J17" t="s">
        <v>55</v>
      </c>
      <c r="K17" t="s">
        <v>18</v>
      </c>
      <c r="L17" t="s">
        <v>19</v>
      </c>
      <c r="M17">
        <v>5</v>
      </c>
      <c r="N17">
        <v>4556.4799999999996</v>
      </c>
    </row>
    <row r="18" spans="1:14" x14ac:dyDescent="0.3">
      <c r="A18" t="s">
        <v>56</v>
      </c>
      <c r="B18" t="s">
        <v>11</v>
      </c>
      <c r="C18" s="1">
        <v>45175</v>
      </c>
      <c r="D18" s="2">
        <f>YEAR(Table1[[#This Row],[PurchaseDate]])</f>
        <v>2023</v>
      </c>
      <c r="E18" s="2" t="str">
        <f>"Q"&amp;ROUNDUP(MONTH(Table1[[#This Row],[PurchaseDate]])/3,0)</f>
        <v>Q3</v>
      </c>
      <c r="F18" s="2">
        <f>MONTH(Table1[[#This Row],[PurchaseDate]])</f>
        <v>9</v>
      </c>
      <c r="G18" s="2" t="str">
        <f>TEXT(Table1[[#This Row],[PurchaseDate]],"MMM")</f>
        <v>Sep</v>
      </c>
      <c r="H18">
        <v>5</v>
      </c>
      <c r="I18">
        <v>467.51</v>
      </c>
      <c r="J18" t="s">
        <v>57</v>
      </c>
      <c r="K18" t="s">
        <v>38</v>
      </c>
      <c r="L18" t="s">
        <v>58</v>
      </c>
      <c r="M18">
        <v>2</v>
      </c>
      <c r="N18">
        <v>2337.5500000000002</v>
      </c>
    </row>
    <row r="19" spans="1:14" x14ac:dyDescent="0.3">
      <c r="A19" t="s">
        <v>59</v>
      </c>
      <c r="B19" t="s">
        <v>29</v>
      </c>
      <c r="C19" s="1">
        <v>45627</v>
      </c>
      <c r="D19" s="2">
        <f>YEAR(Table1[[#This Row],[PurchaseDate]])</f>
        <v>2024</v>
      </c>
      <c r="E19" s="2" t="str">
        <f>"Q"&amp;ROUNDUP(MONTH(Table1[[#This Row],[PurchaseDate]])/3,0)</f>
        <v>Q4</v>
      </c>
      <c r="F19" s="2">
        <f>MONTH(Table1[[#This Row],[PurchaseDate]])</f>
        <v>12</v>
      </c>
      <c r="G19" s="2" t="str">
        <f>TEXT(Table1[[#This Row],[PurchaseDate]],"MMM")</f>
        <v>Dec</v>
      </c>
      <c r="H19">
        <v>5</v>
      </c>
      <c r="I19">
        <v>600.51</v>
      </c>
      <c r="J19" t="s">
        <v>60</v>
      </c>
      <c r="K19" t="s">
        <v>18</v>
      </c>
      <c r="L19" t="s">
        <v>19</v>
      </c>
      <c r="M19">
        <v>4</v>
      </c>
      <c r="N19">
        <v>3002.55</v>
      </c>
    </row>
    <row r="20" spans="1:14" x14ac:dyDescent="0.3">
      <c r="A20" t="s">
        <v>61</v>
      </c>
      <c r="B20" t="s">
        <v>42</v>
      </c>
      <c r="C20" s="1">
        <v>45577</v>
      </c>
      <c r="D20" s="2">
        <f>YEAR(Table1[[#This Row],[PurchaseDate]])</f>
        <v>2024</v>
      </c>
      <c r="E20" s="2" t="str">
        <f>"Q"&amp;ROUNDUP(MONTH(Table1[[#This Row],[PurchaseDate]])/3,0)</f>
        <v>Q4</v>
      </c>
      <c r="F20" s="2">
        <f>MONTH(Table1[[#This Row],[PurchaseDate]])</f>
        <v>10</v>
      </c>
      <c r="G20" s="2" t="str">
        <f>TEXT(Table1[[#This Row],[PurchaseDate]],"MMM")</f>
        <v>Oct</v>
      </c>
      <c r="H20">
        <v>7</v>
      </c>
      <c r="I20">
        <v>6.92</v>
      </c>
      <c r="J20" t="s">
        <v>62</v>
      </c>
      <c r="K20" t="s">
        <v>13</v>
      </c>
      <c r="L20" t="s">
        <v>27</v>
      </c>
      <c r="M20">
        <v>5</v>
      </c>
      <c r="N20">
        <v>48.44</v>
      </c>
    </row>
    <row r="21" spans="1:14" x14ac:dyDescent="0.3">
      <c r="A21" t="s">
        <v>63</v>
      </c>
      <c r="B21" t="s">
        <v>29</v>
      </c>
      <c r="C21" s="1">
        <v>45198</v>
      </c>
      <c r="D21" s="2">
        <f>YEAR(Table1[[#This Row],[PurchaseDate]])</f>
        <v>2023</v>
      </c>
      <c r="E21" s="2" t="str">
        <f>"Q"&amp;ROUNDUP(MONTH(Table1[[#This Row],[PurchaseDate]])/3,0)</f>
        <v>Q3</v>
      </c>
      <c r="F21" s="2">
        <f>MONTH(Table1[[#This Row],[PurchaseDate]])</f>
        <v>9</v>
      </c>
      <c r="G21" s="2" t="str">
        <f>TEXT(Table1[[#This Row],[PurchaseDate]],"MMM")</f>
        <v>Sep</v>
      </c>
      <c r="H21">
        <v>3</v>
      </c>
      <c r="I21">
        <v>194.81</v>
      </c>
      <c r="J21" t="s">
        <v>64</v>
      </c>
      <c r="K21" t="s">
        <v>38</v>
      </c>
      <c r="L21" t="s">
        <v>14</v>
      </c>
      <c r="M21">
        <v>5</v>
      </c>
      <c r="N21">
        <v>584.42999999999995</v>
      </c>
    </row>
    <row r="22" spans="1:14" x14ac:dyDescent="0.3">
      <c r="A22" t="s">
        <v>65</v>
      </c>
      <c r="B22" t="s">
        <v>21</v>
      </c>
      <c r="C22" s="1">
        <v>45458</v>
      </c>
      <c r="D22" s="2">
        <f>YEAR(Table1[[#This Row],[PurchaseDate]])</f>
        <v>2024</v>
      </c>
      <c r="E22" s="2" t="str">
        <f>"Q"&amp;ROUNDUP(MONTH(Table1[[#This Row],[PurchaseDate]])/3,0)</f>
        <v>Q2</v>
      </c>
      <c r="F22" s="2">
        <f>MONTH(Table1[[#This Row],[PurchaseDate]])</f>
        <v>6</v>
      </c>
      <c r="G22" s="2" t="str">
        <f>TEXT(Table1[[#This Row],[PurchaseDate]],"MMM")</f>
        <v>Jun</v>
      </c>
      <c r="H22">
        <v>2</v>
      </c>
      <c r="I22">
        <v>559.15</v>
      </c>
      <c r="J22" t="s">
        <v>66</v>
      </c>
      <c r="K22" t="s">
        <v>13</v>
      </c>
      <c r="L22" t="s">
        <v>58</v>
      </c>
      <c r="M22">
        <v>1</v>
      </c>
      <c r="N22">
        <v>1118.3</v>
      </c>
    </row>
    <row r="23" spans="1:14" x14ac:dyDescent="0.3">
      <c r="A23" t="s">
        <v>67</v>
      </c>
      <c r="B23" t="s">
        <v>34</v>
      </c>
      <c r="C23" s="1">
        <v>45574</v>
      </c>
      <c r="D23" s="2">
        <f>YEAR(Table1[[#This Row],[PurchaseDate]])</f>
        <v>2024</v>
      </c>
      <c r="E23" s="2" t="str">
        <f>"Q"&amp;ROUNDUP(MONTH(Table1[[#This Row],[PurchaseDate]])/3,0)</f>
        <v>Q4</v>
      </c>
      <c r="F23" s="2">
        <f>MONTH(Table1[[#This Row],[PurchaseDate]])</f>
        <v>10</v>
      </c>
      <c r="G23" s="2" t="str">
        <f>TEXT(Table1[[#This Row],[PurchaseDate]],"MMM")</f>
        <v>Oct</v>
      </c>
      <c r="H23">
        <v>3</v>
      </c>
      <c r="I23">
        <v>224.5</v>
      </c>
      <c r="J23" t="s">
        <v>68</v>
      </c>
      <c r="K23" t="s">
        <v>38</v>
      </c>
      <c r="L23" t="s">
        <v>19</v>
      </c>
      <c r="M23">
        <v>5</v>
      </c>
      <c r="N23">
        <v>673.5</v>
      </c>
    </row>
    <row r="24" spans="1:14" x14ac:dyDescent="0.3">
      <c r="A24" t="s">
        <v>69</v>
      </c>
      <c r="B24" t="s">
        <v>21</v>
      </c>
      <c r="C24" s="1">
        <v>45294</v>
      </c>
      <c r="D24" s="2">
        <f>YEAR(Table1[[#This Row],[PurchaseDate]])</f>
        <v>2024</v>
      </c>
      <c r="E24" s="2" t="str">
        <f>"Q"&amp;ROUNDUP(MONTH(Table1[[#This Row],[PurchaseDate]])/3,0)</f>
        <v>Q1</v>
      </c>
      <c r="F24" s="2">
        <f>MONTH(Table1[[#This Row],[PurchaseDate]])</f>
        <v>1</v>
      </c>
      <c r="G24" s="2" t="str">
        <f>TEXT(Table1[[#This Row],[PurchaseDate]],"MMM")</f>
        <v>Jan</v>
      </c>
      <c r="H24">
        <v>2</v>
      </c>
      <c r="I24">
        <v>749.32</v>
      </c>
      <c r="J24" t="s">
        <v>70</v>
      </c>
      <c r="K24" t="s">
        <v>38</v>
      </c>
      <c r="L24" t="s">
        <v>23</v>
      </c>
      <c r="M24">
        <v>3</v>
      </c>
      <c r="N24">
        <v>1498.64</v>
      </c>
    </row>
    <row r="25" spans="1:14" x14ac:dyDescent="0.3">
      <c r="A25" t="s">
        <v>71</v>
      </c>
      <c r="B25" t="s">
        <v>16</v>
      </c>
      <c r="C25" s="1">
        <v>45454</v>
      </c>
      <c r="D25" s="2">
        <f>YEAR(Table1[[#This Row],[PurchaseDate]])</f>
        <v>2024</v>
      </c>
      <c r="E25" s="2" t="str">
        <f>"Q"&amp;ROUNDUP(MONTH(Table1[[#This Row],[PurchaseDate]])/3,0)</f>
        <v>Q2</v>
      </c>
      <c r="F25" s="2">
        <f>MONTH(Table1[[#This Row],[PurchaseDate]])</f>
        <v>6</v>
      </c>
      <c r="G25" s="2" t="str">
        <f>TEXT(Table1[[#This Row],[PurchaseDate]],"MMM")</f>
        <v>Jun</v>
      </c>
      <c r="H25">
        <v>2</v>
      </c>
      <c r="I25">
        <v>492.58</v>
      </c>
      <c r="J25" t="s">
        <v>72</v>
      </c>
      <c r="K25" t="s">
        <v>38</v>
      </c>
      <c r="L25" t="s">
        <v>14</v>
      </c>
      <c r="M25">
        <v>5</v>
      </c>
      <c r="N25">
        <v>985.16</v>
      </c>
    </row>
    <row r="26" spans="1:14" x14ac:dyDescent="0.3">
      <c r="A26" t="s">
        <v>73</v>
      </c>
      <c r="B26" t="s">
        <v>25</v>
      </c>
      <c r="C26" s="1">
        <v>45526</v>
      </c>
      <c r="D26" s="2">
        <f>YEAR(Table1[[#This Row],[PurchaseDate]])</f>
        <v>2024</v>
      </c>
      <c r="E26" s="2" t="str">
        <f>"Q"&amp;ROUNDUP(MONTH(Table1[[#This Row],[PurchaseDate]])/3,0)</f>
        <v>Q3</v>
      </c>
      <c r="F26" s="2">
        <f>MONTH(Table1[[#This Row],[PurchaseDate]])</f>
        <v>8</v>
      </c>
      <c r="G26" s="2" t="str">
        <f>TEXT(Table1[[#This Row],[PurchaseDate]],"MMM")</f>
        <v>Aug</v>
      </c>
      <c r="H26">
        <v>2</v>
      </c>
      <c r="I26">
        <v>148.12</v>
      </c>
      <c r="J26" t="s">
        <v>74</v>
      </c>
      <c r="K26" t="s">
        <v>38</v>
      </c>
      <c r="L26" t="s">
        <v>19</v>
      </c>
      <c r="M26">
        <v>5</v>
      </c>
      <c r="N26">
        <v>296.24</v>
      </c>
    </row>
    <row r="27" spans="1:14" x14ac:dyDescent="0.3">
      <c r="A27" t="s">
        <v>75</v>
      </c>
      <c r="B27" t="s">
        <v>16</v>
      </c>
      <c r="C27" s="1">
        <v>45522</v>
      </c>
      <c r="D27" s="2">
        <f>YEAR(Table1[[#This Row],[PurchaseDate]])</f>
        <v>2024</v>
      </c>
      <c r="E27" s="2" t="str">
        <f>"Q"&amp;ROUNDUP(MONTH(Table1[[#This Row],[PurchaseDate]])/3,0)</f>
        <v>Q3</v>
      </c>
      <c r="F27" s="2">
        <f>MONTH(Table1[[#This Row],[PurchaseDate]])</f>
        <v>8</v>
      </c>
      <c r="G27" s="2" t="str">
        <f>TEXT(Table1[[#This Row],[PurchaseDate]],"MMM")</f>
        <v>Aug</v>
      </c>
      <c r="H27">
        <v>7</v>
      </c>
      <c r="I27">
        <v>705.72</v>
      </c>
      <c r="J27" t="s">
        <v>76</v>
      </c>
      <c r="K27" t="s">
        <v>38</v>
      </c>
      <c r="L27" t="s">
        <v>23</v>
      </c>
      <c r="M27">
        <v>4</v>
      </c>
      <c r="N27">
        <v>4940.04</v>
      </c>
    </row>
    <row r="28" spans="1:14" x14ac:dyDescent="0.3">
      <c r="A28" t="s">
        <v>77</v>
      </c>
      <c r="B28" t="s">
        <v>42</v>
      </c>
      <c r="C28" s="1">
        <v>45289</v>
      </c>
      <c r="D28" s="2">
        <f>YEAR(Table1[[#This Row],[PurchaseDate]])</f>
        <v>2023</v>
      </c>
      <c r="E28" s="2" t="str">
        <f>"Q"&amp;ROUNDUP(MONTH(Table1[[#This Row],[PurchaseDate]])/3,0)</f>
        <v>Q4</v>
      </c>
      <c r="F28" s="2">
        <f>MONTH(Table1[[#This Row],[PurchaseDate]])</f>
        <v>12</v>
      </c>
      <c r="G28" s="2" t="str">
        <f>TEXT(Table1[[#This Row],[PurchaseDate]],"MMM")</f>
        <v>Dec</v>
      </c>
      <c r="H28">
        <v>1</v>
      </c>
      <c r="I28">
        <v>157.44999999999999</v>
      </c>
      <c r="J28" t="s">
        <v>78</v>
      </c>
      <c r="K28" t="s">
        <v>38</v>
      </c>
      <c r="L28" t="s">
        <v>27</v>
      </c>
      <c r="M28">
        <v>2</v>
      </c>
      <c r="N28">
        <v>157.44999999999999</v>
      </c>
    </row>
    <row r="29" spans="1:14" x14ac:dyDescent="0.3">
      <c r="A29" t="s">
        <v>79</v>
      </c>
      <c r="B29" t="s">
        <v>16</v>
      </c>
      <c r="C29" s="1">
        <v>45697</v>
      </c>
      <c r="D29" s="2">
        <f>YEAR(Table1[[#This Row],[PurchaseDate]])</f>
        <v>2025</v>
      </c>
      <c r="E29" s="2" t="str">
        <f>"Q"&amp;ROUNDUP(MONTH(Table1[[#This Row],[PurchaseDate]])/3,0)</f>
        <v>Q1</v>
      </c>
      <c r="F29" s="2">
        <f>MONTH(Table1[[#This Row],[PurchaseDate]])</f>
        <v>2</v>
      </c>
      <c r="G29" s="2" t="str">
        <f>TEXT(Table1[[#This Row],[PurchaseDate]],"MMM")</f>
        <v>Feb</v>
      </c>
      <c r="H29">
        <v>2</v>
      </c>
      <c r="I29">
        <v>584.04999999999995</v>
      </c>
      <c r="J29" t="s">
        <v>80</v>
      </c>
      <c r="K29" t="s">
        <v>13</v>
      </c>
      <c r="L29" t="s">
        <v>23</v>
      </c>
      <c r="M29">
        <v>4</v>
      </c>
      <c r="N29">
        <v>1168.0999999999999</v>
      </c>
    </row>
    <row r="30" spans="1:14" x14ac:dyDescent="0.3">
      <c r="A30" t="s">
        <v>81</v>
      </c>
      <c r="B30" t="s">
        <v>11</v>
      </c>
      <c r="C30" s="1">
        <v>45589</v>
      </c>
      <c r="D30" s="2">
        <f>YEAR(Table1[[#This Row],[PurchaseDate]])</f>
        <v>2024</v>
      </c>
      <c r="E30" s="2" t="str">
        <f>"Q"&amp;ROUNDUP(MONTH(Table1[[#This Row],[PurchaseDate]])/3,0)</f>
        <v>Q4</v>
      </c>
      <c r="F30" s="2">
        <f>MONTH(Table1[[#This Row],[PurchaseDate]])</f>
        <v>10</v>
      </c>
      <c r="G30" s="2" t="str">
        <f>TEXT(Table1[[#This Row],[PurchaseDate]],"MMM")</f>
        <v>Oct</v>
      </c>
      <c r="H30">
        <v>8</v>
      </c>
      <c r="I30">
        <v>267.56</v>
      </c>
      <c r="J30" t="s">
        <v>82</v>
      </c>
      <c r="K30" t="s">
        <v>13</v>
      </c>
      <c r="L30" t="s">
        <v>19</v>
      </c>
      <c r="M30">
        <v>2</v>
      </c>
      <c r="N30">
        <v>2140.48</v>
      </c>
    </row>
    <row r="31" spans="1:14" x14ac:dyDescent="0.3">
      <c r="A31" t="s">
        <v>83</v>
      </c>
      <c r="B31" t="s">
        <v>29</v>
      </c>
      <c r="C31" s="1">
        <v>45548</v>
      </c>
      <c r="D31" s="2">
        <f>YEAR(Table1[[#This Row],[PurchaseDate]])</f>
        <v>2024</v>
      </c>
      <c r="E31" s="2" t="str">
        <f>"Q"&amp;ROUNDUP(MONTH(Table1[[#This Row],[PurchaseDate]])/3,0)</f>
        <v>Q3</v>
      </c>
      <c r="F31" s="2">
        <f>MONTH(Table1[[#This Row],[PurchaseDate]])</f>
        <v>9</v>
      </c>
      <c r="G31" s="2" t="str">
        <f>TEXT(Table1[[#This Row],[PurchaseDate]],"MMM")</f>
        <v>Sep</v>
      </c>
      <c r="H31">
        <v>2</v>
      </c>
      <c r="I31">
        <v>756.45</v>
      </c>
      <c r="J31" t="s">
        <v>84</v>
      </c>
      <c r="K31" t="s">
        <v>38</v>
      </c>
      <c r="L31" t="s">
        <v>23</v>
      </c>
      <c r="M31">
        <v>2</v>
      </c>
      <c r="N31">
        <v>1512.9</v>
      </c>
    </row>
    <row r="32" spans="1:14" x14ac:dyDescent="0.3">
      <c r="A32" t="s">
        <v>85</v>
      </c>
      <c r="B32" t="s">
        <v>11</v>
      </c>
      <c r="C32" s="1">
        <v>45064</v>
      </c>
      <c r="D32" s="2">
        <f>YEAR(Table1[[#This Row],[PurchaseDate]])</f>
        <v>2023</v>
      </c>
      <c r="E32" s="2" t="str">
        <f>"Q"&amp;ROUNDUP(MONTH(Table1[[#This Row],[PurchaseDate]])/3,0)</f>
        <v>Q2</v>
      </c>
      <c r="F32" s="2">
        <f>MONTH(Table1[[#This Row],[PurchaseDate]])</f>
        <v>5</v>
      </c>
      <c r="G32" s="2" t="str">
        <f>TEXT(Table1[[#This Row],[PurchaseDate]],"MMM")</f>
        <v>May</v>
      </c>
      <c r="H32">
        <v>2</v>
      </c>
      <c r="I32">
        <v>121.84</v>
      </c>
      <c r="J32" t="s">
        <v>86</v>
      </c>
      <c r="K32" t="s">
        <v>13</v>
      </c>
      <c r="L32" t="s">
        <v>19</v>
      </c>
      <c r="M32">
        <v>1</v>
      </c>
      <c r="N32">
        <v>243.68</v>
      </c>
    </row>
    <row r="33" spans="1:14" x14ac:dyDescent="0.3">
      <c r="A33" t="s">
        <v>87</v>
      </c>
      <c r="B33" t="s">
        <v>11</v>
      </c>
      <c r="C33" s="1">
        <v>45660</v>
      </c>
      <c r="D33" s="2">
        <f>YEAR(Table1[[#This Row],[PurchaseDate]])</f>
        <v>2025</v>
      </c>
      <c r="E33" s="2" t="str">
        <f>"Q"&amp;ROUNDUP(MONTH(Table1[[#This Row],[PurchaseDate]])/3,0)</f>
        <v>Q1</v>
      </c>
      <c r="F33" s="2">
        <f>MONTH(Table1[[#This Row],[PurchaseDate]])</f>
        <v>1</v>
      </c>
      <c r="G33" s="2" t="str">
        <f>TEXT(Table1[[#This Row],[PurchaseDate]],"MMM")</f>
        <v>Jan</v>
      </c>
      <c r="H33">
        <v>2</v>
      </c>
      <c r="I33">
        <v>219.1</v>
      </c>
      <c r="J33" t="s">
        <v>88</v>
      </c>
      <c r="K33" t="s">
        <v>13</v>
      </c>
      <c r="L33" t="s">
        <v>14</v>
      </c>
      <c r="M33">
        <v>5</v>
      </c>
      <c r="N33">
        <v>438.2</v>
      </c>
    </row>
    <row r="34" spans="1:14" x14ac:dyDescent="0.3">
      <c r="A34" t="s">
        <v>89</v>
      </c>
      <c r="B34" t="s">
        <v>21</v>
      </c>
      <c r="C34" s="1">
        <v>45135</v>
      </c>
      <c r="D34" s="2">
        <f>YEAR(Table1[[#This Row],[PurchaseDate]])</f>
        <v>2023</v>
      </c>
      <c r="E34" s="2" t="str">
        <f>"Q"&amp;ROUNDUP(MONTH(Table1[[#This Row],[PurchaseDate]])/3,0)</f>
        <v>Q3</v>
      </c>
      <c r="F34" s="2">
        <f>MONTH(Table1[[#This Row],[PurchaseDate]])</f>
        <v>7</v>
      </c>
      <c r="G34" s="2" t="str">
        <f>TEXT(Table1[[#This Row],[PurchaseDate]],"MMM")</f>
        <v>Jul</v>
      </c>
      <c r="H34">
        <v>4</v>
      </c>
      <c r="I34">
        <v>322.31</v>
      </c>
      <c r="J34" t="s">
        <v>90</v>
      </c>
      <c r="K34" t="s">
        <v>18</v>
      </c>
      <c r="L34" t="s">
        <v>19</v>
      </c>
      <c r="M34">
        <v>3</v>
      </c>
      <c r="N34">
        <v>1289.24</v>
      </c>
    </row>
    <row r="35" spans="1:14" x14ac:dyDescent="0.3">
      <c r="A35" t="s">
        <v>91</v>
      </c>
      <c r="B35" t="s">
        <v>16</v>
      </c>
      <c r="C35" s="1">
        <v>45007</v>
      </c>
      <c r="D35" s="2">
        <f>YEAR(Table1[[#This Row],[PurchaseDate]])</f>
        <v>2023</v>
      </c>
      <c r="E35" s="2" t="str">
        <f>"Q"&amp;ROUNDUP(MONTH(Table1[[#This Row],[PurchaseDate]])/3,0)</f>
        <v>Q1</v>
      </c>
      <c r="F35" s="2">
        <f>MONTH(Table1[[#This Row],[PurchaseDate]])</f>
        <v>3</v>
      </c>
      <c r="G35" s="2" t="str">
        <f>TEXT(Table1[[#This Row],[PurchaseDate]],"MMM")</f>
        <v>Mar</v>
      </c>
      <c r="H35">
        <v>3</v>
      </c>
      <c r="I35">
        <v>477.77</v>
      </c>
      <c r="J35" t="s">
        <v>92</v>
      </c>
      <c r="K35" t="s">
        <v>38</v>
      </c>
      <c r="L35" t="s">
        <v>14</v>
      </c>
      <c r="M35">
        <v>1</v>
      </c>
      <c r="N35">
        <v>1433.31</v>
      </c>
    </row>
    <row r="36" spans="1:14" x14ac:dyDescent="0.3">
      <c r="A36" t="s">
        <v>93</v>
      </c>
      <c r="B36" t="s">
        <v>29</v>
      </c>
      <c r="C36" s="1">
        <v>45228</v>
      </c>
      <c r="D36" s="2">
        <f>YEAR(Table1[[#This Row],[PurchaseDate]])</f>
        <v>2023</v>
      </c>
      <c r="E36" s="2" t="str">
        <f>"Q"&amp;ROUNDUP(MONTH(Table1[[#This Row],[PurchaseDate]])/3,0)</f>
        <v>Q4</v>
      </c>
      <c r="F36" s="2">
        <f>MONTH(Table1[[#This Row],[PurchaseDate]])</f>
        <v>10</v>
      </c>
      <c r="G36" s="2" t="str">
        <f>TEXT(Table1[[#This Row],[PurchaseDate]],"MMM")</f>
        <v>Oct</v>
      </c>
      <c r="H36">
        <v>1</v>
      </c>
      <c r="I36">
        <v>45.88</v>
      </c>
      <c r="J36" t="s">
        <v>94</v>
      </c>
      <c r="K36" t="s">
        <v>13</v>
      </c>
      <c r="L36" t="s">
        <v>23</v>
      </c>
      <c r="M36">
        <v>4</v>
      </c>
      <c r="N36">
        <v>45.88</v>
      </c>
    </row>
    <row r="37" spans="1:14" x14ac:dyDescent="0.3">
      <c r="A37" t="s">
        <v>95</v>
      </c>
      <c r="B37" t="s">
        <v>25</v>
      </c>
      <c r="C37" s="1">
        <v>45372</v>
      </c>
      <c r="D37" s="2">
        <f>YEAR(Table1[[#This Row],[PurchaseDate]])</f>
        <v>2024</v>
      </c>
      <c r="E37" s="2" t="str">
        <f>"Q"&amp;ROUNDUP(MONTH(Table1[[#This Row],[PurchaseDate]])/3,0)</f>
        <v>Q1</v>
      </c>
      <c r="F37" s="2">
        <f>MONTH(Table1[[#This Row],[PurchaseDate]])</f>
        <v>3</v>
      </c>
      <c r="G37" s="2" t="str">
        <f>TEXT(Table1[[#This Row],[PurchaseDate]],"MMM")</f>
        <v>Mar</v>
      </c>
      <c r="H37">
        <v>3</v>
      </c>
      <c r="I37">
        <v>185.15</v>
      </c>
      <c r="J37" t="s">
        <v>96</v>
      </c>
      <c r="K37" t="s">
        <v>13</v>
      </c>
      <c r="L37" t="s">
        <v>14</v>
      </c>
      <c r="M37">
        <v>1</v>
      </c>
      <c r="N37">
        <v>555.45000000000005</v>
      </c>
    </row>
    <row r="38" spans="1:14" x14ac:dyDescent="0.3">
      <c r="A38" t="s">
        <v>97</v>
      </c>
      <c r="B38" t="s">
        <v>16</v>
      </c>
      <c r="C38" s="1">
        <v>45000</v>
      </c>
      <c r="D38" s="2">
        <f>YEAR(Table1[[#This Row],[PurchaseDate]])</f>
        <v>2023</v>
      </c>
      <c r="E38" s="2" t="str">
        <f>"Q"&amp;ROUNDUP(MONTH(Table1[[#This Row],[PurchaseDate]])/3,0)</f>
        <v>Q1</v>
      </c>
      <c r="F38" s="2">
        <f>MONTH(Table1[[#This Row],[PurchaseDate]])</f>
        <v>3</v>
      </c>
      <c r="G38" s="2" t="str">
        <f>TEXT(Table1[[#This Row],[PurchaseDate]],"MMM")</f>
        <v>Mar</v>
      </c>
      <c r="H38">
        <v>3</v>
      </c>
      <c r="I38">
        <v>562.1</v>
      </c>
      <c r="J38" t="s">
        <v>98</v>
      </c>
      <c r="K38" t="s">
        <v>13</v>
      </c>
      <c r="L38" t="s">
        <v>27</v>
      </c>
      <c r="M38">
        <v>1</v>
      </c>
      <c r="N38">
        <v>1686.3</v>
      </c>
    </row>
    <row r="39" spans="1:14" x14ac:dyDescent="0.3">
      <c r="A39" t="s">
        <v>99</v>
      </c>
      <c r="B39" t="s">
        <v>16</v>
      </c>
      <c r="C39" s="1">
        <v>45709</v>
      </c>
      <c r="D39" s="2">
        <f>YEAR(Table1[[#This Row],[PurchaseDate]])</f>
        <v>2025</v>
      </c>
      <c r="E39" s="2" t="str">
        <f>"Q"&amp;ROUNDUP(MONTH(Table1[[#This Row],[PurchaseDate]])/3,0)</f>
        <v>Q1</v>
      </c>
      <c r="F39" s="2">
        <f>MONTH(Table1[[#This Row],[PurchaseDate]])</f>
        <v>2</v>
      </c>
      <c r="G39" s="2" t="str">
        <f>TEXT(Table1[[#This Row],[PurchaseDate]],"MMM")</f>
        <v>Feb</v>
      </c>
      <c r="H39">
        <v>3</v>
      </c>
      <c r="I39">
        <v>142.41</v>
      </c>
      <c r="J39" t="s">
        <v>100</v>
      </c>
      <c r="K39" t="s">
        <v>13</v>
      </c>
      <c r="L39" t="s">
        <v>27</v>
      </c>
      <c r="M39">
        <v>1</v>
      </c>
      <c r="N39">
        <v>427.23</v>
      </c>
    </row>
    <row r="40" spans="1:14" x14ac:dyDescent="0.3">
      <c r="A40" t="s">
        <v>101</v>
      </c>
      <c r="B40" t="s">
        <v>16</v>
      </c>
      <c r="C40" s="1">
        <v>44929</v>
      </c>
      <c r="D40" s="2">
        <f>YEAR(Table1[[#This Row],[PurchaseDate]])</f>
        <v>2023</v>
      </c>
      <c r="E40" s="2" t="str">
        <f>"Q"&amp;ROUNDUP(MONTH(Table1[[#This Row],[PurchaseDate]])/3,0)</f>
        <v>Q1</v>
      </c>
      <c r="F40" s="2">
        <f>MONTH(Table1[[#This Row],[PurchaseDate]])</f>
        <v>1</v>
      </c>
      <c r="G40" s="2" t="str">
        <f>TEXT(Table1[[#This Row],[PurchaseDate]],"MMM")</f>
        <v>Jan</v>
      </c>
      <c r="H40">
        <v>7</v>
      </c>
      <c r="I40">
        <v>422.55</v>
      </c>
      <c r="J40" t="s">
        <v>102</v>
      </c>
      <c r="K40" t="s">
        <v>38</v>
      </c>
      <c r="L40" t="s">
        <v>14</v>
      </c>
      <c r="M40">
        <v>1</v>
      </c>
      <c r="N40">
        <v>2957.85</v>
      </c>
    </row>
    <row r="41" spans="1:14" x14ac:dyDescent="0.3">
      <c r="A41" t="s">
        <v>103</v>
      </c>
      <c r="B41" t="s">
        <v>29</v>
      </c>
      <c r="C41" s="1">
        <v>45323</v>
      </c>
      <c r="D41" s="2">
        <f>YEAR(Table1[[#This Row],[PurchaseDate]])</f>
        <v>2024</v>
      </c>
      <c r="E41" s="2" t="str">
        <f>"Q"&amp;ROUNDUP(MONTH(Table1[[#This Row],[PurchaseDate]])/3,0)</f>
        <v>Q1</v>
      </c>
      <c r="F41" s="2">
        <f>MONTH(Table1[[#This Row],[PurchaseDate]])</f>
        <v>2</v>
      </c>
      <c r="G41" s="2" t="str">
        <f>TEXT(Table1[[#This Row],[PurchaseDate]],"MMM")</f>
        <v>Feb</v>
      </c>
      <c r="H41">
        <v>4</v>
      </c>
      <c r="I41">
        <v>442.91</v>
      </c>
      <c r="J41" t="s">
        <v>104</v>
      </c>
      <c r="K41" t="s">
        <v>38</v>
      </c>
      <c r="L41" t="s">
        <v>23</v>
      </c>
      <c r="M41">
        <v>5</v>
      </c>
      <c r="N41">
        <v>1771.64</v>
      </c>
    </row>
    <row r="42" spans="1:14" x14ac:dyDescent="0.3">
      <c r="A42" t="s">
        <v>105</v>
      </c>
      <c r="B42" t="s">
        <v>16</v>
      </c>
      <c r="C42" s="1">
        <v>45522</v>
      </c>
      <c r="D42" s="2">
        <f>YEAR(Table1[[#This Row],[PurchaseDate]])</f>
        <v>2024</v>
      </c>
      <c r="E42" s="2" t="str">
        <f>"Q"&amp;ROUNDUP(MONTH(Table1[[#This Row],[PurchaseDate]])/3,0)</f>
        <v>Q3</v>
      </c>
      <c r="F42" s="2">
        <f>MONTH(Table1[[#This Row],[PurchaseDate]])</f>
        <v>8</v>
      </c>
      <c r="G42" s="2" t="str">
        <f>TEXT(Table1[[#This Row],[PurchaseDate]],"MMM")</f>
        <v>Aug</v>
      </c>
      <c r="H42">
        <v>8</v>
      </c>
      <c r="I42">
        <v>35</v>
      </c>
      <c r="J42" t="s">
        <v>106</v>
      </c>
      <c r="K42" t="s">
        <v>18</v>
      </c>
      <c r="L42" t="s">
        <v>23</v>
      </c>
      <c r="M42">
        <v>4</v>
      </c>
      <c r="N42">
        <v>280</v>
      </c>
    </row>
    <row r="43" spans="1:14" x14ac:dyDescent="0.3">
      <c r="A43" t="s">
        <v>107</v>
      </c>
      <c r="B43" t="s">
        <v>42</v>
      </c>
      <c r="C43" s="1">
        <v>45632</v>
      </c>
      <c r="D43" s="2">
        <f>YEAR(Table1[[#This Row],[PurchaseDate]])</f>
        <v>2024</v>
      </c>
      <c r="E43" s="2" t="str">
        <f>"Q"&amp;ROUNDUP(MONTH(Table1[[#This Row],[PurchaseDate]])/3,0)</f>
        <v>Q4</v>
      </c>
      <c r="F43" s="2">
        <f>MONTH(Table1[[#This Row],[PurchaseDate]])</f>
        <v>12</v>
      </c>
      <c r="G43" s="2" t="str">
        <f>TEXT(Table1[[#This Row],[PurchaseDate]],"MMM")</f>
        <v>Dec</v>
      </c>
      <c r="H43">
        <v>5</v>
      </c>
      <c r="I43">
        <v>242.27</v>
      </c>
      <c r="J43" t="s">
        <v>108</v>
      </c>
      <c r="K43" t="s">
        <v>18</v>
      </c>
      <c r="L43" t="s">
        <v>14</v>
      </c>
      <c r="M43">
        <v>5</v>
      </c>
      <c r="N43">
        <v>1211.3499999999999</v>
      </c>
    </row>
    <row r="44" spans="1:14" x14ac:dyDescent="0.3">
      <c r="A44" t="s">
        <v>109</v>
      </c>
      <c r="B44" t="s">
        <v>16</v>
      </c>
      <c r="C44" s="1">
        <v>45012</v>
      </c>
      <c r="D44" s="2">
        <f>YEAR(Table1[[#This Row],[PurchaseDate]])</f>
        <v>2023</v>
      </c>
      <c r="E44" s="2" t="str">
        <f>"Q"&amp;ROUNDUP(MONTH(Table1[[#This Row],[PurchaseDate]])/3,0)</f>
        <v>Q1</v>
      </c>
      <c r="F44" s="2">
        <f>MONTH(Table1[[#This Row],[PurchaseDate]])</f>
        <v>3</v>
      </c>
      <c r="G44" s="2" t="str">
        <f>TEXT(Table1[[#This Row],[PurchaseDate]],"MMM")</f>
        <v>Mar</v>
      </c>
      <c r="H44">
        <v>6</v>
      </c>
      <c r="I44">
        <v>354.48</v>
      </c>
      <c r="J44" t="s">
        <v>110</v>
      </c>
      <c r="K44" t="s">
        <v>13</v>
      </c>
      <c r="L44" t="s">
        <v>27</v>
      </c>
      <c r="M44">
        <v>5</v>
      </c>
      <c r="N44">
        <v>2126.88</v>
      </c>
    </row>
    <row r="45" spans="1:14" x14ac:dyDescent="0.3">
      <c r="A45" t="s">
        <v>111</v>
      </c>
      <c r="B45" t="s">
        <v>42</v>
      </c>
      <c r="C45" s="1">
        <v>45620</v>
      </c>
      <c r="D45" s="2">
        <f>YEAR(Table1[[#This Row],[PurchaseDate]])</f>
        <v>2024</v>
      </c>
      <c r="E45" s="2" t="str">
        <f>"Q"&amp;ROUNDUP(MONTH(Table1[[#This Row],[PurchaseDate]])/3,0)</f>
        <v>Q4</v>
      </c>
      <c r="F45" s="2">
        <f>MONTH(Table1[[#This Row],[PurchaseDate]])</f>
        <v>11</v>
      </c>
      <c r="G45" s="2" t="str">
        <f>TEXT(Table1[[#This Row],[PurchaseDate]],"MMM")</f>
        <v>Nov</v>
      </c>
      <c r="H45">
        <v>8</v>
      </c>
      <c r="I45">
        <v>268.22000000000003</v>
      </c>
      <c r="J45" t="s">
        <v>112</v>
      </c>
      <c r="K45" t="s">
        <v>13</v>
      </c>
      <c r="L45" t="s">
        <v>19</v>
      </c>
      <c r="M45">
        <v>2</v>
      </c>
      <c r="N45">
        <v>2145.7600000000002</v>
      </c>
    </row>
    <row r="46" spans="1:14" x14ac:dyDescent="0.3">
      <c r="A46" t="s">
        <v>113</v>
      </c>
      <c r="B46" t="s">
        <v>16</v>
      </c>
      <c r="C46" s="1">
        <v>45412</v>
      </c>
      <c r="D46" s="2">
        <f>YEAR(Table1[[#This Row],[PurchaseDate]])</f>
        <v>2024</v>
      </c>
      <c r="E46" s="2" t="str">
        <f>"Q"&amp;ROUNDUP(MONTH(Table1[[#This Row],[PurchaseDate]])/3,0)</f>
        <v>Q2</v>
      </c>
      <c r="F46" s="2">
        <f>MONTH(Table1[[#This Row],[PurchaseDate]])</f>
        <v>4</v>
      </c>
      <c r="G46" s="2" t="str">
        <f>TEXT(Table1[[#This Row],[PurchaseDate]],"MMM")</f>
        <v>Apr</v>
      </c>
      <c r="H46">
        <v>2</v>
      </c>
      <c r="I46">
        <v>208.61</v>
      </c>
      <c r="J46" t="s">
        <v>114</v>
      </c>
      <c r="K46" t="s">
        <v>18</v>
      </c>
      <c r="L46" t="s">
        <v>14</v>
      </c>
      <c r="M46">
        <v>2</v>
      </c>
      <c r="N46">
        <v>417.22</v>
      </c>
    </row>
    <row r="47" spans="1:14" x14ac:dyDescent="0.3">
      <c r="A47" t="s">
        <v>115</v>
      </c>
      <c r="B47" t="s">
        <v>42</v>
      </c>
      <c r="C47" s="1">
        <v>44997</v>
      </c>
      <c r="D47" s="2">
        <f>YEAR(Table1[[#This Row],[PurchaseDate]])</f>
        <v>2023</v>
      </c>
      <c r="E47" s="2" t="str">
        <f>"Q"&amp;ROUNDUP(MONTH(Table1[[#This Row],[PurchaseDate]])/3,0)</f>
        <v>Q1</v>
      </c>
      <c r="F47" s="2">
        <f>MONTH(Table1[[#This Row],[PurchaseDate]])</f>
        <v>3</v>
      </c>
      <c r="G47" s="2" t="str">
        <f>TEXT(Table1[[#This Row],[PurchaseDate]],"MMM")</f>
        <v>Mar</v>
      </c>
      <c r="H47">
        <v>4</v>
      </c>
      <c r="I47">
        <v>108.63</v>
      </c>
      <c r="J47" t="s">
        <v>116</v>
      </c>
      <c r="K47" t="s">
        <v>13</v>
      </c>
      <c r="L47" t="s">
        <v>27</v>
      </c>
      <c r="M47">
        <v>3</v>
      </c>
      <c r="N47">
        <v>434.52</v>
      </c>
    </row>
    <row r="48" spans="1:14" x14ac:dyDescent="0.3">
      <c r="A48" t="s">
        <v>117</v>
      </c>
      <c r="B48" t="s">
        <v>29</v>
      </c>
      <c r="C48" s="1">
        <v>45514</v>
      </c>
      <c r="D48" s="2">
        <f>YEAR(Table1[[#This Row],[PurchaseDate]])</f>
        <v>2024</v>
      </c>
      <c r="E48" s="2" t="str">
        <f>"Q"&amp;ROUNDUP(MONTH(Table1[[#This Row],[PurchaseDate]])/3,0)</f>
        <v>Q3</v>
      </c>
      <c r="F48" s="2">
        <f>MONTH(Table1[[#This Row],[PurchaseDate]])</f>
        <v>8</v>
      </c>
      <c r="G48" s="2" t="str">
        <f>TEXT(Table1[[#This Row],[PurchaseDate]],"MMM")</f>
        <v>Aug</v>
      </c>
      <c r="H48">
        <v>8</v>
      </c>
      <c r="I48">
        <v>164.45</v>
      </c>
      <c r="J48" t="s">
        <v>118</v>
      </c>
      <c r="K48" t="s">
        <v>18</v>
      </c>
      <c r="L48" t="s">
        <v>23</v>
      </c>
      <c r="M48">
        <v>2</v>
      </c>
      <c r="N48">
        <v>1315.6</v>
      </c>
    </row>
    <row r="49" spans="1:14" x14ac:dyDescent="0.3">
      <c r="A49" t="s">
        <v>119</v>
      </c>
      <c r="B49" t="s">
        <v>34</v>
      </c>
      <c r="C49" s="1">
        <v>45752</v>
      </c>
      <c r="D49" s="2">
        <f>YEAR(Table1[[#This Row],[PurchaseDate]])</f>
        <v>2025</v>
      </c>
      <c r="E49" s="2" t="str">
        <f>"Q"&amp;ROUNDUP(MONTH(Table1[[#This Row],[PurchaseDate]])/3,0)</f>
        <v>Q2</v>
      </c>
      <c r="F49" s="2">
        <f>MONTH(Table1[[#This Row],[PurchaseDate]])</f>
        <v>4</v>
      </c>
      <c r="G49" s="2" t="str">
        <f>TEXT(Table1[[#This Row],[PurchaseDate]],"MMM")</f>
        <v>Apr</v>
      </c>
      <c r="H49">
        <v>8</v>
      </c>
      <c r="I49">
        <v>207.35</v>
      </c>
      <c r="J49" t="s">
        <v>120</v>
      </c>
      <c r="K49" t="s">
        <v>13</v>
      </c>
      <c r="L49" t="s">
        <v>23</v>
      </c>
      <c r="M49">
        <v>5</v>
      </c>
      <c r="N49">
        <v>1658.8</v>
      </c>
    </row>
    <row r="50" spans="1:14" x14ac:dyDescent="0.3">
      <c r="A50" t="s">
        <v>121</v>
      </c>
      <c r="B50" t="s">
        <v>34</v>
      </c>
      <c r="C50" s="1">
        <v>45828</v>
      </c>
      <c r="D50" s="2">
        <f>YEAR(Table1[[#This Row],[PurchaseDate]])</f>
        <v>2025</v>
      </c>
      <c r="E50" s="2" t="str">
        <f>"Q"&amp;ROUNDUP(MONTH(Table1[[#This Row],[PurchaseDate]])/3,0)</f>
        <v>Q2</v>
      </c>
      <c r="F50" s="2">
        <f>MONTH(Table1[[#This Row],[PurchaseDate]])</f>
        <v>6</v>
      </c>
      <c r="G50" s="2" t="str">
        <f>TEXT(Table1[[#This Row],[PurchaseDate]],"MMM")</f>
        <v>Jun</v>
      </c>
      <c r="H50">
        <v>5</v>
      </c>
      <c r="I50">
        <v>223.34</v>
      </c>
      <c r="J50" t="s">
        <v>122</v>
      </c>
      <c r="K50" t="s">
        <v>18</v>
      </c>
      <c r="L50" t="s">
        <v>58</v>
      </c>
      <c r="M50">
        <v>2</v>
      </c>
      <c r="N50">
        <v>1116.7</v>
      </c>
    </row>
    <row r="51" spans="1:14" x14ac:dyDescent="0.3">
      <c r="A51" t="s">
        <v>123</v>
      </c>
      <c r="B51" t="s">
        <v>16</v>
      </c>
      <c r="C51" s="1">
        <v>45004</v>
      </c>
      <c r="D51" s="2">
        <f>YEAR(Table1[[#This Row],[PurchaseDate]])</f>
        <v>2023</v>
      </c>
      <c r="E51" s="2" t="str">
        <f>"Q"&amp;ROUNDUP(MONTH(Table1[[#This Row],[PurchaseDate]])/3,0)</f>
        <v>Q1</v>
      </c>
      <c r="F51" s="2">
        <f>MONTH(Table1[[#This Row],[PurchaseDate]])</f>
        <v>3</v>
      </c>
      <c r="G51" s="2" t="str">
        <f>TEXT(Table1[[#This Row],[PurchaseDate]],"MMM")</f>
        <v>Mar</v>
      </c>
      <c r="H51">
        <v>8</v>
      </c>
      <c r="I51">
        <v>193.52</v>
      </c>
      <c r="J51" t="s">
        <v>124</v>
      </c>
      <c r="K51" t="s">
        <v>38</v>
      </c>
      <c r="L51" t="s">
        <v>14</v>
      </c>
      <c r="M51">
        <v>4</v>
      </c>
      <c r="N51">
        <v>1548.16</v>
      </c>
    </row>
    <row r="52" spans="1:14" x14ac:dyDescent="0.3">
      <c r="A52" t="s">
        <v>125</v>
      </c>
      <c r="B52" t="s">
        <v>34</v>
      </c>
      <c r="C52" s="1">
        <v>45279</v>
      </c>
      <c r="D52" s="2">
        <f>YEAR(Table1[[#This Row],[PurchaseDate]])</f>
        <v>2023</v>
      </c>
      <c r="E52" s="2" t="str">
        <f>"Q"&amp;ROUNDUP(MONTH(Table1[[#This Row],[PurchaseDate]])/3,0)</f>
        <v>Q4</v>
      </c>
      <c r="F52" s="2">
        <f>MONTH(Table1[[#This Row],[PurchaseDate]])</f>
        <v>12</v>
      </c>
      <c r="G52" s="2" t="str">
        <f>TEXT(Table1[[#This Row],[PurchaseDate]],"MMM")</f>
        <v>Dec</v>
      </c>
      <c r="H52">
        <v>8</v>
      </c>
      <c r="I52">
        <v>446.4</v>
      </c>
      <c r="J52" t="s">
        <v>126</v>
      </c>
      <c r="K52" t="s">
        <v>18</v>
      </c>
      <c r="L52" t="s">
        <v>23</v>
      </c>
      <c r="M52">
        <v>3</v>
      </c>
      <c r="N52">
        <v>3571.2</v>
      </c>
    </row>
    <row r="53" spans="1:14" x14ac:dyDescent="0.3">
      <c r="A53" t="s">
        <v>127</v>
      </c>
      <c r="B53" t="s">
        <v>25</v>
      </c>
      <c r="C53" s="1">
        <v>44971</v>
      </c>
      <c r="D53" s="2">
        <f>YEAR(Table1[[#This Row],[PurchaseDate]])</f>
        <v>2023</v>
      </c>
      <c r="E53" s="2" t="str">
        <f>"Q"&amp;ROUNDUP(MONTH(Table1[[#This Row],[PurchaseDate]])/3,0)</f>
        <v>Q1</v>
      </c>
      <c r="F53" s="2">
        <f>MONTH(Table1[[#This Row],[PurchaseDate]])</f>
        <v>2</v>
      </c>
      <c r="G53" s="2" t="str">
        <f>TEXT(Table1[[#This Row],[PurchaseDate]],"MMM")</f>
        <v>Feb</v>
      </c>
      <c r="H53">
        <v>4</v>
      </c>
      <c r="I53">
        <v>77.48</v>
      </c>
      <c r="J53" t="s">
        <v>128</v>
      </c>
      <c r="K53" t="s">
        <v>13</v>
      </c>
      <c r="L53" t="s">
        <v>14</v>
      </c>
      <c r="M53">
        <v>2</v>
      </c>
      <c r="N53">
        <v>309.92</v>
      </c>
    </row>
    <row r="54" spans="1:14" x14ac:dyDescent="0.3">
      <c r="A54" t="s">
        <v>129</v>
      </c>
      <c r="B54" t="s">
        <v>34</v>
      </c>
      <c r="C54" s="1">
        <v>45724</v>
      </c>
      <c r="D54" s="2">
        <f>YEAR(Table1[[#This Row],[PurchaseDate]])</f>
        <v>2025</v>
      </c>
      <c r="E54" s="2" t="str">
        <f>"Q"&amp;ROUNDUP(MONTH(Table1[[#This Row],[PurchaseDate]])/3,0)</f>
        <v>Q1</v>
      </c>
      <c r="F54" s="2">
        <f>MONTH(Table1[[#This Row],[PurchaseDate]])</f>
        <v>3</v>
      </c>
      <c r="G54" s="2" t="str">
        <f>TEXT(Table1[[#This Row],[PurchaseDate]],"MMM")</f>
        <v>Mar</v>
      </c>
      <c r="H54">
        <v>7</v>
      </c>
      <c r="I54">
        <v>283.8</v>
      </c>
      <c r="J54" t="s">
        <v>130</v>
      </c>
      <c r="K54" t="s">
        <v>38</v>
      </c>
      <c r="L54" t="s">
        <v>23</v>
      </c>
      <c r="M54">
        <v>5</v>
      </c>
      <c r="N54">
        <v>1986.6</v>
      </c>
    </row>
    <row r="55" spans="1:14" x14ac:dyDescent="0.3">
      <c r="A55" t="s">
        <v>131</v>
      </c>
      <c r="B55" t="s">
        <v>34</v>
      </c>
      <c r="C55" s="1">
        <v>45171</v>
      </c>
      <c r="D55" s="2">
        <f>YEAR(Table1[[#This Row],[PurchaseDate]])</f>
        <v>2023</v>
      </c>
      <c r="E55" s="2" t="str">
        <f>"Q"&amp;ROUNDUP(MONTH(Table1[[#This Row],[PurchaseDate]])/3,0)</f>
        <v>Q3</v>
      </c>
      <c r="F55" s="2">
        <f>MONTH(Table1[[#This Row],[PurchaseDate]])</f>
        <v>9</v>
      </c>
      <c r="G55" s="2" t="str">
        <f>TEXT(Table1[[#This Row],[PurchaseDate]],"MMM")</f>
        <v>Sep</v>
      </c>
      <c r="H55">
        <v>5</v>
      </c>
      <c r="I55">
        <v>696.64</v>
      </c>
      <c r="J55" t="s">
        <v>132</v>
      </c>
      <c r="K55" t="s">
        <v>18</v>
      </c>
      <c r="L55" t="s">
        <v>27</v>
      </c>
      <c r="M55">
        <v>1</v>
      </c>
      <c r="N55">
        <v>3483.2</v>
      </c>
    </row>
    <row r="56" spans="1:14" x14ac:dyDescent="0.3">
      <c r="A56" t="s">
        <v>133</v>
      </c>
      <c r="B56" t="s">
        <v>42</v>
      </c>
      <c r="C56" s="1">
        <v>45398</v>
      </c>
      <c r="D56" s="2">
        <f>YEAR(Table1[[#This Row],[PurchaseDate]])</f>
        <v>2024</v>
      </c>
      <c r="E56" s="2" t="str">
        <f>"Q"&amp;ROUNDUP(MONTH(Table1[[#This Row],[PurchaseDate]])/3,0)</f>
        <v>Q2</v>
      </c>
      <c r="F56" s="2">
        <f>MONTH(Table1[[#This Row],[PurchaseDate]])</f>
        <v>4</v>
      </c>
      <c r="G56" s="2" t="str">
        <f>TEXT(Table1[[#This Row],[PurchaseDate]],"MMM")</f>
        <v>Apr</v>
      </c>
      <c r="H56">
        <v>4</v>
      </c>
      <c r="I56">
        <v>102.51</v>
      </c>
      <c r="J56" t="s">
        <v>134</v>
      </c>
      <c r="K56" t="s">
        <v>18</v>
      </c>
      <c r="L56" t="s">
        <v>58</v>
      </c>
      <c r="M56">
        <v>4</v>
      </c>
      <c r="N56">
        <v>410.04</v>
      </c>
    </row>
    <row r="57" spans="1:14" x14ac:dyDescent="0.3">
      <c r="A57" t="s">
        <v>135</v>
      </c>
      <c r="B57" t="s">
        <v>25</v>
      </c>
      <c r="C57" s="1">
        <v>45094</v>
      </c>
      <c r="D57" s="2">
        <f>YEAR(Table1[[#This Row],[PurchaseDate]])</f>
        <v>2023</v>
      </c>
      <c r="E57" s="2" t="str">
        <f>"Q"&amp;ROUNDUP(MONTH(Table1[[#This Row],[PurchaseDate]])/3,0)</f>
        <v>Q2</v>
      </c>
      <c r="F57" s="2">
        <f>MONTH(Table1[[#This Row],[PurchaseDate]])</f>
        <v>6</v>
      </c>
      <c r="G57" s="2" t="str">
        <f>TEXT(Table1[[#This Row],[PurchaseDate]],"MMM")</f>
        <v>Jun</v>
      </c>
      <c r="H57">
        <v>5</v>
      </c>
      <c r="I57">
        <v>532.44000000000005</v>
      </c>
      <c r="J57" t="s">
        <v>136</v>
      </c>
      <c r="K57" t="s">
        <v>13</v>
      </c>
      <c r="L57" t="s">
        <v>27</v>
      </c>
      <c r="M57">
        <v>1</v>
      </c>
      <c r="N57">
        <v>2662.2</v>
      </c>
    </row>
    <row r="58" spans="1:14" x14ac:dyDescent="0.3">
      <c r="A58" t="s">
        <v>137</v>
      </c>
      <c r="B58" t="s">
        <v>25</v>
      </c>
      <c r="C58" s="1">
        <v>45493</v>
      </c>
      <c r="D58" s="2">
        <f>YEAR(Table1[[#This Row],[PurchaseDate]])</f>
        <v>2024</v>
      </c>
      <c r="E58" s="2" t="str">
        <f>"Q"&amp;ROUNDUP(MONTH(Table1[[#This Row],[PurchaseDate]])/3,0)</f>
        <v>Q3</v>
      </c>
      <c r="F58" s="2">
        <f>MONTH(Table1[[#This Row],[PurchaseDate]])</f>
        <v>7</v>
      </c>
      <c r="G58" s="2" t="str">
        <f>TEXT(Table1[[#This Row],[PurchaseDate]],"MMM")</f>
        <v>Jul</v>
      </c>
      <c r="H58">
        <v>1</v>
      </c>
      <c r="I58">
        <v>551.09</v>
      </c>
      <c r="J58" t="s">
        <v>138</v>
      </c>
      <c r="K58" t="s">
        <v>18</v>
      </c>
      <c r="L58" t="s">
        <v>14</v>
      </c>
      <c r="M58">
        <v>5</v>
      </c>
      <c r="N58">
        <v>551.09</v>
      </c>
    </row>
    <row r="59" spans="1:14" x14ac:dyDescent="0.3">
      <c r="A59" t="s">
        <v>139</v>
      </c>
      <c r="B59" t="s">
        <v>25</v>
      </c>
      <c r="C59" s="1">
        <v>45062</v>
      </c>
      <c r="D59" s="2">
        <f>YEAR(Table1[[#This Row],[PurchaseDate]])</f>
        <v>2023</v>
      </c>
      <c r="E59" s="2" t="str">
        <f>"Q"&amp;ROUNDUP(MONTH(Table1[[#This Row],[PurchaseDate]])/3,0)</f>
        <v>Q2</v>
      </c>
      <c r="F59" s="2">
        <f>MONTH(Table1[[#This Row],[PurchaseDate]])</f>
        <v>5</v>
      </c>
      <c r="G59" s="2" t="str">
        <f>TEXT(Table1[[#This Row],[PurchaseDate]],"MMM")</f>
        <v>May</v>
      </c>
      <c r="H59">
        <v>6</v>
      </c>
      <c r="I59">
        <v>431.45</v>
      </c>
      <c r="J59" t="s">
        <v>140</v>
      </c>
      <c r="K59" t="s">
        <v>38</v>
      </c>
      <c r="L59" t="s">
        <v>19</v>
      </c>
      <c r="M59">
        <v>5</v>
      </c>
      <c r="N59">
        <v>2588.6999999999998</v>
      </c>
    </row>
    <row r="60" spans="1:14" x14ac:dyDescent="0.3">
      <c r="A60" t="s">
        <v>141</v>
      </c>
      <c r="B60" t="s">
        <v>25</v>
      </c>
      <c r="C60" s="1">
        <v>44961</v>
      </c>
      <c r="D60" s="2">
        <f>YEAR(Table1[[#This Row],[PurchaseDate]])</f>
        <v>2023</v>
      </c>
      <c r="E60" s="2" t="str">
        <f>"Q"&amp;ROUNDUP(MONTH(Table1[[#This Row],[PurchaseDate]])/3,0)</f>
        <v>Q1</v>
      </c>
      <c r="F60" s="2">
        <f>MONTH(Table1[[#This Row],[PurchaseDate]])</f>
        <v>2</v>
      </c>
      <c r="G60" s="2" t="str">
        <f>TEXT(Table1[[#This Row],[PurchaseDate]],"MMM")</f>
        <v>Feb</v>
      </c>
      <c r="H60">
        <v>6</v>
      </c>
      <c r="I60">
        <v>733.87</v>
      </c>
      <c r="J60" t="s">
        <v>142</v>
      </c>
      <c r="K60" t="s">
        <v>38</v>
      </c>
      <c r="L60" t="s">
        <v>58</v>
      </c>
      <c r="M60">
        <v>5</v>
      </c>
      <c r="N60">
        <v>4403.22</v>
      </c>
    </row>
    <row r="61" spans="1:14" x14ac:dyDescent="0.3">
      <c r="A61" t="s">
        <v>143</v>
      </c>
      <c r="B61" t="s">
        <v>25</v>
      </c>
      <c r="C61" s="1">
        <v>45562</v>
      </c>
      <c r="D61" s="2">
        <f>YEAR(Table1[[#This Row],[PurchaseDate]])</f>
        <v>2024</v>
      </c>
      <c r="E61" s="2" t="str">
        <f>"Q"&amp;ROUNDUP(MONTH(Table1[[#This Row],[PurchaseDate]])/3,0)</f>
        <v>Q3</v>
      </c>
      <c r="F61" s="2">
        <f>MONTH(Table1[[#This Row],[PurchaseDate]])</f>
        <v>9</v>
      </c>
      <c r="G61" s="2" t="str">
        <f>TEXT(Table1[[#This Row],[PurchaseDate]],"MMM")</f>
        <v>Sep</v>
      </c>
      <c r="H61">
        <v>5</v>
      </c>
      <c r="I61">
        <v>275.86</v>
      </c>
      <c r="J61" t="s">
        <v>144</v>
      </c>
      <c r="K61" t="s">
        <v>13</v>
      </c>
      <c r="L61" t="s">
        <v>23</v>
      </c>
      <c r="M61">
        <v>5</v>
      </c>
      <c r="N61">
        <v>1379.3</v>
      </c>
    </row>
    <row r="62" spans="1:14" x14ac:dyDescent="0.3">
      <c r="A62" t="s">
        <v>145</v>
      </c>
      <c r="B62" t="s">
        <v>42</v>
      </c>
      <c r="C62" s="1">
        <v>45448</v>
      </c>
      <c r="D62" s="2">
        <f>YEAR(Table1[[#This Row],[PurchaseDate]])</f>
        <v>2024</v>
      </c>
      <c r="E62" s="2" t="str">
        <f>"Q"&amp;ROUNDUP(MONTH(Table1[[#This Row],[PurchaseDate]])/3,0)</f>
        <v>Q2</v>
      </c>
      <c r="F62" s="2">
        <f>MONTH(Table1[[#This Row],[PurchaseDate]])</f>
        <v>6</v>
      </c>
      <c r="G62" s="2" t="str">
        <f>TEXT(Table1[[#This Row],[PurchaseDate]],"MMM")</f>
        <v>Jun</v>
      </c>
      <c r="H62">
        <v>8</v>
      </c>
      <c r="I62">
        <v>310.69</v>
      </c>
      <c r="J62" t="s">
        <v>146</v>
      </c>
      <c r="K62" t="s">
        <v>38</v>
      </c>
      <c r="L62" t="s">
        <v>19</v>
      </c>
      <c r="M62">
        <v>1</v>
      </c>
      <c r="N62">
        <v>2485.52</v>
      </c>
    </row>
    <row r="63" spans="1:14" x14ac:dyDescent="0.3">
      <c r="A63" t="s">
        <v>147</v>
      </c>
      <c r="B63" t="s">
        <v>42</v>
      </c>
      <c r="C63" s="1">
        <v>45831</v>
      </c>
      <c r="D63" s="2">
        <f>YEAR(Table1[[#This Row],[PurchaseDate]])</f>
        <v>2025</v>
      </c>
      <c r="E63" s="2" t="str">
        <f>"Q"&amp;ROUNDUP(MONTH(Table1[[#This Row],[PurchaseDate]])/3,0)</f>
        <v>Q2</v>
      </c>
      <c r="F63" s="2">
        <f>MONTH(Table1[[#This Row],[PurchaseDate]])</f>
        <v>6</v>
      </c>
      <c r="G63" s="2" t="str">
        <f>TEXT(Table1[[#This Row],[PurchaseDate]],"MMM")</f>
        <v>Jun</v>
      </c>
      <c r="H63">
        <v>6</v>
      </c>
      <c r="I63">
        <v>755.15</v>
      </c>
      <c r="J63" t="s">
        <v>148</v>
      </c>
      <c r="K63" t="s">
        <v>13</v>
      </c>
      <c r="L63" t="s">
        <v>23</v>
      </c>
      <c r="M63">
        <v>3</v>
      </c>
      <c r="N63">
        <v>4530.8999999999996</v>
      </c>
    </row>
    <row r="64" spans="1:14" x14ac:dyDescent="0.3">
      <c r="A64" t="s">
        <v>149</v>
      </c>
      <c r="B64" t="s">
        <v>25</v>
      </c>
      <c r="C64" s="1">
        <v>44941</v>
      </c>
      <c r="D64" s="2">
        <f>YEAR(Table1[[#This Row],[PurchaseDate]])</f>
        <v>2023</v>
      </c>
      <c r="E64" s="2" t="str">
        <f>"Q"&amp;ROUNDUP(MONTH(Table1[[#This Row],[PurchaseDate]])/3,0)</f>
        <v>Q1</v>
      </c>
      <c r="F64" s="2">
        <f>MONTH(Table1[[#This Row],[PurchaseDate]])</f>
        <v>1</v>
      </c>
      <c r="G64" s="2" t="str">
        <f>TEXT(Table1[[#This Row],[PurchaseDate]],"MMM")</f>
        <v>Jan</v>
      </c>
      <c r="H64">
        <v>7</v>
      </c>
      <c r="I64">
        <v>714.61</v>
      </c>
      <c r="J64" t="s">
        <v>150</v>
      </c>
      <c r="K64" t="s">
        <v>18</v>
      </c>
      <c r="L64" t="s">
        <v>19</v>
      </c>
      <c r="M64">
        <v>2</v>
      </c>
      <c r="N64">
        <v>5002.2700000000004</v>
      </c>
    </row>
    <row r="65" spans="1:14" x14ac:dyDescent="0.3">
      <c r="A65" t="s">
        <v>151</v>
      </c>
      <c r="B65" t="s">
        <v>21</v>
      </c>
      <c r="C65" s="1">
        <v>45202</v>
      </c>
      <c r="D65" s="2">
        <f>YEAR(Table1[[#This Row],[PurchaseDate]])</f>
        <v>2023</v>
      </c>
      <c r="E65" s="2" t="str">
        <f>"Q"&amp;ROUNDUP(MONTH(Table1[[#This Row],[PurchaseDate]])/3,0)</f>
        <v>Q4</v>
      </c>
      <c r="F65" s="2">
        <f>MONTH(Table1[[#This Row],[PurchaseDate]])</f>
        <v>10</v>
      </c>
      <c r="G65" s="2" t="str">
        <f>TEXT(Table1[[#This Row],[PurchaseDate]],"MMM")</f>
        <v>Oct</v>
      </c>
      <c r="H65">
        <v>7</v>
      </c>
      <c r="I65">
        <v>518</v>
      </c>
      <c r="J65" t="s">
        <v>152</v>
      </c>
      <c r="K65" t="s">
        <v>13</v>
      </c>
      <c r="L65" t="s">
        <v>23</v>
      </c>
      <c r="M65">
        <v>2</v>
      </c>
      <c r="N65">
        <v>3626</v>
      </c>
    </row>
    <row r="66" spans="1:14" x14ac:dyDescent="0.3">
      <c r="A66" t="s">
        <v>153</v>
      </c>
      <c r="B66" t="s">
        <v>29</v>
      </c>
      <c r="C66" s="1">
        <v>44991</v>
      </c>
      <c r="D66" s="2">
        <f>YEAR(Table1[[#This Row],[PurchaseDate]])</f>
        <v>2023</v>
      </c>
      <c r="E66" s="2" t="str">
        <f>"Q"&amp;ROUNDUP(MONTH(Table1[[#This Row],[PurchaseDate]])/3,0)</f>
        <v>Q1</v>
      </c>
      <c r="F66" s="2">
        <f>MONTH(Table1[[#This Row],[PurchaseDate]])</f>
        <v>3</v>
      </c>
      <c r="G66" s="2" t="str">
        <f>TEXT(Table1[[#This Row],[PurchaseDate]],"MMM")</f>
        <v>Mar</v>
      </c>
      <c r="H66">
        <v>4</v>
      </c>
      <c r="I66">
        <v>137.51</v>
      </c>
      <c r="J66" t="s">
        <v>154</v>
      </c>
      <c r="K66" t="s">
        <v>18</v>
      </c>
      <c r="L66" t="s">
        <v>14</v>
      </c>
      <c r="M66">
        <v>4</v>
      </c>
      <c r="N66">
        <v>550.04</v>
      </c>
    </row>
    <row r="67" spans="1:14" x14ac:dyDescent="0.3">
      <c r="A67" t="s">
        <v>155</v>
      </c>
      <c r="B67" t="s">
        <v>16</v>
      </c>
      <c r="C67" s="1">
        <v>45442</v>
      </c>
      <c r="D67" s="2">
        <f>YEAR(Table1[[#This Row],[PurchaseDate]])</f>
        <v>2024</v>
      </c>
      <c r="E67" s="2" t="str">
        <f>"Q"&amp;ROUNDUP(MONTH(Table1[[#This Row],[PurchaseDate]])/3,0)</f>
        <v>Q2</v>
      </c>
      <c r="F67" s="2">
        <f>MONTH(Table1[[#This Row],[PurchaseDate]])</f>
        <v>5</v>
      </c>
      <c r="G67" s="2" t="str">
        <f>TEXT(Table1[[#This Row],[PurchaseDate]],"MMM")</f>
        <v>May</v>
      </c>
      <c r="H67">
        <v>3</v>
      </c>
      <c r="I67">
        <v>532.46</v>
      </c>
      <c r="J67" t="s">
        <v>156</v>
      </c>
      <c r="K67" t="s">
        <v>13</v>
      </c>
      <c r="L67" t="s">
        <v>27</v>
      </c>
      <c r="M67">
        <v>1</v>
      </c>
      <c r="N67">
        <v>1597.38</v>
      </c>
    </row>
    <row r="68" spans="1:14" x14ac:dyDescent="0.3">
      <c r="A68" t="s">
        <v>157</v>
      </c>
      <c r="B68" t="s">
        <v>34</v>
      </c>
      <c r="C68" s="1">
        <v>45615</v>
      </c>
      <c r="D68" s="2">
        <f>YEAR(Table1[[#This Row],[PurchaseDate]])</f>
        <v>2024</v>
      </c>
      <c r="E68" s="2" t="str">
        <f>"Q"&amp;ROUNDUP(MONTH(Table1[[#This Row],[PurchaseDate]])/3,0)</f>
        <v>Q4</v>
      </c>
      <c r="F68" s="2">
        <f>MONTH(Table1[[#This Row],[PurchaseDate]])</f>
        <v>11</v>
      </c>
      <c r="G68" s="2" t="str">
        <f>TEXT(Table1[[#This Row],[PurchaseDate]],"MMM")</f>
        <v>Nov</v>
      </c>
      <c r="H68">
        <v>4</v>
      </c>
      <c r="I68">
        <v>180.72</v>
      </c>
      <c r="J68" t="s">
        <v>158</v>
      </c>
      <c r="K68" t="s">
        <v>13</v>
      </c>
      <c r="L68" t="s">
        <v>58</v>
      </c>
      <c r="M68">
        <v>2</v>
      </c>
      <c r="N68">
        <v>722.88</v>
      </c>
    </row>
    <row r="69" spans="1:14" x14ac:dyDescent="0.3">
      <c r="A69" t="s">
        <v>159</v>
      </c>
      <c r="B69" t="s">
        <v>29</v>
      </c>
      <c r="C69" s="1">
        <v>45013</v>
      </c>
      <c r="D69" s="2">
        <f>YEAR(Table1[[#This Row],[PurchaseDate]])</f>
        <v>2023</v>
      </c>
      <c r="E69" s="2" t="str">
        <f>"Q"&amp;ROUNDUP(MONTH(Table1[[#This Row],[PurchaseDate]])/3,0)</f>
        <v>Q1</v>
      </c>
      <c r="F69" s="2">
        <f>MONTH(Table1[[#This Row],[PurchaseDate]])</f>
        <v>3</v>
      </c>
      <c r="G69" s="2" t="str">
        <f>TEXT(Table1[[#This Row],[PurchaseDate]],"MMM")</f>
        <v>Mar</v>
      </c>
      <c r="H69">
        <v>1</v>
      </c>
      <c r="I69">
        <v>724.47</v>
      </c>
      <c r="J69" t="s">
        <v>160</v>
      </c>
      <c r="K69" t="s">
        <v>13</v>
      </c>
      <c r="L69" t="s">
        <v>14</v>
      </c>
      <c r="M69">
        <v>5</v>
      </c>
      <c r="N69">
        <v>724.47</v>
      </c>
    </row>
    <row r="70" spans="1:14" x14ac:dyDescent="0.3">
      <c r="A70" t="s">
        <v>161</v>
      </c>
      <c r="B70" t="s">
        <v>21</v>
      </c>
      <c r="C70" s="1">
        <v>45106</v>
      </c>
      <c r="D70" s="2">
        <f>YEAR(Table1[[#This Row],[PurchaseDate]])</f>
        <v>2023</v>
      </c>
      <c r="E70" s="2" t="str">
        <f>"Q"&amp;ROUNDUP(MONTH(Table1[[#This Row],[PurchaseDate]])/3,0)</f>
        <v>Q2</v>
      </c>
      <c r="F70" s="2">
        <f>MONTH(Table1[[#This Row],[PurchaseDate]])</f>
        <v>6</v>
      </c>
      <c r="G70" s="2" t="str">
        <f>TEXT(Table1[[#This Row],[PurchaseDate]],"MMM")</f>
        <v>Jun</v>
      </c>
      <c r="H70">
        <v>1</v>
      </c>
      <c r="I70">
        <v>324.92</v>
      </c>
      <c r="J70" t="s">
        <v>162</v>
      </c>
      <c r="K70" t="s">
        <v>38</v>
      </c>
      <c r="L70" t="s">
        <v>19</v>
      </c>
      <c r="M70">
        <v>3</v>
      </c>
      <c r="N70">
        <v>324.92</v>
      </c>
    </row>
    <row r="71" spans="1:14" x14ac:dyDescent="0.3">
      <c r="A71" t="s">
        <v>163</v>
      </c>
      <c r="B71" t="s">
        <v>34</v>
      </c>
      <c r="C71" s="1">
        <v>45744</v>
      </c>
      <c r="D71" s="2">
        <f>YEAR(Table1[[#This Row],[PurchaseDate]])</f>
        <v>2025</v>
      </c>
      <c r="E71" s="2" t="str">
        <f>"Q"&amp;ROUNDUP(MONTH(Table1[[#This Row],[PurchaseDate]])/3,0)</f>
        <v>Q1</v>
      </c>
      <c r="F71" s="2">
        <f>MONTH(Table1[[#This Row],[PurchaseDate]])</f>
        <v>3</v>
      </c>
      <c r="G71" s="2" t="str">
        <f>TEXT(Table1[[#This Row],[PurchaseDate]],"MMM")</f>
        <v>Mar</v>
      </c>
      <c r="H71">
        <v>8</v>
      </c>
      <c r="I71">
        <v>73.739999999999995</v>
      </c>
      <c r="J71" t="s">
        <v>164</v>
      </c>
      <c r="K71" t="s">
        <v>18</v>
      </c>
      <c r="L71" t="s">
        <v>19</v>
      </c>
      <c r="M71">
        <v>1</v>
      </c>
      <c r="N71">
        <v>589.91999999999996</v>
      </c>
    </row>
    <row r="72" spans="1:14" x14ac:dyDescent="0.3">
      <c r="A72" t="s">
        <v>165</v>
      </c>
      <c r="B72" t="s">
        <v>29</v>
      </c>
      <c r="C72" s="1">
        <v>45779</v>
      </c>
      <c r="D72" s="2">
        <f>YEAR(Table1[[#This Row],[PurchaseDate]])</f>
        <v>2025</v>
      </c>
      <c r="E72" s="2" t="str">
        <f>"Q"&amp;ROUNDUP(MONTH(Table1[[#This Row],[PurchaseDate]])/3,0)</f>
        <v>Q2</v>
      </c>
      <c r="F72" s="2">
        <f>MONTH(Table1[[#This Row],[PurchaseDate]])</f>
        <v>5</v>
      </c>
      <c r="G72" s="2" t="str">
        <f>TEXT(Table1[[#This Row],[PurchaseDate]],"MMM")</f>
        <v>May</v>
      </c>
      <c r="H72">
        <v>6</v>
      </c>
      <c r="I72">
        <v>428.89</v>
      </c>
      <c r="J72" t="s">
        <v>166</v>
      </c>
      <c r="K72" t="s">
        <v>38</v>
      </c>
      <c r="L72" t="s">
        <v>27</v>
      </c>
      <c r="M72">
        <v>4</v>
      </c>
      <c r="N72">
        <v>2573.34</v>
      </c>
    </row>
    <row r="73" spans="1:14" x14ac:dyDescent="0.3">
      <c r="A73" t="s">
        <v>167</v>
      </c>
      <c r="B73" t="s">
        <v>21</v>
      </c>
      <c r="C73" s="1">
        <v>45344</v>
      </c>
      <c r="D73" s="2">
        <f>YEAR(Table1[[#This Row],[PurchaseDate]])</f>
        <v>2024</v>
      </c>
      <c r="E73" s="2" t="str">
        <f>"Q"&amp;ROUNDUP(MONTH(Table1[[#This Row],[PurchaseDate]])/3,0)</f>
        <v>Q1</v>
      </c>
      <c r="F73" s="2">
        <f>MONTH(Table1[[#This Row],[PurchaseDate]])</f>
        <v>2</v>
      </c>
      <c r="G73" s="2" t="str">
        <f>TEXT(Table1[[#This Row],[PurchaseDate]],"MMM")</f>
        <v>Feb</v>
      </c>
      <c r="H73">
        <v>3</v>
      </c>
      <c r="I73">
        <v>239.55</v>
      </c>
      <c r="J73" t="s">
        <v>168</v>
      </c>
      <c r="K73" t="s">
        <v>38</v>
      </c>
      <c r="L73" t="s">
        <v>14</v>
      </c>
      <c r="M73">
        <v>4</v>
      </c>
      <c r="N73">
        <v>718.65</v>
      </c>
    </row>
    <row r="74" spans="1:14" x14ac:dyDescent="0.3">
      <c r="A74" t="s">
        <v>169</v>
      </c>
      <c r="B74" t="s">
        <v>29</v>
      </c>
      <c r="C74" s="1">
        <v>45718</v>
      </c>
      <c r="D74" s="2">
        <f>YEAR(Table1[[#This Row],[PurchaseDate]])</f>
        <v>2025</v>
      </c>
      <c r="E74" s="2" t="str">
        <f>"Q"&amp;ROUNDUP(MONTH(Table1[[#This Row],[PurchaseDate]])/3,0)</f>
        <v>Q1</v>
      </c>
      <c r="F74" s="2">
        <f>MONTH(Table1[[#This Row],[PurchaseDate]])</f>
        <v>3</v>
      </c>
      <c r="G74" s="2" t="str">
        <f>TEXT(Table1[[#This Row],[PurchaseDate]],"MMM")</f>
        <v>Mar</v>
      </c>
      <c r="H74">
        <v>5</v>
      </c>
      <c r="I74">
        <v>780.03</v>
      </c>
      <c r="J74" t="s">
        <v>170</v>
      </c>
      <c r="K74" t="s">
        <v>38</v>
      </c>
      <c r="L74" t="s">
        <v>23</v>
      </c>
      <c r="M74">
        <v>2</v>
      </c>
      <c r="N74">
        <v>3900.15</v>
      </c>
    </row>
    <row r="75" spans="1:14" x14ac:dyDescent="0.3">
      <c r="A75" t="s">
        <v>171</v>
      </c>
      <c r="B75" t="s">
        <v>25</v>
      </c>
      <c r="C75" s="1">
        <v>45541</v>
      </c>
      <c r="D75" s="2">
        <f>YEAR(Table1[[#This Row],[PurchaseDate]])</f>
        <v>2024</v>
      </c>
      <c r="E75" s="2" t="str">
        <f>"Q"&amp;ROUNDUP(MONTH(Table1[[#This Row],[PurchaseDate]])/3,0)</f>
        <v>Q3</v>
      </c>
      <c r="F75" s="2">
        <f>MONTH(Table1[[#This Row],[PurchaseDate]])</f>
        <v>9</v>
      </c>
      <c r="G75" s="2" t="str">
        <f>TEXT(Table1[[#This Row],[PurchaseDate]],"MMM")</f>
        <v>Sep</v>
      </c>
      <c r="H75">
        <v>2</v>
      </c>
      <c r="I75">
        <v>778.43</v>
      </c>
      <c r="J75" t="s">
        <v>172</v>
      </c>
      <c r="K75" t="s">
        <v>38</v>
      </c>
      <c r="L75" t="s">
        <v>27</v>
      </c>
      <c r="M75">
        <v>4</v>
      </c>
      <c r="N75">
        <v>1556.86</v>
      </c>
    </row>
    <row r="76" spans="1:14" x14ac:dyDescent="0.3">
      <c r="A76" t="s">
        <v>173</v>
      </c>
      <c r="B76" t="s">
        <v>29</v>
      </c>
      <c r="C76" s="1">
        <v>45655</v>
      </c>
      <c r="D76" s="2">
        <f>YEAR(Table1[[#This Row],[PurchaseDate]])</f>
        <v>2024</v>
      </c>
      <c r="E76" s="2" t="str">
        <f>"Q"&amp;ROUNDUP(MONTH(Table1[[#This Row],[PurchaseDate]])/3,0)</f>
        <v>Q4</v>
      </c>
      <c r="F76" s="2">
        <f>MONTH(Table1[[#This Row],[PurchaseDate]])</f>
        <v>12</v>
      </c>
      <c r="G76" s="2" t="str">
        <f>TEXT(Table1[[#This Row],[PurchaseDate]],"MMM")</f>
        <v>Dec</v>
      </c>
      <c r="H76">
        <v>3</v>
      </c>
      <c r="I76">
        <v>512.36</v>
      </c>
      <c r="J76" t="s">
        <v>174</v>
      </c>
      <c r="K76" t="s">
        <v>38</v>
      </c>
      <c r="L76" t="s">
        <v>58</v>
      </c>
      <c r="M76">
        <v>5</v>
      </c>
      <c r="N76">
        <v>1537.08</v>
      </c>
    </row>
    <row r="77" spans="1:14" x14ac:dyDescent="0.3">
      <c r="A77" t="s">
        <v>175</v>
      </c>
      <c r="B77" t="s">
        <v>42</v>
      </c>
      <c r="C77" s="1">
        <v>45107</v>
      </c>
      <c r="D77" s="2">
        <f>YEAR(Table1[[#This Row],[PurchaseDate]])</f>
        <v>2023</v>
      </c>
      <c r="E77" s="2" t="str">
        <f>"Q"&amp;ROUNDUP(MONTH(Table1[[#This Row],[PurchaseDate]])/3,0)</f>
        <v>Q2</v>
      </c>
      <c r="F77" s="2">
        <f>MONTH(Table1[[#This Row],[PurchaseDate]])</f>
        <v>6</v>
      </c>
      <c r="G77" s="2" t="str">
        <f>TEXT(Table1[[#This Row],[PurchaseDate]],"MMM")</f>
        <v>Jun</v>
      </c>
      <c r="H77">
        <v>2</v>
      </c>
      <c r="I77">
        <v>235.11</v>
      </c>
      <c r="J77" t="s">
        <v>176</v>
      </c>
      <c r="K77" t="s">
        <v>38</v>
      </c>
      <c r="L77" t="s">
        <v>19</v>
      </c>
      <c r="M77">
        <v>1</v>
      </c>
      <c r="N77">
        <v>470.22</v>
      </c>
    </row>
    <row r="78" spans="1:14" x14ac:dyDescent="0.3">
      <c r="A78" t="s">
        <v>177</v>
      </c>
      <c r="B78" t="s">
        <v>11</v>
      </c>
      <c r="C78" s="1">
        <v>45449</v>
      </c>
      <c r="D78" s="2">
        <f>YEAR(Table1[[#This Row],[PurchaseDate]])</f>
        <v>2024</v>
      </c>
      <c r="E78" s="2" t="str">
        <f>"Q"&amp;ROUNDUP(MONTH(Table1[[#This Row],[PurchaseDate]])/3,0)</f>
        <v>Q2</v>
      </c>
      <c r="F78" s="2">
        <f>MONTH(Table1[[#This Row],[PurchaseDate]])</f>
        <v>6</v>
      </c>
      <c r="G78" s="2" t="str">
        <f>TEXT(Table1[[#This Row],[PurchaseDate]],"MMM")</f>
        <v>Jun</v>
      </c>
      <c r="H78">
        <v>2</v>
      </c>
      <c r="I78">
        <v>406.09</v>
      </c>
      <c r="J78" t="s">
        <v>178</v>
      </c>
      <c r="K78" t="s">
        <v>18</v>
      </c>
      <c r="L78" t="s">
        <v>19</v>
      </c>
      <c r="M78">
        <v>5</v>
      </c>
      <c r="N78">
        <v>812.18</v>
      </c>
    </row>
    <row r="79" spans="1:14" x14ac:dyDescent="0.3">
      <c r="A79" t="s">
        <v>179</v>
      </c>
      <c r="B79" t="s">
        <v>42</v>
      </c>
      <c r="C79" s="1">
        <v>45756</v>
      </c>
      <c r="D79" s="2">
        <f>YEAR(Table1[[#This Row],[PurchaseDate]])</f>
        <v>2025</v>
      </c>
      <c r="E79" s="2" t="str">
        <f>"Q"&amp;ROUNDUP(MONTH(Table1[[#This Row],[PurchaseDate]])/3,0)</f>
        <v>Q2</v>
      </c>
      <c r="F79" s="2">
        <f>MONTH(Table1[[#This Row],[PurchaseDate]])</f>
        <v>4</v>
      </c>
      <c r="G79" s="2" t="str">
        <f>TEXT(Table1[[#This Row],[PurchaseDate]],"MMM")</f>
        <v>Apr</v>
      </c>
      <c r="H79">
        <v>8</v>
      </c>
      <c r="I79">
        <v>23.72</v>
      </c>
      <c r="J79" t="s">
        <v>180</v>
      </c>
      <c r="K79" t="s">
        <v>18</v>
      </c>
      <c r="L79" t="s">
        <v>19</v>
      </c>
      <c r="M79">
        <v>5</v>
      </c>
      <c r="N79">
        <v>189.76</v>
      </c>
    </row>
    <row r="80" spans="1:14" x14ac:dyDescent="0.3">
      <c r="A80" t="s">
        <v>181</v>
      </c>
      <c r="B80" t="s">
        <v>11</v>
      </c>
      <c r="C80" s="1">
        <v>45347</v>
      </c>
      <c r="D80" s="2">
        <f>YEAR(Table1[[#This Row],[PurchaseDate]])</f>
        <v>2024</v>
      </c>
      <c r="E80" s="2" t="str">
        <f>"Q"&amp;ROUNDUP(MONTH(Table1[[#This Row],[PurchaseDate]])/3,0)</f>
        <v>Q1</v>
      </c>
      <c r="F80" s="2">
        <f>MONTH(Table1[[#This Row],[PurchaseDate]])</f>
        <v>2</v>
      </c>
      <c r="G80" s="2" t="str">
        <f>TEXT(Table1[[#This Row],[PurchaseDate]],"MMM")</f>
        <v>Feb</v>
      </c>
      <c r="H80">
        <v>1</v>
      </c>
      <c r="I80">
        <v>566.54</v>
      </c>
      <c r="J80" t="s">
        <v>182</v>
      </c>
      <c r="K80" t="s">
        <v>13</v>
      </c>
      <c r="L80" t="s">
        <v>58</v>
      </c>
      <c r="M80">
        <v>2</v>
      </c>
      <c r="N80">
        <v>566.54</v>
      </c>
    </row>
    <row r="81" spans="1:14" x14ac:dyDescent="0.3">
      <c r="A81" t="s">
        <v>183</v>
      </c>
      <c r="B81" t="s">
        <v>16</v>
      </c>
      <c r="C81" s="1">
        <v>45701</v>
      </c>
      <c r="D81" s="2">
        <f>YEAR(Table1[[#This Row],[PurchaseDate]])</f>
        <v>2025</v>
      </c>
      <c r="E81" s="2" t="str">
        <f>"Q"&amp;ROUNDUP(MONTH(Table1[[#This Row],[PurchaseDate]])/3,0)</f>
        <v>Q1</v>
      </c>
      <c r="F81" s="2">
        <f>MONTH(Table1[[#This Row],[PurchaseDate]])</f>
        <v>2</v>
      </c>
      <c r="G81" s="2" t="str">
        <f>TEXT(Table1[[#This Row],[PurchaseDate]],"MMM")</f>
        <v>Feb</v>
      </c>
      <c r="H81">
        <v>1</v>
      </c>
      <c r="I81">
        <v>286.54000000000002</v>
      </c>
      <c r="J81" t="s">
        <v>184</v>
      </c>
      <c r="K81" t="s">
        <v>38</v>
      </c>
      <c r="L81" t="s">
        <v>27</v>
      </c>
      <c r="M81">
        <v>4</v>
      </c>
      <c r="N81">
        <v>286.54000000000002</v>
      </c>
    </row>
    <row r="82" spans="1:14" x14ac:dyDescent="0.3">
      <c r="A82" t="s">
        <v>185</v>
      </c>
      <c r="B82" t="s">
        <v>34</v>
      </c>
      <c r="C82" s="1">
        <v>45159</v>
      </c>
      <c r="D82" s="2">
        <f>YEAR(Table1[[#This Row],[PurchaseDate]])</f>
        <v>2023</v>
      </c>
      <c r="E82" s="2" t="str">
        <f>"Q"&amp;ROUNDUP(MONTH(Table1[[#This Row],[PurchaseDate]])/3,0)</f>
        <v>Q3</v>
      </c>
      <c r="F82" s="2">
        <f>MONTH(Table1[[#This Row],[PurchaseDate]])</f>
        <v>8</v>
      </c>
      <c r="G82" s="2" t="str">
        <f>TEXT(Table1[[#This Row],[PurchaseDate]],"MMM")</f>
        <v>Aug</v>
      </c>
      <c r="H82">
        <v>5</v>
      </c>
      <c r="I82">
        <v>452.08</v>
      </c>
      <c r="J82" t="s">
        <v>186</v>
      </c>
      <c r="K82" t="s">
        <v>13</v>
      </c>
      <c r="L82" t="s">
        <v>58</v>
      </c>
      <c r="M82">
        <v>2</v>
      </c>
      <c r="N82">
        <v>2260.4</v>
      </c>
    </row>
    <row r="83" spans="1:14" x14ac:dyDescent="0.3">
      <c r="A83" t="s">
        <v>187</v>
      </c>
      <c r="B83" t="s">
        <v>16</v>
      </c>
      <c r="C83" s="1">
        <v>45670</v>
      </c>
      <c r="D83" s="2">
        <f>YEAR(Table1[[#This Row],[PurchaseDate]])</f>
        <v>2025</v>
      </c>
      <c r="E83" s="2" t="str">
        <f>"Q"&amp;ROUNDUP(MONTH(Table1[[#This Row],[PurchaseDate]])/3,0)</f>
        <v>Q1</v>
      </c>
      <c r="F83" s="2">
        <f>MONTH(Table1[[#This Row],[PurchaseDate]])</f>
        <v>1</v>
      </c>
      <c r="G83" s="2" t="str">
        <f>TEXT(Table1[[#This Row],[PurchaseDate]],"MMM")</f>
        <v>Jan</v>
      </c>
      <c r="H83">
        <v>1</v>
      </c>
      <c r="I83">
        <v>471.49</v>
      </c>
      <c r="J83" t="s">
        <v>188</v>
      </c>
      <c r="K83" t="s">
        <v>13</v>
      </c>
      <c r="L83" t="s">
        <v>19</v>
      </c>
      <c r="M83">
        <v>2</v>
      </c>
      <c r="N83">
        <v>471.49</v>
      </c>
    </row>
    <row r="84" spans="1:14" x14ac:dyDescent="0.3">
      <c r="A84" t="s">
        <v>189</v>
      </c>
      <c r="B84" t="s">
        <v>29</v>
      </c>
      <c r="C84" s="1">
        <v>45801</v>
      </c>
      <c r="D84" s="2">
        <f>YEAR(Table1[[#This Row],[PurchaseDate]])</f>
        <v>2025</v>
      </c>
      <c r="E84" s="2" t="str">
        <f>"Q"&amp;ROUNDUP(MONTH(Table1[[#This Row],[PurchaseDate]])/3,0)</f>
        <v>Q2</v>
      </c>
      <c r="F84" s="2">
        <f>MONTH(Table1[[#This Row],[PurchaseDate]])</f>
        <v>5</v>
      </c>
      <c r="G84" s="2" t="str">
        <f>TEXT(Table1[[#This Row],[PurchaseDate]],"MMM")</f>
        <v>May</v>
      </c>
      <c r="H84">
        <v>1</v>
      </c>
      <c r="I84">
        <v>362.07</v>
      </c>
      <c r="J84" t="s">
        <v>190</v>
      </c>
      <c r="K84" t="s">
        <v>18</v>
      </c>
      <c r="L84" t="s">
        <v>19</v>
      </c>
      <c r="M84">
        <v>4</v>
      </c>
      <c r="N84">
        <v>362.07</v>
      </c>
    </row>
    <row r="85" spans="1:14" x14ac:dyDescent="0.3">
      <c r="A85" t="s">
        <v>191</v>
      </c>
      <c r="B85" t="s">
        <v>11</v>
      </c>
      <c r="C85" s="1">
        <v>45057</v>
      </c>
      <c r="D85" s="2">
        <f>YEAR(Table1[[#This Row],[PurchaseDate]])</f>
        <v>2023</v>
      </c>
      <c r="E85" s="2" t="str">
        <f>"Q"&amp;ROUNDUP(MONTH(Table1[[#This Row],[PurchaseDate]])/3,0)</f>
        <v>Q2</v>
      </c>
      <c r="F85" s="2">
        <f>MONTH(Table1[[#This Row],[PurchaseDate]])</f>
        <v>5</v>
      </c>
      <c r="G85" s="2" t="str">
        <f>TEXT(Table1[[#This Row],[PurchaseDate]],"MMM")</f>
        <v>May</v>
      </c>
      <c r="H85">
        <v>6</v>
      </c>
      <c r="I85">
        <v>769.43</v>
      </c>
      <c r="J85" t="s">
        <v>192</v>
      </c>
      <c r="K85" t="s">
        <v>13</v>
      </c>
      <c r="L85" t="s">
        <v>58</v>
      </c>
      <c r="M85">
        <v>2</v>
      </c>
      <c r="N85">
        <v>4616.58</v>
      </c>
    </row>
    <row r="86" spans="1:14" x14ac:dyDescent="0.3">
      <c r="A86" t="s">
        <v>193</v>
      </c>
      <c r="B86" t="s">
        <v>25</v>
      </c>
      <c r="C86" s="1">
        <v>45037</v>
      </c>
      <c r="D86" s="2">
        <f>YEAR(Table1[[#This Row],[PurchaseDate]])</f>
        <v>2023</v>
      </c>
      <c r="E86" s="2" t="str">
        <f>"Q"&amp;ROUNDUP(MONTH(Table1[[#This Row],[PurchaseDate]])/3,0)</f>
        <v>Q2</v>
      </c>
      <c r="F86" s="2">
        <f>MONTH(Table1[[#This Row],[PurchaseDate]])</f>
        <v>4</v>
      </c>
      <c r="G86" s="2" t="str">
        <f>TEXT(Table1[[#This Row],[PurchaseDate]],"MMM")</f>
        <v>Apr</v>
      </c>
      <c r="H86">
        <v>3</v>
      </c>
      <c r="I86">
        <v>379.63</v>
      </c>
      <c r="J86" t="s">
        <v>194</v>
      </c>
      <c r="K86" t="s">
        <v>13</v>
      </c>
      <c r="L86" t="s">
        <v>14</v>
      </c>
      <c r="M86">
        <v>4</v>
      </c>
      <c r="N86">
        <v>1138.8900000000001</v>
      </c>
    </row>
    <row r="87" spans="1:14" x14ac:dyDescent="0.3">
      <c r="A87" t="s">
        <v>195</v>
      </c>
      <c r="B87" t="s">
        <v>42</v>
      </c>
      <c r="C87" s="1">
        <v>45439</v>
      </c>
      <c r="D87" s="2">
        <f>YEAR(Table1[[#This Row],[PurchaseDate]])</f>
        <v>2024</v>
      </c>
      <c r="E87" s="2" t="str">
        <f>"Q"&amp;ROUNDUP(MONTH(Table1[[#This Row],[PurchaseDate]])/3,0)</f>
        <v>Q2</v>
      </c>
      <c r="F87" s="2">
        <f>MONTH(Table1[[#This Row],[PurchaseDate]])</f>
        <v>5</v>
      </c>
      <c r="G87" s="2" t="str">
        <f>TEXT(Table1[[#This Row],[PurchaseDate]],"MMM")</f>
        <v>May</v>
      </c>
      <c r="H87">
        <v>2</v>
      </c>
      <c r="I87">
        <v>322.94</v>
      </c>
      <c r="J87" t="s">
        <v>196</v>
      </c>
      <c r="K87" t="s">
        <v>38</v>
      </c>
      <c r="L87" t="s">
        <v>19</v>
      </c>
      <c r="M87">
        <v>3</v>
      </c>
      <c r="N87">
        <v>645.88</v>
      </c>
    </row>
    <row r="88" spans="1:14" x14ac:dyDescent="0.3">
      <c r="A88" t="s">
        <v>197</v>
      </c>
      <c r="B88" t="s">
        <v>16</v>
      </c>
      <c r="C88" s="1">
        <v>45144</v>
      </c>
      <c r="D88" s="2">
        <f>YEAR(Table1[[#This Row],[PurchaseDate]])</f>
        <v>2023</v>
      </c>
      <c r="E88" s="2" t="str">
        <f>"Q"&amp;ROUNDUP(MONTH(Table1[[#This Row],[PurchaseDate]])/3,0)</f>
        <v>Q3</v>
      </c>
      <c r="F88" s="2">
        <f>MONTH(Table1[[#This Row],[PurchaseDate]])</f>
        <v>8</v>
      </c>
      <c r="G88" s="2" t="str">
        <f>TEXT(Table1[[#This Row],[PurchaseDate]],"MMM")</f>
        <v>Aug</v>
      </c>
      <c r="H88">
        <v>6</v>
      </c>
      <c r="I88">
        <v>729.68</v>
      </c>
      <c r="J88" t="s">
        <v>198</v>
      </c>
      <c r="K88" t="s">
        <v>38</v>
      </c>
      <c r="L88" t="s">
        <v>27</v>
      </c>
      <c r="M88">
        <v>4</v>
      </c>
      <c r="N88">
        <v>4378.08</v>
      </c>
    </row>
    <row r="89" spans="1:14" x14ac:dyDescent="0.3">
      <c r="A89" t="s">
        <v>199</v>
      </c>
      <c r="B89" t="s">
        <v>25</v>
      </c>
      <c r="C89" s="1">
        <v>45600</v>
      </c>
      <c r="D89" s="2">
        <f>YEAR(Table1[[#This Row],[PurchaseDate]])</f>
        <v>2024</v>
      </c>
      <c r="E89" s="2" t="str">
        <f>"Q"&amp;ROUNDUP(MONTH(Table1[[#This Row],[PurchaseDate]])/3,0)</f>
        <v>Q4</v>
      </c>
      <c r="F89" s="2">
        <f>MONTH(Table1[[#This Row],[PurchaseDate]])</f>
        <v>11</v>
      </c>
      <c r="G89" s="2" t="str">
        <f>TEXT(Table1[[#This Row],[PurchaseDate]],"MMM")</f>
        <v>Nov</v>
      </c>
      <c r="H89">
        <v>1</v>
      </c>
      <c r="I89">
        <v>693.07</v>
      </c>
      <c r="J89" t="s">
        <v>200</v>
      </c>
      <c r="K89" t="s">
        <v>18</v>
      </c>
      <c r="L89" t="s">
        <v>58</v>
      </c>
      <c r="M89">
        <v>3</v>
      </c>
      <c r="N89">
        <v>693.07</v>
      </c>
    </row>
    <row r="90" spans="1:14" x14ac:dyDescent="0.3">
      <c r="A90" t="s">
        <v>201</v>
      </c>
      <c r="B90" t="s">
        <v>25</v>
      </c>
      <c r="C90" s="1">
        <v>45344</v>
      </c>
      <c r="D90" s="2">
        <f>YEAR(Table1[[#This Row],[PurchaseDate]])</f>
        <v>2024</v>
      </c>
      <c r="E90" s="2" t="str">
        <f>"Q"&amp;ROUNDUP(MONTH(Table1[[#This Row],[PurchaseDate]])/3,0)</f>
        <v>Q1</v>
      </c>
      <c r="F90" s="2">
        <f>MONTH(Table1[[#This Row],[PurchaseDate]])</f>
        <v>2</v>
      </c>
      <c r="G90" s="2" t="str">
        <f>TEXT(Table1[[#This Row],[PurchaseDate]],"MMM")</f>
        <v>Feb</v>
      </c>
      <c r="H90">
        <v>6</v>
      </c>
      <c r="I90">
        <v>657.93</v>
      </c>
      <c r="J90" t="s">
        <v>202</v>
      </c>
      <c r="K90" t="s">
        <v>38</v>
      </c>
      <c r="L90" t="s">
        <v>14</v>
      </c>
      <c r="M90">
        <v>2</v>
      </c>
      <c r="N90">
        <v>3947.58</v>
      </c>
    </row>
    <row r="91" spans="1:14" x14ac:dyDescent="0.3">
      <c r="A91" t="s">
        <v>203</v>
      </c>
      <c r="B91" t="s">
        <v>42</v>
      </c>
      <c r="C91" s="1">
        <v>45636</v>
      </c>
      <c r="D91" s="2">
        <f>YEAR(Table1[[#This Row],[PurchaseDate]])</f>
        <v>2024</v>
      </c>
      <c r="E91" s="2" t="str">
        <f>"Q"&amp;ROUNDUP(MONTH(Table1[[#This Row],[PurchaseDate]])/3,0)</f>
        <v>Q4</v>
      </c>
      <c r="F91" s="2">
        <f>MONTH(Table1[[#This Row],[PurchaseDate]])</f>
        <v>12</v>
      </c>
      <c r="G91" s="2" t="str">
        <f>TEXT(Table1[[#This Row],[PurchaseDate]],"MMM")</f>
        <v>Dec</v>
      </c>
      <c r="H91">
        <v>2</v>
      </c>
      <c r="I91">
        <v>656.86</v>
      </c>
      <c r="J91" t="s">
        <v>204</v>
      </c>
      <c r="K91" t="s">
        <v>18</v>
      </c>
      <c r="L91" t="s">
        <v>58</v>
      </c>
      <c r="M91">
        <v>5</v>
      </c>
      <c r="N91">
        <v>1313.72</v>
      </c>
    </row>
    <row r="92" spans="1:14" x14ac:dyDescent="0.3">
      <c r="A92" t="s">
        <v>65</v>
      </c>
      <c r="B92" t="s">
        <v>16</v>
      </c>
      <c r="C92" s="1">
        <v>45797</v>
      </c>
      <c r="D92" s="2">
        <f>YEAR(Table1[[#This Row],[PurchaseDate]])</f>
        <v>2025</v>
      </c>
      <c r="E92" s="2" t="str">
        <f>"Q"&amp;ROUNDUP(MONTH(Table1[[#This Row],[PurchaseDate]])/3,0)</f>
        <v>Q2</v>
      </c>
      <c r="F92" s="2">
        <f>MONTH(Table1[[#This Row],[PurchaseDate]])</f>
        <v>5</v>
      </c>
      <c r="G92" s="2" t="str">
        <f>TEXT(Table1[[#This Row],[PurchaseDate]],"MMM")</f>
        <v>May</v>
      </c>
      <c r="H92">
        <v>6</v>
      </c>
      <c r="I92">
        <v>286.05</v>
      </c>
      <c r="J92" t="s">
        <v>66</v>
      </c>
      <c r="K92" t="s">
        <v>38</v>
      </c>
      <c r="L92" t="s">
        <v>14</v>
      </c>
      <c r="M92">
        <v>3</v>
      </c>
      <c r="N92">
        <v>1716.3</v>
      </c>
    </row>
    <row r="93" spans="1:14" x14ac:dyDescent="0.3">
      <c r="A93" t="s">
        <v>205</v>
      </c>
      <c r="B93" t="s">
        <v>42</v>
      </c>
      <c r="C93" s="1">
        <v>45455</v>
      </c>
      <c r="D93" s="2">
        <f>YEAR(Table1[[#This Row],[PurchaseDate]])</f>
        <v>2024</v>
      </c>
      <c r="E93" s="2" t="str">
        <f>"Q"&amp;ROUNDUP(MONTH(Table1[[#This Row],[PurchaseDate]])/3,0)</f>
        <v>Q2</v>
      </c>
      <c r="F93" s="2">
        <f>MONTH(Table1[[#This Row],[PurchaseDate]])</f>
        <v>6</v>
      </c>
      <c r="G93" s="2" t="str">
        <f>TEXT(Table1[[#This Row],[PurchaseDate]],"MMM")</f>
        <v>Jun</v>
      </c>
      <c r="H93">
        <v>7</v>
      </c>
      <c r="I93">
        <v>19.66</v>
      </c>
      <c r="J93" t="s">
        <v>206</v>
      </c>
      <c r="K93" t="s">
        <v>18</v>
      </c>
      <c r="L93" t="s">
        <v>19</v>
      </c>
      <c r="M93">
        <v>5</v>
      </c>
      <c r="N93">
        <v>137.62</v>
      </c>
    </row>
    <row r="94" spans="1:14" x14ac:dyDescent="0.3">
      <c r="A94" t="s">
        <v>207</v>
      </c>
      <c r="B94" t="s">
        <v>21</v>
      </c>
      <c r="C94" s="1">
        <v>45233</v>
      </c>
      <c r="D94" s="2">
        <f>YEAR(Table1[[#This Row],[PurchaseDate]])</f>
        <v>2023</v>
      </c>
      <c r="E94" s="2" t="str">
        <f>"Q"&amp;ROUNDUP(MONTH(Table1[[#This Row],[PurchaseDate]])/3,0)</f>
        <v>Q4</v>
      </c>
      <c r="F94" s="2">
        <f>MONTH(Table1[[#This Row],[PurchaseDate]])</f>
        <v>11</v>
      </c>
      <c r="G94" s="2" t="str">
        <f>TEXT(Table1[[#This Row],[PurchaseDate]],"MMM")</f>
        <v>Nov</v>
      </c>
      <c r="H94">
        <v>4</v>
      </c>
      <c r="I94">
        <v>43.43</v>
      </c>
      <c r="J94" t="s">
        <v>208</v>
      </c>
      <c r="K94" t="s">
        <v>18</v>
      </c>
      <c r="L94" t="s">
        <v>27</v>
      </c>
      <c r="M94">
        <v>4</v>
      </c>
      <c r="N94">
        <v>173.72</v>
      </c>
    </row>
    <row r="95" spans="1:14" x14ac:dyDescent="0.3">
      <c r="A95" t="s">
        <v>209</v>
      </c>
      <c r="B95" t="s">
        <v>42</v>
      </c>
      <c r="C95" s="1">
        <v>45294</v>
      </c>
      <c r="D95" s="2">
        <f>YEAR(Table1[[#This Row],[PurchaseDate]])</f>
        <v>2024</v>
      </c>
      <c r="E95" s="2" t="str">
        <f>"Q"&amp;ROUNDUP(MONTH(Table1[[#This Row],[PurchaseDate]])/3,0)</f>
        <v>Q1</v>
      </c>
      <c r="F95" s="2">
        <f>MONTH(Table1[[#This Row],[PurchaseDate]])</f>
        <v>1</v>
      </c>
      <c r="G95" s="2" t="str">
        <f>TEXT(Table1[[#This Row],[PurchaseDate]],"MMM")</f>
        <v>Jan</v>
      </c>
      <c r="H95">
        <v>6</v>
      </c>
      <c r="I95">
        <v>475.09</v>
      </c>
      <c r="J95" t="s">
        <v>210</v>
      </c>
      <c r="K95" t="s">
        <v>18</v>
      </c>
      <c r="L95" t="s">
        <v>14</v>
      </c>
      <c r="M95">
        <v>4</v>
      </c>
      <c r="N95">
        <v>2850.54</v>
      </c>
    </row>
    <row r="96" spans="1:14" x14ac:dyDescent="0.3">
      <c r="A96" t="s">
        <v>211</v>
      </c>
      <c r="B96" t="s">
        <v>11</v>
      </c>
      <c r="C96" s="1">
        <v>45207</v>
      </c>
      <c r="D96" s="2">
        <f>YEAR(Table1[[#This Row],[PurchaseDate]])</f>
        <v>2023</v>
      </c>
      <c r="E96" s="2" t="str">
        <f>"Q"&amp;ROUNDUP(MONTH(Table1[[#This Row],[PurchaseDate]])/3,0)</f>
        <v>Q4</v>
      </c>
      <c r="F96" s="2">
        <f>MONTH(Table1[[#This Row],[PurchaseDate]])</f>
        <v>10</v>
      </c>
      <c r="G96" s="2" t="str">
        <f>TEXT(Table1[[#This Row],[PurchaseDate]],"MMM")</f>
        <v>Oct</v>
      </c>
      <c r="H96">
        <v>3</v>
      </c>
      <c r="I96">
        <v>179.24</v>
      </c>
      <c r="J96" t="s">
        <v>212</v>
      </c>
      <c r="K96" t="s">
        <v>18</v>
      </c>
      <c r="L96" t="s">
        <v>14</v>
      </c>
      <c r="M96">
        <v>2</v>
      </c>
      <c r="N96">
        <v>537.72</v>
      </c>
    </row>
    <row r="97" spans="1:14" x14ac:dyDescent="0.3">
      <c r="A97" t="s">
        <v>213</v>
      </c>
      <c r="B97" t="s">
        <v>11</v>
      </c>
      <c r="C97" s="1">
        <v>45584</v>
      </c>
      <c r="D97" s="2">
        <f>YEAR(Table1[[#This Row],[PurchaseDate]])</f>
        <v>2024</v>
      </c>
      <c r="E97" s="2" t="str">
        <f>"Q"&amp;ROUNDUP(MONTH(Table1[[#This Row],[PurchaseDate]])/3,0)</f>
        <v>Q4</v>
      </c>
      <c r="F97" s="2">
        <f>MONTH(Table1[[#This Row],[PurchaseDate]])</f>
        <v>10</v>
      </c>
      <c r="G97" s="2" t="str">
        <f>TEXT(Table1[[#This Row],[PurchaseDate]],"MMM")</f>
        <v>Oct</v>
      </c>
      <c r="H97">
        <v>5</v>
      </c>
      <c r="I97">
        <v>628.39</v>
      </c>
      <c r="J97" t="s">
        <v>214</v>
      </c>
      <c r="K97" t="s">
        <v>38</v>
      </c>
      <c r="L97" t="s">
        <v>14</v>
      </c>
      <c r="M97">
        <v>2</v>
      </c>
      <c r="N97">
        <v>3141.95</v>
      </c>
    </row>
    <row r="98" spans="1:14" x14ac:dyDescent="0.3">
      <c r="A98" t="s">
        <v>215</v>
      </c>
      <c r="B98" t="s">
        <v>34</v>
      </c>
      <c r="C98" s="1">
        <v>45231</v>
      </c>
      <c r="D98" s="2">
        <f>YEAR(Table1[[#This Row],[PurchaseDate]])</f>
        <v>2023</v>
      </c>
      <c r="E98" s="2" t="str">
        <f>"Q"&amp;ROUNDUP(MONTH(Table1[[#This Row],[PurchaseDate]])/3,0)</f>
        <v>Q4</v>
      </c>
      <c r="F98" s="2">
        <f>MONTH(Table1[[#This Row],[PurchaseDate]])</f>
        <v>11</v>
      </c>
      <c r="G98" s="2" t="str">
        <f>TEXT(Table1[[#This Row],[PurchaseDate]],"MMM")</f>
        <v>Nov</v>
      </c>
      <c r="H98">
        <v>7</v>
      </c>
      <c r="I98">
        <v>485.73</v>
      </c>
      <c r="J98" t="s">
        <v>216</v>
      </c>
      <c r="K98" t="s">
        <v>18</v>
      </c>
      <c r="L98" t="s">
        <v>27</v>
      </c>
      <c r="M98">
        <v>3</v>
      </c>
      <c r="N98">
        <v>3400.11</v>
      </c>
    </row>
    <row r="99" spans="1:14" x14ac:dyDescent="0.3">
      <c r="A99" t="s">
        <v>217</v>
      </c>
      <c r="B99" t="s">
        <v>21</v>
      </c>
      <c r="C99" s="1">
        <v>45767</v>
      </c>
      <c r="D99" s="2">
        <f>YEAR(Table1[[#This Row],[PurchaseDate]])</f>
        <v>2025</v>
      </c>
      <c r="E99" s="2" t="str">
        <f>"Q"&amp;ROUNDUP(MONTH(Table1[[#This Row],[PurchaseDate]])/3,0)</f>
        <v>Q2</v>
      </c>
      <c r="F99" s="2">
        <f>MONTH(Table1[[#This Row],[PurchaseDate]])</f>
        <v>4</v>
      </c>
      <c r="G99" s="2" t="str">
        <f>TEXT(Table1[[#This Row],[PurchaseDate]],"MMM")</f>
        <v>Apr</v>
      </c>
      <c r="H99">
        <v>6</v>
      </c>
      <c r="I99">
        <v>236.38</v>
      </c>
      <c r="J99" t="s">
        <v>218</v>
      </c>
      <c r="K99" t="s">
        <v>38</v>
      </c>
      <c r="L99" t="s">
        <v>14</v>
      </c>
      <c r="M99">
        <v>4</v>
      </c>
      <c r="N99">
        <v>1418.28</v>
      </c>
    </row>
    <row r="100" spans="1:14" x14ac:dyDescent="0.3">
      <c r="A100" t="s">
        <v>219</v>
      </c>
      <c r="B100" t="s">
        <v>11</v>
      </c>
      <c r="C100" s="1">
        <v>45045</v>
      </c>
      <c r="D100" s="2">
        <f>YEAR(Table1[[#This Row],[PurchaseDate]])</f>
        <v>2023</v>
      </c>
      <c r="E100" s="2" t="str">
        <f>"Q"&amp;ROUNDUP(MONTH(Table1[[#This Row],[PurchaseDate]])/3,0)</f>
        <v>Q2</v>
      </c>
      <c r="F100" s="2">
        <f>MONTH(Table1[[#This Row],[PurchaseDate]])</f>
        <v>4</v>
      </c>
      <c r="G100" s="2" t="str">
        <f>TEXT(Table1[[#This Row],[PurchaseDate]],"MMM")</f>
        <v>Apr</v>
      </c>
      <c r="H100">
        <v>8</v>
      </c>
      <c r="I100">
        <v>719.65</v>
      </c>
      <c r="J100" t="s">
        <v>220</v>
      </c>
      <c r="K100" t="s">
        <v>13</v>
      </c>
      <c r="L100" t="s">
        <v>27</v>
      </c>
      <c r="M100">
        <v>5</v>
      </c>
      <c r="N100">
        <v>5757.2</v>
      </c>
    </row>
    <row r="101" spans="1:14" x14ac:dyDescent="0.3">
      <c r="A101" t="s">
        <v>221</v>
      </c>
      <c r="B101" t="s">
        <v>21</v>
      </c>
      <c r="C101" s="1">
        <v>44940</v>
      </c>
      <c r="D101" s="2">
        <f>YEAR(Table1[[#This Row],[PurchaseDate]])</f>
        <v>2023</v>
      </c>
      <c r="E101" s="2" t="str">
        <f>"Q"&amp;ROUNDUP(MONTH(Table1[[#This Row],[PurchaseDate]])/3,0)</f>
        <v>Q1</v>
      </c>
      <c r="F101" s="2">
        <f>MONTH(Table1[[#This Row],[PurchaseDate]])</f>
        <v>1</v>
      </c>
      <c r="G101" s="2" t="str">
        <f>TEXT(Table1[[#This Row],[PurchaseDate]],"MMM")</f>
        <v>Jan</v>
      </c>
      <c r="H101">
        <v>7</v>
      </c>
      <c r="I101">
        <v>768.99</v>
      </c>
      <c r="J101" t="s">
        <v>222</v>
      </c>
      <c r="K101" t="s">
        <v>38</v>
      </c>
      <c r="L101" t="s">
        <v>14</v>
      </c>
      <c r="M101">
        <v>2</v>
      </c>
      <c r="N101">
        <v>5382.93</v>
      </c>
    </row>
    <row r="102" spans="1:14" x14ac:dyDescent="0.3">
      <c r="A102" t="s">
        <v>223</v>
      </c>
      <c r="B102" t="s">
        <v>25</v>
      </c>
      <c r="C102" s="1">
        <v>45507</v>
      </c>
      <c r="D102" s="2">
        <f>YEAR(Table1[[#This Row],[PurchaseDate]])</f>
        <v>2024</v>
      </c>
      <c r="E102" s="2" t="str">
        <f>"Q"&amp;ROUNDUP(MONTH(Table1[[#This Row],[PurchaseDate]])/3,0)</f>
        <v>Q3</v>
      </c>
      <c r="F102" s="2">
        <f>MONTH(Table1[[#This Row],[PurchaseDate]])</f>
        <v>8</v>
      </c>
      <c r="G102" s="2" t="str">
        <f>TEXT(Table1[[#This Row],[PurchaseDate]],"MMM")</f>
        <v>Aug</v>
      </c>
      <c r="H102">
        <v>8</v>
      </c>
      <c r="I102">
        <v>401.32</v>
      </c>
      <c r="J102" t="s">
        <v>224</v>
      </c>
      <c r="K102" t="s">
        <v>13</v>
      </c>
      <c r="L102" t="s">
        <v>58</v>
      </c>
      <c r="M102">
        <v>3</v>
      </c>
      <c r="N102">
        <v>3210.56</v>
      </c>
    </row>
    <row r="103" spans="1:14" x14ac:dyDescent="0.3">
      <c r="A103" t="s">
        <v>225</v>
      </c>
      <c r="B103" t="s">
        <v>34</v>
      </c>
      <c r="C103" s="1">
        <v>45306</v>
      </c>
      <c r="D103" s="2">
        <f>YEAR(Table1[[#This Row],[PurchaseDate]])</f>
        <v>2024</v>
      </c>
      <c r="E103" s="2" t="str">
        <f>"Q"&amp;ROUNDUP(MONTH(Table1[[#This Row],[PurchaseDate]])/3,0)</f>
        <v>Q1</v>
      </c>
      <c r="F103" s="2">
        <f>MONTH(Table1[[#This Row],[PurchaseDate]])</f>
        <v>1</v>
      </c>
      <c r="G103" s="2" t="str">
        <f>TEXT(Table1[[#This Row],[PurchaseDate]],"MMM")</f>
        <v>Jan</v>
      </c>
      <c r="H103">
        <v>8</v>
      </c>
      <c r="I103">
        <v>353.5</v>
      </c>
      <c r="J103" t="s">
        <v>226</v>
      </c>
      <c r="K103" t="s">
        <v>13</v>
      </c>
      <c r="L103" t="s">
        <v>58</v>
      </c>
      <c r="M103">
        <v>2</v>
      </c>
      <c r="N103">
        <v>2828</v>
      </c>
    </row>
    <row r="104" spans="1:14" x14ac:dyDescent="0.3">
      <c r="A104" t="s">
        <v>227</v>
      </c>
      <c r="B104" t="s">
        <v>16</v>
      </c>
      <c r="C104" s="1">
        <v>45705</v>
      </c>
      <c r="D104" s="2">
        <f>YEAR(Table1[[#This Row],[PurchaseDate]])</f>
        <v>2025</v>
      </c>
      <c r="E104" s="2" t="str">
        <f>"Q"&amp;ROUNDUP(MONTH(Table1[[#This Row],[PurchaseDate]])/3,0)</f>
        <v>Q1</v>
      </c>
      <c r="F104" s="2">
        <f>MONTH(Table1[[#This Row],[PurchaseDate]])</f>
        <v>2</v>
      </c>
      <c r="G104" s="2" t="str">
        <f>TEXT(Table1[[#This Row],[PurchaseDate]],"MMM")</f>
        <v>Feb</v>
      </c>
      <c r="H104">
        <v>3</v>
      </c>
      <c r="I104">
        <v>179.52</v>
      </c>
      <c r="J104" t="s">
        <v>228</v>
      </c>
      <c r="K104" t="s">
        <v>18</v>
      </c>
      <c r="L104" t="s">
        <v>58</v>
      </c>
      <c r="M104">
        <v>2</v>
      </c>
      <c r="N104">
        <v>538.55999999999995</v>
      </c>
    </row>
    <row r="105" spans="1:14" x14ac:dyDescent="0.3">
      <c r="A105" t="s">
        <v>229</v>
      </c>
      <c r="B105" t="s">
        <v>34</v>
      </c>
      <c r="C105" s="1">
        <v>44961</v>
      </c>
      <c r="D105" s="2">
        <f>YEAR(Table1[[#This Row],[PurchaseDate]])</f>
        <v>2023</v>
      </c>
      <c r="E105" s="2" t="str">
        <f>"Q"&amp;ROUNDUP(MONTH(Table1[[#This Row],[PurchaseDate]])/3,0)</f>
        <v>Q1</v>
      </c>
      <c r="F105" s="2">
        <f>MONTH(Table1[[#This Row],[PurchaseDate]])</f>
        <v>2</v>
      </c>
      <c r="G105" s="2" t="str">
        <f>TEXT(Table1[[#This Row],[PurchaseDate]],"MMM")</f>
        <v>Feb</v>
      </c>
      <c r="H105">
        <v>4</v>
      </c>
      <c r="I105">
        <v>330.14</v>
      </c>
      <c r="J105" t="s">
        <v>230</v>
      </c>
      <c r="K105" t="s">
        <v>18</v>
      </c>
      <c r="L105" t="s">
        <v>14</v>
      </c>
      <c r="M105">
        <v>4</v>
      </c>
      <c r="N105">
        <v>1320.56</v>
      </c>
    </row>
    <row r="106" spans="1:14" x14ac:dyDescent="0.3">
      <c r="A106" t="s">
        <v>231</v>
      </c>
      <c r="B106" t="s">
        <v>21</v>
      </c>
      <c r="C106" s="1">
        <v>45236</v>
      </c>
      <c r="D106" s="2">
        <f>YEAR(Table1[[#This Row],[PurchaseDate]])</f>
        <v>2023</v>
      </c>
      <c r="E106" s="2" t="str">
        <f>"Q"&amp;ROUNDUP(MONTH(Table1[[#This Row],[PurchaseDate]])/3,0)</f>
        <v>Q4</v>
      </c>
      <c r="F106" s="2">
        <f>MONTH(Table1[[#This Row],[PurchaseDate]])</f>
        <v>11</v>
      </c>
      <c r="G106" s="2" t="str">
        <f>TEXT(Table1[[#This Row],[PurchaseDate]],"MMM")</f>
        <v>Nov</v>
      </c>
      <c r="H106">
        <v>2</v>
      </c>
      <c r="I106">
        <v>770.06</v>
      </c>
      <c r="J106" t="s">
        <v>232</v>
      </c>
      <c r="K106" t="s">
        <v>13</v>
      </c>
      <c r="L106" t="s">
        <v>23</v>
      </c>
      <c r="M106">
        <v>5</v>
      </c>
      <c r="N106">
        <v>1540.12</v>
      </c>
    </row>
    <row r="107" spans="1:14" x14ac:dyDescent="0.3">
      <c r="A107" t="s">
        <v>233</v>
      </c>
      <c r="B107" t="s">
        <v>21</v>
      </c>
      <c r="C107" s="1">
        <v>44992</v>
      </c>
      <c r="D107" s="2">
        <f>YEAR(Table1[[#This Row],[PurchaseDate]])</f>
        <v>2023</v>
      </c>
      <c r="E107" s="2" t="str">
        <f>"Q"&amp;ROUNDUP(MONTH(Table1[[#This Row],[PurchaseDate]])/3,0)</f>
        <v>Q1</v>
      </c>
      <c r="F107" s="2">
        <f>MONTH(Table1[[#This Row],[PurchaseDate]])</f>
        <v>3</v>
      </c>
      <c r="G107" s="2" t="str">
        <f>TEXT(Table1[[#This Row],[PurchaseDate]],"MMM")</f>
        <v>Mar</v>
      </c>
      <c r="H107">
        <v>6</v>
      </c>
      <c r="I107">
        <v>129.85</v>
      </c>
      <c r="J107" t="s">
        <v>234</v>
      </c>
      <c r="K107" t="s">
        <v>18</v>
      </c>
      <c r="L107" t="s">
        <v>14</v>
      </c>
      <c r="M107">
        <v>1</v>
      </c>
      <c r="N107">
        <v>779.1</v>
      </c>
    </row>
    <row r="108" spans="1:14" x14ac:dyDescent="0.3">
      <c r="A108" t="s">
        <v>235</v>
      </c>
      <c r="B108" t="s">
        <v>29</v>
      </c>
      <c r="C108" s="1">
        <v>45251</v>
      </c>
      <c r="D108" s="2">
        <f>YEAR(Table1[[#This Row],[PurchaseDate]])</f>
        <v>2023</v>
      </c>
      <c r="E108" s="2" t="str">
        <f>"Q"&amp;ROUNDUP(MONTH(Table1[[#This Row],[PurchaseDate]])/3,0)</f>
        <v>Q4</v>
      </c>
      <c r="F108" s="2">
        <f>MONTH(Table1[[#This Row],[PurchaseDate]])</f>
        <v>11</v>
      </c>
      <c r="G108" s="2" t="str">
        <f>TEXT(Table1[[#This Row],[PurchaseDate]],"MMM")</f>
        <v>Nov</v>
      </c>
      <c r="H108">
        <v>3</v>
      </c>
      <c r="I108">
        <v>251.56</v>
      </c>
      <c r="J108" t="s">
        <v>236</v>
      </c>
      <c r="K108" t="s">
        <v>13</v>
      </c>
      <c r="L108" t="s">
        <v>23</v>
      </c>
      <c r="M108">
        <v>2</v>
      </c>
      <c r="N108">
        <v>754.68</v>
      </c>
    </row>
    <row r="109" spans="1:14" x14ac:dyDescent="0.3">
      <c r="A109" t="s">
        <v>237</v>
      </c>
      <c r="B109" t="s">
        <v>34</v>
      </c>
      <c r="C109" s="1">
        <v>45748</v>
      </c>
      <c r="D109" s="2">
        <f>YEAR(Table1[[#This Row],[PurchaseDate]])</f>
        <v>2025</v>
      </c>
      <c r="E109" s="2" t="str">
        <f>"Q"&amp;ROUNDUP(MONTH(Table1[[#This Row],[PurchaseDate]])/3,0)</f>
        <v>Q2</v>
      </c>
      <c r="F109" s="2">
        <f>MONTH(Table1[[#This Row],[PurchaseDate]])</f>
        <v>4</v>
      </c>
      <c r="G109" s="2" t="str">
        <f>TEXT(Table1[[#This Row],[PurchaseDate]],"MMM")</f>
        <v>Apr</v>
      </c>
      <c r="H109">
        <v>6</v>
      </c>
      <c r="I109">
        <v>520.01</v>
      </c>
      <c r="J109" t="s">
        <v>238</v>
      </c>
      <c r="K109" t="s">
        <v>38</v>
      </c>
      <c r="L109" t="s">
        <v>19</v>
      </c>
      <c r="M109">
        <v>2</v>
      </c>
      <c r="N109">
        <v>3120.06</v>
      </c>
    </row>
    <row r="110" spans="1:14" x14ac:dyDescent="0.3">
      <c r="A110" t="s">
        <v>239</v>
      </c>
      <c r="B110" t="s">
        <v>11</v>
      </c>
      <c r="C110" s="1">
        <v>45538</v>
      </c>
      <c r="D110" s="2">
        <f>YEAR(Table1[[#This Row],[PurchaseDate]])</f>
        <v>2024</v>
      </c>
      <c r="E110" s="2" t="str">
        <f>"Q"&amp;ROUNDUP(MONTH(Table1[[#This Row],[PurchaseDate]])/3,0)</f>
        <v>Q3</v>
      </c>
      <c r="F110" s="2">
        <f>MONTH(Table1[[#This Row],[PurchaseDate]])</f>
        <v>9</v>
      </c>
      <c r="G110" s="2" t="str">
        <f>TEXT(Table1[[#This Row],[PurchaseDate]],"MMM")</f>
        <v>Sep</v>
      </c>
      <c r="H110">
        <v>6</v>
      </c>
      <c r="I110">
        <v>117.79</v>
      </c>
      <c r="J110" t="s">
        <v>240</v>
      </c>
      <c r="K110" t="s">
        <v>18</v>
      </c>
      <c r="L110" t="s">
        <v>23</v>
      </c>
      <c r="M110">
        <v>2</v>
      </c>
      <c r="N110">
        <v>706.74</v>
      </c>
    </row>
    <row r="111" spans="1:14" x14ac:dyDescent="0.3">
      <c r="A111" t="s">
        <v>241</v>
      </c>
      <c r="B111" t="s">
        <v>16</v>
      </c>
      <c r="C111" s="1">
        <v>45646</v>
      </c>
      <c r="D111" s="2">
        <f>YEAR(Table1[[#This Row],[PurchaseDate]])</f>
        <v>2024</v>
      </c>
      <c r="E111" s="2" t="str">
        <f>"Q"&amp;ROUNDUP(MONTH(Table1[[#This Row],[PurchaseDate]])/3,0)</f>
        <v>Q4</v>
      </c>
      <c r="F111" s="2">
        <f>MONTH(Table1[[#This Row],[PurchaseDate]])</f>
        <v>12</v>
      </c>
      <c r="G111" s="2" t="str">
        <f>TEXT(Table1[[#This Row],[PurchaseDate]],"MMM")</f>
        <v>Dec</v>
      </c>
      <c r="H111">
        <v>3</v>
      </c>
      <c r="I111">
        <v>159.38</v>
      </c>
      <c r="J111" t="s">
        <v>242</v>
      </c>
      <c r="K111" t="s">
        <v>18</v>
      </c>
      <c r="L111" t="s">
        <v>58</v>
      </c>
      <c r="M111">
        <v>5</v>
      </c>
      <c r="N111">
        <v>478.14</v>
      </c>
    </row>
    <row r="112" spans="1:14" x14ac:dyDescent="0.3">
      <c r="A112" t="s">
        <v>243</v>
      </c>
      <c r="B112" t="s">
        <v>25</v>
      </c>
      <c r="C112" s="1">
        <v>45403</v>
      </c>
      <c r="D112" s="2">
        <f>YEAR(Table1[[#This Row],[PurchaseDate]])</f>
        <v>2024</v>
      </c>
      <c r="E112" s="2" t="str">
        <f>"Q"&amp;ROUNDUP(MONTH(Table1[[#This Row],[PurchaseDate]])/3,0)</f>
        <v>Q2</v>
      </c>
      <c r="F112" s="2">
        <f>MONTH(Table1[[#This Row],[PurchaseDate]])</f>
        <v>4</v>
      </c>
      <c r="G112" s="2" t="str">
        <f>TEXT(Table1[[#This Row],[PurchaseDate]],"MMM")</f>
        <v>Apr</v>
      </c>
      <c r="H112">
        <v>3</v>
      </c>
      <c r="I112">
        <v>684.11</v>
      </c>
      <c r="J112" t="s">
        <v>244</v>
      </c>
      <c r="K112" t="s">
        <v>38</v>
      </c>
      <c r="L112" t="s">
        <v>23</v>
      </c>
      <c r="M112">
        <v>5</v>
      </c>
      <c r="N112">
        <v>2052.33</v>
      </c>
    </row>
    <row r="113" spans="1:14" x14ac:dyDescent="0.3">
      <c r="A113" t="s">
        <v>245</v>
      </c>
      <c r="B113" t="s">
        <v>25</v>
      </c>
      <c r="C113" s="1">
        <v>45245</v>
      </c>
      <c r="D113" s="2">
        <f>YEAR(Table1[[#This Row],[PurchaseDate]])</f>
        <v>2023</v>
      </c>
      <c r="E113" s="2" t="str">
        <f>"Q"&amp;ROUNDUP(MONTH(Table1[[#This Row],[PurchaseDate]])/3,0)</f>
        <v>Q4</v>
      </c>
      <c r="F113" s="2">
        <f>MONTH(Table1[[#This Row],[PurchaseDate]])</f>
        <v>11</v>
      </c>
      <c r="G113" s="2" t="str">
        <f>TEXT(Table1[[#This Row],[PurchaseDate]],"MMM")</f>
        <v>Nov</v>
      </c>
      <c r="H113">
        <v>3</v>
      </c>
      <c r="I113">
        <v>242.71</v>
      </c>
      <c r="J113" t="s">
        <v>246</v>
      </c>
      <c r="K113" t="s">
        <v>18</v>
      </c>
      <c r="L113" t="s">
        <v>27</v>
      </c>
      <c r="M113">
        <v>5</v>
      </c>
      <c r="N113">
        <v>728.13</v>
      </c>
    </row>
    <row r="114" spans="1:14" x14ac:dyDescent="0.3">
      <c r="A114" t="s">
        <v>247</v>
      </c>
      <c r="B114" t="s">
        <v>25</v>
      </c>
      <c r="C114" s="1">
        <v>45207</v>
      </c>
      <c r="D114" s="2">
        <f>YEAR(Table1[[#This Row],[PurchaseDate]])</f>
        <v>2023</v>
      </c>
      <c r="E114" s="2" t="str">
        <f>"Q"&amp;ROUNDUP(MONTH(Table1[[#This Row],[PurchaseDate]])/3,0)</f>
        <v>Q4</v>
      </c>
      <c r="F114" s="2">
        <f>MONTH(Table1[[#This Row],[PurchaseDate]])</f>
        <v>10</v>
      </c>
      <c r="G114" s="2" t="str">
        <f>TEXT(Table1[[#This Row],[PurchaseDate]],"MMM")</f>
        <v>Oct</v>
      </c>
      <c r="H114">
        <v>2</v>
      </c>
      <c r="I114">
        <v>704.73</v>
      </c>
      <c r="J114" t="s">
        <v>248</v>
      </c>
      <c r="K114" t="s">
        <v>18</v>
      </c>
      <c r="L114" t="s">
        <v>23</v>
      </c>
      <c r="M114">
        <v>1</v>
      </c>
      <c r="N114">
        <v>1409.46</v>
      </c>
    </row>
    <row r="115" spans="1:14" x14ac:dyDescent="0.3">
      <c r="A115" t="s">
        <v>249</v>
      </c>
      <c r="B115" t="s">
        <v>29</v>
      </c>
      <c r="C115" s="1">
        <v>45194</v>
      </c>
      <c r="D115" s="2">
        <f>YEAR(Table1[[#This Row],[PurchaseDate]])</f>
        <v>2023</v>
      </c>
      <c r="E115" s="2" t="str">
        <f>"Q"&amp;ROUNDUP(MONTH(Table1[[#This Row],[PurchaseDate]])/3,0)</f>
        <v>Q3</v>
      </c>
      <c r="F115" s="2">
        <f>MONTH(Table1[[#This Row],[PurchaseDate]])</f>
        <v>9</v>
      </c>
      <c r="G115" s="2" t="str">
        <f>TEXT(Table1[[#This Row],[PurchaseDate]],"MMM")</f>
        <v>Sep</v>
      </c>
      <c r="H115">
        <v>1</v>
      </c>
      <c r="I115">
        <v>661.06</v>
      </c>
      <c r="J115" t="s">
        <v>250</v>
      </c>
      <c r="K115" t="s">
        <v>38</v>
      </c>
      <c r="L115" t="s">
        <v>19</v>
      </c>
      <c r="M115">
        <v>4</v>
      </c>
      <c r="N115">
        <v>661.06</v>
      </c>
    </row>
    <row r="116" spans="1:14" x14ac:dyDescent="0.3">
      <c r="A116" t="s">
        <v>251</v>
      </c>
      <c r="B116" t="s">
        <v>11</v>
      </c>
      <c r="C116" s="1">
        <v>45547</v>
      </c>
      <c r="D116" s="2">
        <f>YEAR(Table1[[#This Row],[PurchaseDate]])</f>
        <v>2024</v>
      </c>
      <c r="E116" s="2" t="str">
        <f>"Q"&amp;ROUNDUP(MONTH(Table1[[#This Row],[PurchaseDate]])/3,0)</f>
        <v>Q3</v>
      </c>
      <c r="F116" s="2">
        <f>MONTH(Table1[[#This Row],[PurchaseDate]])</f>
        <v>9</v>
      </c>
      <c r="G116" s="2" t="str">
        <f>TEXT(Table1[[#This Row],[PurchaseDate]],"MMM")</f>
        <v>Sep</v>
      </c>
      <c r="H116">
        <v>2</v>
      </c>
      <c r="I116">
        <v>571.9</v>
      </c>
      <c r="J116" t="s">
        <v>252</v>
      </c>
      <c r="K116" t="s">
        <v>13</v>
      </c>
      <c r="L116" t="s">
        <v>19</v>
      </c>
      <c r="M116">
        <v>2</v>
      </c>
      <c r="N116">
        <v>1143.8</v>
      </c>
    </row>
    <row r="117" spans="1:14" x14ac:dyDescent="0.3">
      <c r="A117" t="s">
        <v>253</v>
      </c>
      <c r="B117" t="s">
        <v>25</v>
      </c>
      <c r="C117" s="1">
        <v>45585</v>
      </c>
      <c r="D117" s="2">
        <f>YEAR(Table1[[#This Row],[PurchaseDate]])</f>
        <v>2024</v>
      </c>
      <c r="E117" s="2" t="str">
        <f>"Q"&amp;ROUNDUP(MONTH(Table1[[#This Row],[PurchaseDate]])/3,0)</f>
        <v>Q4</v>
      </c>
      <c r="F117" s="2">
        <f>MONTH(Table1[[#This Row],[PurchaseDate]])</f>
        <v>10</v>
      </c>
      <c r="G117" s="2" t="str">
        <f>TEXT(Table1[[#This Row],[PurchaseDate]],"MMM")</f>
        <v>Oct</v>
      </c>
      <c r="H117">
        <v>1</v>
      </c>
      <c r="I117">
        <v>748.55</v>
      </c>
      <c r="J117" t="s">
        <v>254</v>
      </c>
      <c r="K117" t="s">
        <v>18</v>
      </c>
      <c r="L117" t="s">
        <v>19</v>
      </c>
      <c r="M117">
        <v>4</v>
      </c>
      <c r="N117">
        <v>748.55</v>
      </c>
    </row>
    <row r="118" spans="1:14" x14ac:dyDescent="0.3">
      <c r="A118" t="s">
        <v>255</v>
      </c>
      <c r="B118" t="s">
        <v>34</v>
      </c>
      <c r="C118" s="1">
        <v>45367</v>
      </c>
      <c r="D118" s="2">
        <f>YEAR(Table1[[#This Row],[PurchaseDate]])</f>
        <v>2024</v>
      </c>
      <c r="E118" s="2" t="str">
        <f>"Q"&amp;ROUNDUP(MONTH(Table1[[#This Row],[PurchaseDate]])/3,0)</f>
        <v>Q1</v>
      </c>
      <c r="F118" s="2">
        <f>MONTH(Table1[[#This Row],[PurchaseDate]])</f>
        <v>3</v>
      </c>
      <c r="G118" s="2" t="str">
        <f>TEXT(Table1[[#This Row],[PurchaseDate]],"MMM")</f>
        <v>Mar</v>
      </c>
      <c r="H118">
        <v>1</v>
      </c>
      <c r="I118">
        <v>463.78</v>
      </c>
      <c r="J118" t="s">
        <v>256</v>
      </c>
      <c r="K118" t="s">
        <v>38</v>
      </c>
      <c r="L118" t="s">
        <v>19</v>
      </c>
      <c r="M118">
        <v>3</v>
      </c>
      <c r="N118">
        <v>463.78</v>
      </c>
    </row>
    <row r="119" spans="1:14" x14ac:dyDescent="0.3">
      <c r="A119" t="s">
        <v>257</v>
      </c>
      <c r="B119" t="s">
        <v>34</v>
      </c>
      <c r="C119" s="1">
        <v>45149</v>
      </c>
      <c r="D119" s="2">
        <f>YEAR(Table1[[#This Row],[PurchaseDate]])</f>
        <v>2023</v>
      </c>
      <c r="E119" s="2" t="str">
        <f>"Q"&amp;ROUNDUP(MONTH(Table1[[#This Row],[PurchaseDate]])/3,0)</f>
        <v>Q3</v>
      </c>
      <c r="F119" s="2">
        <f>MONTH(Table1[[#This Row],[PurchaseDate]])</f>
        <v>8</v>
      </c>
      <c r="G119" s="2" t="str">
        <f>TEXT(Table1[[#This Row],[PurchaseDate]],"MMM")</f>
        <v>Aug</v>
      </c>
      <c r="H119">
        <v>7</v>
      </c>
      <c r="I119">
        <v>363.49</v>
      </c>
      <c r="J119" t="s">
        <v>258</v>
      </c>
      <c r="K119" t="s">
        <v>18</v>
      </c>
      <c r="L119" t="s">
        <v>23</v>
      </c>
      <c r="M119">
        <v>4</v>
      </c>
      <c r="N119">
        <v>2544.4299999999998</v>
      </c>
    </row>
    <row r="120" spans="1:14" x14ac:dyDescent="0.3">
      <c r="A120" t="s">
        <v>259</v>
      </c>
      <c r="B120" t="s">
        <v>25</v>
      </c>
      <c r="C120" s="1">
        <v>45163</v>
      </c>
      <c r="D120" s="2">
        <f>YEAR(Table1[[#This Row],[PurchaseDate]])</f>
        <v>2023</v>
      </c>
      <c r="E120" s="2" t="str">
        <f>"Q"&amp;ROUNDUP(MONTH(Table1[[#This Row],[PurchaseDate]])/3,0)</f>
        <v>Q3</v>
      </c>
      <c r="F120" s="2">
        <f>MONTH(Table1[[#This Row],[PurchaseDate]])</f>
        <v>8</v>
      </c>
      <c r="G120" s="2" t="str">
        <f>TEXT(Table1[[#This Row],[PurchaseDate]],"MMM")</f>
        <v>Aug</v>
      </c>
      <c r="H120">
        <v>7</v>
      </c>
      <c r="I120">
        <v>417.97</v>
      </c>
      <c r="J120" t="s">
        <v>260</v>
      </c>
      <c r="K120" t="s">
        <v>18</v>
      </c>
      <c r="L120" t="s">
        <v>27</v>
      </c>
      <c r="M120">
        <v>2</v>
      </c>
      <c r="N120">
        <v>2925.79</v>
      </c>
    </row>
    <row r="121" spans="1:14" x14ac:dyDescent="0.3">
      <c r="A121" t="s">
        <v>261</v>
      </c>
      <c r="B121" t="s">
        <v>34</v>
      </c>
      <c r="C121" s="1">
        <v>45005</v>
      </c>
      <c r="D121" s="2">
        <f>YEAR(Table1[[#This Row],[PurchaseDate]])</f>
        <v>2023</v>
      </c>
      <c r="E121" s="2" t="str">
        <f>"Q"&amp;ROUNDUP(MONTH(Table1[[#This Row],[PurchaseDate]])/3,0)</f>
        <v>Q1</v>
      </c>
      <c r="F121" s="2">
        <f>MONTH(Table1[[#This Row],[PurchaseDate]])</f>
        <v>3</v>
      </c>
      <c r="G121" s="2" t="str">
        <f>TEXT(Table1[[#This Row],[PurchaseDate]],"MMM")</f>
        <v>Mar</v>
      </c>
      <c r="H121">
        <v>2</v>
      </c>
      <c r="I121">
        <v>173.91</v>
      </c>
      <c r="J121" t="s">
        <v>262</v>
      </c>
      <c r="K121" t="s">
        <v>38</v>
      </c>
      <c r="L121" t="s">
        <v>27</v>
      </c>
      <c r="M121">
        <v>2</v>
      </c>
      <c r="N121">
        <v>347.82</v>
      </c>
    </row>
    <row r="122" spans="1:14" x14ac:dyDescent="0.3">
      <c r="A122" t="s">
        <v>263</v>
      </c>
      <c r="B122" t="s">
        <v>21</v>
      </c>
      <c r="C122" s="1">
        <v>45111</v>
      </c>
      <c r="D122" s="2">
        <f>YEAR(Table1[[#This Row],[PurchaseDate]])</f>
        <v>2023</v>
      </c>
      <c r="E122" s="2" t="str">
        <f>"Q"&amp;ROUNDUP(MONTH(Table1[[#This Row],[PurchaseDate]])/3,0)</f>
        <v>Q3</v>
      </c>
      <c r="F122" s="2">
        <f>MONTH(Table1[[#This Row],[PurchaseDate]])</f>
        <v>7</v>
      </c>
      <c r="G122" s="2" t="str">
        <f>TEXT(Table1[[#This Row],[PurchaseDate]],"MMM")</f>
        <v>Jul</v>
      </c>
      <c r="H122">
        <v>3</v>
      </c>
      <c r="I122">
        <v>765.71</v>
      </c>
      <c r="J122" t="s">
        <v>264</v>
      </c>
      <c r="K122" t="s">
        <v>18</v>
      </c>
      <c r="L122" t="s">
        <v>14</v>
      </c>
      <c r="M122">
        <v>2</v>
      </c>
      <c r="N122">
        <v>2297.13</v>
      </c>
    </row>
    <row r="123" spans="1:14" x14ac:dyDescent="0.3">
      <c r="A123" t="s">
        <v>265</v>
      </c>
      <c r="B123" t="s">
        <v>11</v>
      </c>
      <c r="C123" s="1">
        <v>45470</v>
      </c>
      <c r="D123" s="2">
        <f>YEAR(Table1[[#This Row],[PurchaseDate]])</f>
        <v>2024</v>
      </c>
      <c r="E123" s="2" t="str">
        <f>"Q"&amp;ROUNDUP(MONTH(Table1[[#This Row],[PurchaseDate]])/3,0)</f>
        <v>Q2</v>
      </c>
      <c r="F123" s="2">
        <f>MONTH(Table1[[#This Row],[PurchaseDate]])</f>
        <v>6</v>
      </c>
      <c r="G123" s="2" t="str">
        <f>TEXT(Table1[[#This Row],[PurchaseDate]],"MMM")</f>
        <v>Jun</v>
      </c>
      <c r="H123">
        <v>6</v>
      </c>
      <c r="I123">
        <v>182.24</v>
      </c>
      <c r="J123" t="s">
        <v>266</v>
      </c>
      <c r="K123" t="s">
        <v>13</v>
      </c>
      <c r="L123" t="s">
        <v>27</v>
      </c>
      <c r="M123">
        <v>2</v>
      </c>
      <c r="N123">
        <v>1093.44</v>
      </c>
    </row>
    <row r="124" spans="1:14" x14ac:dyDescent="0.3">
      <c r="A124" t="s">
        <v>267</v>
      </c>
      <c r="B124" t="s">
        <v>21</v>
      </c>
      <c r="C124" s="1">
        <v>45377</v>
      </c>
      <c r="D124" s="2">
        <f>YEAR(Table1[[#This Row],[PurchaseDate]])</f>
        <v>2024</v>
      </c>
      <c r="E124" s="2" t="str">
        <f>"Q"&amp;ROUNDUP(MONTH(Table1[[#This Row],[PurchaseDate]])/3,0)</f>
        <v>Q1</v>
      </c>
      <c r="F124" s="2">
        <f>MONTH(Table1[[#This Row],[PurchaseDate]])</f>
        <v>3</v>
      </c>
      <c r="G124" s="2" t="str">
        <f>TEXT(Table1[[#This Row],[PurchaseDate]],"MMM")</f>
        <v>Mar</v>
      </c>
      <c r="H124">
        <v>5</v>
      </c>
      <c r="I124">
        <v>32.119999999999997</v>
      </c>
      <c r="J124" t="s">
        <v>268</v>
      </c>
      <c r="K124" t="s">
        <v>18</v>
      </c>
      <c r="L124" t="s">
        <v>27</v>
      </c>
      <c r="M124">
        <v>2</v>
      </c>
      <c r="N124">
        <v>160.6</v>
      </c>
    </row>
    <row r="125" spans="1:14" x14ac:dyDescent="0.3">
      <c r="A125" t="s">
        <v>269</v>
      </c>
      <c r="B125" t="s">
        <v>42</v>
      </c>
      <c r="C125" s="1">
        <v>45230</v>
      </c>
      <c r="D125" s="2">
        <f>YEAR(Table1[[#This Row],[PurchaseDate]])</f>
        <v>2023</v>
      </c>
      <c r="E125" s="2" t="str">
        <f>"Q"&amp;ROUNDUP(MONTH(Table1[[#This Row],[PurchaseDate]])/3,0)</f>
        <v>Q4</v>
      </c>
      <c r="F125" s="2">
        <f>MONTH(Table1[[#This Row],[PurchaseDate]])</f>
        <v>10</v>
      </c>
      <c r="G125" s="2" t="str">
        <f>TEXT(Table1[[#This Row],[PurchaseDate]],"MMM")</f>
        <v>Oct</v>
      </c>
      <c r="H125">
        <v>3</v>
      </c>
      <c r="I125">
        <v>371.15</v>
      </c>
      <c r="J125" t="s">
        <v>270</v>
      </c>
      <c r="K125" t="s">
        <v>38</v>
      </c>
      <c r="L125" t="s">
        <v>14</v>
      </c>
      <c r="M125">
        <v>5</v>
      </c>
      <c r="N125">
        <v>1113.45</v>
      </c>
    </row>
    <row r="126" spans="1:14" x14ac:dyDescent="0.3">
      <c r="A126" t="s">
        <v>271</v>
      </c>
      <c r="B126" t="s">
        <v>16</v>
      </c>
      <c r="C126" s="1">
        <v>45526</v>
      </c>
      <c r="D126" s="2">
        <f>YEAR(Table1[[#This Row],[PurchaseDate]])</f>
        <v>2024</v>
      </c>
      <c r="E126" s="2" t="str">
        <f>"Q"&amp;ROUNDUP(MONTH(Table1[[#This Row],[PurchaseDate]])/3,0)</f>
        <v>Q3</v>
      </c>
      <c r="F126" s="2">
        <f>MONTH(Table1[[#This Row],[PurchaseDate]])</f>
        <v>8</v>
      </c>
      <c r="G126" s="2" t="str">
        <f>TEXT(Table1[[#This Row],[PurchaseDate]],"MMM")</f>
        <v>Aug</v>
      </c>
      <c r="H126">
        <v>7</v>
      </c>
      <c r="I126">
        <v>233.93</v>
      </c>
      <c r="J126" t="s">
        <v>272</v>
      </c>
      <c r="K126" t="s">
        <v>18</v>
      </c>
      <c r="L126" t="s">
        <v>14</v>
      </c>
      <c r="M126">
        <v>3</v>
      </c>
      <c r="N126">
        <v>1637.51</v>
      </c>
    </row>
    <row r="127" spans="1:14" x14ac:dyDescent="0.3">
      <c r="A127" t="s">
        <v>273</v>
      </c>
      <c r="B127" t="s">
        <v>29</v>
      </c>
      <c r="C127" s="1">
        <v>45222</v>
      </c>
      <c r="D127" s="2">
        <f>YEAR(Table1[[#This Row],[PurchaseDate]])</f>
        <v>2023</v>
      </c>
      <c r="E127" s="2" t="str">
        <f>"Q"&amp;ROUNDUP(MONTH(Table1[[#This Row],[PurchaseDate]])/3,0)</f>
        <v>Q4</v>
      </c>
      <c r="F127" s="2">
        <f>MONTH(Table1[[#This Row],[PurchaseDate]])</f>
        <v>10</v>
      </c>
      <c r="G127" s="2" t="str">
        <f>TEXT(Table1[[#This Row],[PurchaseDate]],"MMM")</f>
        <v>Oct</v>
      </c>
      <c r="H127">
        <v>4</v>
      </c>
      <c r="I127">
        <v>570.12</v>
      </c>
      <c r="J127" t="s">
        <v>274</v>
      </c>
      <c r="K127" t="s">
        <v>38</v>
      </c>
      <c r="L127" t="s">
        <v>19</v>
      </c>
      <c r="M127">
        <v>5</v>
      </c>
      <c r="N127">
        <v>2280.48</v>
      </c>
    </row>
    <row r="128" spans="1:14" x14ac:dyDescent="0.3">
      <c r="A128" t="s">
        <v>275</v>
      </c>
      <c r="B128" t="s">
        <v>21</v>
      </c>
      <c r="C128" s="1">
        <v>45766</v>
      </c>
      <c r="D128" s="2">
        <f>YEAR(Table1[[#This Row],[PurchaseDate]])</f>
        <v>2025</v>
      </c>
      <c r="E128" s="2" t="str">
        <f>"Q"&amp;ROUNDUP(MONTH(Table1[[#This Row],[PurchaseDate]])/3,0)</f>
        <v>Q2</v>
      </c>
      <c r="F128" s="2">
        <f>MONTH(Table1[[#This Row],[PurchaseDate]])</f>
        <v>4</v>
      </c>
      <c r="G128" s="2" t="str">
        <f>TEXT(Table1[[#This Row],[PurchaseDate]],"MMM")</f>
        <v>Apr</v>
      </c>
      <c r="H128">
        <v>3</v>
      </c>
      <c r="I128">
        <v>247.99</v>
      </c>
      <c r="J128" t="s">
        <v>276</v>
      </c>
      <c r="K128" t="s">
        <v>13</v>
      </c>
      <c r="L128" t="s">
        <v>14</v>
      </c>
      <c r="M128">
        <v>5</v>
      </c>
      <c r="N128">
        <v>743.97</v>
      </c>
    </row>
    <row r="129" spans="1:14" x14ac:dyDescent="0.3">
      <c r="A129" t="s">
        <v>277</v>
      </c>
      <c r="B129" t="s">
        <v>21</v>
      </c>
      <c r="C129" s="1">
        <v>45740</v>
      </c>
      <c r="D129" s="2">
        <f>YEAR(Table1[[#This Row],[PurchaseDate]])</f>
        <v>2025</v>
      </c>
      <c r="E129" s="2" t="str">
        <f>"Q"&amp;ROUNDUP(MONTH(Table1[[#This Row],[PurchaseDate]])/3,0)</f>
        <v>Q1</v>
      </c>
      <c r="F129" s="2">
        <f>MONTH(Table1[[#This Row],[PurchaseDate]])</f>
        <v>3</v>
      </c>
      <c r="G129" s="2" t="str">
        <f>TEXT(Table1[[#This Row],[PurchaseDate]],"MMM")</f>
        <v>Mar</v>
      </c>
      <c r="H129">
        <v>1</v>
      </c>
      <c r="I129">
        <v>304</v>
      </c>
      <c r="J129" t="s">
        <v>278</v>
      </c>
      <c r="K129" t="s">
        <v>18</v>
      </c>
      <c r="L129" t="s">
        <v>14</v>
      </c>
      <c r="M129">
        <v>3</v>
      </c>
      <c r="N129">
        <v>304</v>
      </c>
    </row>
    <row r="130" spans="1:14" x14ac:dyDescent="0.3">
      <c r="A130" t="s">
        <v>279</v>
      </c>
      <c r="B130" t="s">
        <v>21</v>
      </c>
      <c r="C130" s="1">
        <v>45092</v>
      </c>
      <c r="D130" s="2">
        <f>YEAR(Table1[[#This Row],[PurchaseDate]])</f>
        <v>2023</v>
      </c>
      <c r="E130" s="2" t="str">
        <f>"Q"&amp;ROUNDUP(MONTH(Table1[[#This Row],[PurchaseDate]])/3,0)</f>
        <v>Q2</v>
      </c>
      <c r="F130" s="2">
        <f>MONTH(Table1[[#This Row],[PurchaseDate]])</f>
        <v>6</v>
      </c>
      <c r="G130" s="2" t="str">
        <f>TEXT(Table1[[#This Row],[PurchaseDate]],"MMM")</f>
        <v>Jun</v>
      </c>
      <c r="H130">
        <v>7</v>
      </c>
      <c r="I130">
        <v>791.31</v>
      </c>
      <c r="J130" t="s">
        <v>280</v>
      </c>
      <c r="K130" t="s">
        <v>18</v>
      </c>
      <c r="L130" t="s">
        <v>27</v>
      </c>
      <c r="M130">
        <v>2</v>
      </c>
      <c r="N130">
        <v>5539.17</v>
      </c>
    </row>
    <row r="131" spans="1:14" x14ac:dyDescent="0.3">
      <c r="A131" t="s">
        <v>281</v>
      </c>
      <c r="B131" t="s">
        <v>29</v>
      </c>
      <c r="C131" s="1">
        <v>45330</v>
      </c>
      <c r="D131" s="2">
        <f>YEAR(Table1[[#This Row],[PurchaseDate]])</f>
        <v>2024</v>
      </c>
      <c r="E131" s="2" t="str">
        <f>"Q"&amp;ROUNDUP(MONTH(Table1[[#This Row],[PurchaseDate]])/3,0)</f>
        <v>Q1</v>
      </c>
      <c r="F131" s="2">
        <f>MONTH(Table1[[#This Row],[PurchaseDate]])</f>
        <v>2</v>
      </c>
      <c r="G131" s="2" t="str">
        <f>TEXT(Table1[[#This Row],[PurchaseDate]],"MMM")</f>
        <v>Feb</v>
      </c>
      <c r="H131">
        <v>7</v>
      </c>
      <c r="I131">
        <v>122.16</v>
      </c>
      <c r="J131" t="s">
        <v>282</v>
      </c>
      <c r="K131" t="s">
        <v>13</v>
      </c>
      <c r="L131" t="s">
        <v>27</v>
      </c>
      <c r="M131">
        <v>5</v>
      </c>
      <c r="N131">
        <v>855.12</v>
      </c>
    </row>
    <row r="132" spans="1:14" x14ac:dyDescent="0.3">
      <c r="A132" t="s">
        <v>283</v>
      </c>
      <c r="B132" t="s">
        <v>25</v>
      </c>
      <c r="C132" s="1">
        <v>45338</v>
      </c>
      <c r="D132" s="2">
        <f>YEAR(Table1[[#This Row],[PurchaseDate]])</f>
        <v>2024</v>
      </c>
      <c r="E132" s="2" t="str">
        <f>"Q"&amp;ROUNDUP(MONTH(Table1[[#This Row],[PurchaseDate]])/3,0)</f>
        <v>Q1</v>
      </c>
      <c r="F132" s="2">
        <f>MONTH(Table1[[#This Row],[PurchaseDate]])</f>
        <v>2</v>
      </c>
      <c r="G132" s="2" t="str">
        <f>TEXT(Table1[[#This Row],[PurchaseDate]],"MMM")</f>
        <v>Feb</v>
      </c>
      <c r="H132">
        <v>3</v>
      </c>
      <c r="I132">
        <v>250.16</v>
      </c>
      <c r="J132" t="s">
        <v>284</v>
      </c>
      <c r="K132" t="s">
        <v>13</v>
      </c>
      <c r="L132" t="s">
        <v>19</v>
      </c>
      <c r="M132">
        <v>3</v>
      </c>
      <c r="N132">
        <v>750.48</v>
      </c>
    </row>
    <row r="133" spans="1:14" x14ac:dyDescent="0.3">
      <c r="A133" t="s">
        <v>285</v>
      </c>
      <c r="B133" t="s">
        <v>16</v>
      </c>
      <c r="C133" s="1">
        <v>45543</v>
      </c>
      <c r="D133" s="2">
        <f>YEAR(Table1[[#This Row],[PurchaseDate]])</f>
        <v>2024</v>
      </c>
      <c r="E133" s="2" t="str">
        <f>"Q"&amp;ROUNDUP(MONTH(Table1[[#This Row],[PurchaseDate]])/3,0)</f>
        <v>Q3</v>
      </c>
      <c r="F133" s="2">
        <f>MONTH(Table1[[#This Row],[PurchaseDate]])</f>
        <v>9</v>
      </c>
      <c r="G133" s="2" t="str">
        <f>TEXT(Table1[[#This Row],[PurchaseDate]],"MMM")</f>
        <v>Sep</v>
      </c>
      <c r="H133">
        <v>6</v>
      </c>
      <c r="I133">
        <v>778.27</v>
      </c>
      <c r="J133" t="s">
        <v>286</v>
      </c>
      <c r="K133" t="s">
        <v>13</v>
      </c>
      <c r="L133" t="s">
        <v>14</v>
      </c>
      <c r="M133">
        <v>5</v>
      </c>
      <c r="N133">
        <v>4669.62</v>
      </c>
    </row>
    <row r="134" spans="1:14" x14ac:dyDescent="0.3">
      <c r="A134" t="s">
        <v>287</v>
      </c>
      <c r="B134" t="s">
        <v>29</v>
      </c>
      <c r="C134" s="1">
        <v>45383</v>
      </c>
      <c r="D134" s="2">
        <f>YEAR(Table1[[#This Row],[PurchaseDate]])</f>
        <v>2024</v>
      </c>
      <c r="E134" s="2" t="str">
        <f>"Q"&amp;ROUNDUP(MONTH(Table1[[#This Row],[PurchaseDate]])/3,0)</f>
        <v>Q2</v>
      </c>
      <c r="F134" s="2">
        <f>MONTH(Table1[[#This Row],[PurchaseDate]])</f>
        <v>4</v>
      </c>
      <c r="G134" s="2" t="str">
        <f>TEXT(Table1[[#This Row],[PurchaseDate]],"MMM")</f>
        <v>Apr</v>
      </c>
      <c r="H134">
        <v>3</v>
      </c>
      <c r="I134">
        <v>146.37</v>
      </c>
      <c r="J134" t="s">
        <v>288</v>
      </c>
      <c r="K134" t="s">
        <v>13</v>
      </c>
      <c r="L134" t="s">
        <v>58</v>
      </c>
      <c r="M134">
        <v>5</v>
      </c>
      <c r="N134">
        <v>439.11</v>
      </c>
    </row>
    <row r="135" spans="1:14" x14ac:dyDescent="0.3">
      <c r="A135" t="s">
        <v>289</v>
      </c>
      <c r="B135" t="s">
        <v>25</v>
      </c>
      <c r="C135" s="1">
        <v>45276</v>
      </c>
      <c r="D135" s="2">
        <f>YEAR(Table1[[#This Row],[PurchaseDate]])</f>
        <v>2023</v>
      </c>
      <c r="E135" s="2" t="str">
        <f>"Q"&amp;ROUNDUP(MONTH(Table1[[#This Row],[PurchaseDate]])/3,0)</f>
        <v>Q4</v>
      </c>
      <c r="F135" s="2">
        <f>MONTH(Table1[[#This Row],[PurchaseDate]])</f>
        <v>12</v>
      </c>
      <c r="G135" s="2" t="str">
        <f>TEXT(Table1[[#This Row],[PurchaseDate]],"MMM")</f>
        <v>Dec</v>
      </c>
      <c r="H135">
        <v>2</v>
      </c>
      <c r="I135">
        <v>179.71</v>
      </c>
      <c r="J135" t="s">
        <v>290</v>
      </c>
      <c r="K135" t="s">
        <v>13</v>
      </c>
      <c r="L135" t="s">
        <v>58</v>
      </c>
      <c r="M135">
        <v>5</v>
      </c>
      <c r="N135">
        <v>359.42</v>
      </c>
    </row>
    <row r="136" spans="1:14" x14ac:dyDescent="0.3">
      <c r="A136" t="s">
        <v>291</v>
      </c>
      <c r="B136" t="s">
        <v>25</v>
      </c>
      <c r="C136" s="1">
        <v>45100</v>
      </c>
      <c r="D136" s="2">
        <f>YEAR(Table1[[#This Row],[PurchaseDate]])</f>
        <v>2023</v>
      </c>
      <c r="E136" s="2" t="str">
        <f>"Q"&amp;ROUNDUP(MONTH(Table1[[#This Row],[PurchaseDate]])/3,0)</f>
        <v>Q2</v>
      </c>
      <c r="F136" s="2">
        <f>MONTH(Table1[[#This Row],[PurchaseDate]])</f>
        <v>6</v>
      </c>
      <c r="G136" s="2" t="str">
        <f>TEXT(Table1[[#This Row],[PurchaseDate]],"MMM")</f>
        <v>Jun</v>
      </c>
      <c r="H136">
        <v>7</v>
      </c>
      <c r="I136">
        <v>788.9</v>
      </c>
      <c r="J136" t="s">
        <v>292</v>
      </c>
      <c r="K136" t="s">
        <v>13</v>
      </c>
      <c r="L136" t="s">
        <v>58</v>
      </c>
      <c r="M136">
        <v>2</v>
      </c>
      <c r="N136">
        <v>5522.3</v>
      </c>
    </row>
    <row r="137" spans="1:14" x14ac:dyDescent="0.3">
      <c r="A137" t="s">
        <v>293</v>
      </c>
      <c r="B137" t="s">
        <v>29</v>
      </c>
      <c r="C137" s="1">
        <v>45032</v>
      </c>
      <c r="D137" s="2">
        <f>YEAR(Table1[[#This Row],[PurchaseDate]])</f>
        <v>2023</v>
      </c>
      <c r="E137" s="2" t="str">
        <f>"Q"&amp;ROUNDUP(MONTH(Table1[[#This Row],[PurchaseDate]])/3,0)</f>
        <v>Q2</v>
      </c>
      <c r="F137" s="2">
        <f>MONTH(Table1[[#This Row],[PurchaseDate]])</f>
        <v>4</v>
      </c>
      <c r="G137" s="2" t="str">
        <f>TEXT(Table1[[#This Row],[PurchaseDate]],"MMM")</f>
        <v>Apr</v>
      </c>
      <c r="H137">
        <v>5</v>
      </c>
      <c r="I137">
        <v>653.01</v>
      </c>
      <c r="J137" t="s">
        <v>294</v>
      </c>
      <c r="K137" t="s">
        <v>38</v>
      </c>
      <c r="L137" t="s">
        <v>23</v>
      </c>
      <c r="M137">
        <v>3</v>
      </c>
      <c r="N137">
        <v>3265.05</v>
      </c>
    </row>
    <row r="138" spans="1:14" x14ac:dyDescent="0.3">
      <c r="A138" t="s">
        <v>295</v>
      </c>
      <c r="B138" t="s">
        <v>25</v>
      </c>
      <c r="C138" s="1">
        <v>45286</v>
      </c>
      <c r="D138" s="2">
        <f>YEAR(Table1[[#This Row],[PurchaseDate]])</f>
        <v>2023</v>
      </c>
      <c r="E138" s="2" t="str">
        <f>"Q"&amp;ROUNDUP(MONTH(Table1[[#This Row],[PurchaseDate]])/3,0)</f>
        <v>Q4</v>
      </c>
      <c r="F138" s="2">
        <f>MONTH(Table1[[#This Row],[PurchaseDate]])</f>
        <v>12</v>
      </c>
      <c r="G138" s="2" t="str">
        <f>TEXT(Table1[[#This Row],[PurchaseDate]],"MMM")</f>
        <v>Dec</v>
      </c>
      <c r="H138">
        <v>4</v>
      </c>
      <c r="I138">
        <v>164.36</v>
      </c>
      <c r="J138" t="s">
        <v>296</v>
      </c>
      <c r="K138" t="s">
        <v>13</v>
      </c>
      <c r="L138" t="s">
        <v>14</v>
      </c>
      <c r="M138">
        <v>1</v>
      </c>
      <c r="N138">
        <v>657.44</v>
      </c>
    </row>
    <row r="139" spans="1:14" x14ac:dyDescent="0.3">
      <c r="A139" t="s">
        <v>297</v>
      </c>
      <c r="B139" t="s">
        <v>29</v>
      </c>
      <c r="C139" s="1">
        <v>45618</v>
      </c>
      <c r="D139" s="2">
        <f>YEAR(Table1[[#This Row],[PurchaseDate]])</f>
        <v>2024</v>
      </c>
      <c r="E139" s="2" t="str">
        <f>"Q"&amp;ROUNDUP(MONTH(Table1[[#This Row],[PurchaseDate]])/3,0)</f>
        <v>Q4</v>
      </c>
      <c r="F139" s="2">
        <f>MONTH(Table1[[#This Row],[PurchaseDate]])</f>
        <v>11</v>
      </c>
      <c r="G139" s="2" t="str">
        <f>TEXT(Table1[[#This Row],[PurchaseDate]],"MMM")</f>
        <v>Nov</v>
      </c>
      <c r="H139">
        <v>3</v>
      </c>
      <c r="I139">
        <v>320.64999999999998</v>
      </c>
      <c r="J139" t="s">
        <v>298</v>
      </c>
      <c r="K139" t="s">
        <v>13</v>
      </c>
      <c r="L139" t="s">
        <v>58</v>
      </c>
      <c r="M139">
        <v>5</v>
      </c>
      <c r="N139">
        <v>961.95</v>
      </c>
    </row>
    <row r="140" spans="1:14" x14ac:dyDescent="0.3">
      <c r="A140" t="s">
        <v>299</v>
      </c>
      <c r="B140" t="s">
        <v>16</v>
      </c>
      <c r="C140" s="1">
        <v>44962</v>
      </c>
      <c r="D140" s="2">
        <f>YEAR(Table1[[#This Row],[PurchaseDate]])</f>
        <v>2023</v>
      </c>
      <c r="E140" s="2" t="str">
        <f>"Q"&amp;ROUNDUP(MONTH(Table1[[#This Row],[PurchaseDate]])/3,0)</f>
        <v>Q1</v>
      </c>
      <c r="F140" s="2">
        <f>MONTH(Table1[[#This Row],[PurchaseDate]])</f>
        <v>2</v>
      </c>
      <c r="G140" s="2" t="str">
        <f>TEXT(Table1[[#This Row],[PurchaseDate]],"MMM")</f>
        <v>Feb</v>
      </c>
      <c r="H140">
        <v>8</v>
      </c>
      <c r="I140">
        <v>664.08</v>
      </c>
      <c r="J140" t="s">
        <v>300</v>
      </c>
      <c r="K140" t="s">
        <v>13</v>
      </c>
      <c r="L140" t="s">
        <v>27</v>
      </c>
      <c r="M140">
        <v>2</v>
      </c>
      <c r="N140">
        <v>5312.64</v>
      </c>
    </row>
    <row r="141" spans="1:14" x14ac:dyDescent="0.3">
      <c r="A141" t="s">
        <v>301</v>
      </c>
      <c r="B141" t="s">
        <v>11</v>
      </c>
      <c r="C141" s="1">
        <v>44958</v>
      </c>
      <c r="D141" s="2">
        <f>YEAR(Table1[[#This Row],[PurchaseDate]])</f>
        <v>2023</v>
      </c>
      <c r="E141" s="2" t="str">
        <f>"Q"&amp;ROUNDUP(MONTH(Table1[[#This Row],[PurchaseDate]])/3,0)</f>
        <v>Q1</v>
      </c>
      <c r="F141" s="2">
        <f>MONTH(Table1[[#This Row],[PurchaseDate]])</f>
        <v>2</v>
      </c>
      <c r="G141" s="2" t="str">
        <f>TEXT(Table1[[#This Row],[PurchaseDate]],"MMM")</f>
        <v>Feb</v>
      </c>
      <c r="H141">
        <v>3</v>
      </c>
      <c r="I141">
        <v>709.1</v>
      </c>
      <c r="J141" t="s">
        <v>302</v>
      </c>
      <c r="K141" t="s">
        <v>38</v>
      </c>
      <c r="L141" t="s">
        <v>23</v>
      </c>
      <c r="M141">
        <v>4</v>
      </c>
      <c r="N141">
        <v>2127.3000000000002</v>
      </c>
    </row>
    <row r="142" spans="1:14" x14ac:dyDescent="0.3">
      <c r="A142" t="s">
        <v>303</v>
      </c>
      <c r="B142" t="s">
        <v>29</v>
      </c>
      <c r="C142" s="1">
        <v>45101</v>
      </c>
      <c r="D142" s="2">
        <f>YEAR(Table1[[#This Row],[PurchaseDate]])</f>
        <v>2023</v>
      </c>
      <c r="E142" s="2" t="str">
        <f>"Q"&amp;ROUNDUP(MONTH(Table1[[#This Row],[PurchaseDate]])/3,0)</f>
        <v>Q2</v>
      </c>
      <c r="F142" s="2">
        <f>MONTH(Table1[[#This Row],[PurchaseDate]])</f>
        <v>6</v>
      </c>
      <c r="G142" s="2" t="str">
        <f>TEXT(Table1[[#This Row],[PurchaseDate]],"MMM")</f>
        <v>Jun</v>
      </c>
      <c r="H142">
        <v>2</v>
      </c>
      <c r="I142">
        <v>577.4</v>
      </c>
      <c r="J142" t="s">
        <v>304</v>
      </c>
      <c r="K142" t="s">
        <v>18</v>
      </c>
      <c r="L142" t="s">
        <v>27</v>
      </c>
      <c r="M142">
        <v>4</v>
      </c>
      <c r="N142">
        <v>1154.8</v>
      </c>
    </row>
    <row r="143" spans="1:14" x14ac:dyDescent="0.3">
      <c r="A143" t="s">
        <v>305</v>
      </c>
      <c r="B143" t="s">
        <v>16</v>
      </c>
      <c r="C143" s="1">
        <v>45499</v>
      </c>
      <c r="D143" s="2">
        <f>YEAR(Table1[[#This Row],[PurchaseDate]])</f>
        <v>2024</v>
      </c>
      <c r="E143" s="2" t="str">
        <f>"Q"&amp;ROUNDUP(MONTH(Table1[[#This Row],[PurchaseDate]])/3,0)</f>
        <v>Q3</v>
      </c>
      <c r="F143" s="2">
        <f>MONTH(Table1[[#This Row],[PurchaseDate]])</f>
        <v>7</v>
      </c>
      <c r="G143" s="2" t="str">
        <f>TEXT(Table1[[#This Row],[PurchaseDate]],"MMM")</f>
        <v>Jul</v>
      </c>
      <c r="H143">
        <v>4</v>
      </c>
      <c r="I143">
        <v>223.88</v>
      </c>
      <c r="J143" t="s">
        <v>306</v>
      </c>
      <c r="K143" t="s">
        <v>18</v>
      </c>
      <c r="L143" t="s">
        <v>27</v>
      </c>
      <c r="M143">
        <v>2</v>
      </c>
      <c r="N143">
        <v>895.52</v>
      </c>
    </row>
    <row r="144" spans="1:14" x14ac:dyDescent="0.3">
      <c r="A144" t="s">
        <v>307</v>
      </c>
      <c r="B144" t="s">
        <v>29</v>
      </c>
      <c r="C144" s="1">
        <v>45585</v>
      </c>
      <c r="D144" s="2">
        <f>YEAR(Table1[[#This Row],[PurchaseDate]])</f>
        <v>2024</v>
      </c>
      <c r="E144" s="2" t="str">
        <f>"Q"&amp;ROUNDUP(MONTH(Table1[[#This Row],[PurchaseDate]])/3,0)</f>
        <v>Q4</v>
      </c>
      <c r="F144" s="2">
        <f>MONTH(Table1[[#This Row],[PurchaseDate]])</f>
        <v>10</v>
      </c>
      <c r="G144" s="2" t="str">
        <f>TEXT(Table1[[#This Row],[PurchaseDate]],"MMM")</f>
        <v>Oct</v>
      </c>
      <c r="H144">
        <v>4</v>
      </c>
      <c r="I144">
        <v>794.6</v>
      </c>
      <c r="J144" t="s">
        <v>308</v>
      </c>
      <c r="K144" t="s">
        <v>18</v>
      </c>
      <c r="L144" t="s">
        <v>27</v>
      </c>
      <c r="M144">
        <v>2</v>
      </c>
      <c r="N144">
        <v>3178.4</v>
      </c>
    </row>
    <row r="145" spans="1:14" x14ac:dyDescent="0.3">
      <c r="A145" t="s">
        <v>309</v>
      </c>
      <c r="B145" t="s">
        <v>16</v>
      </c>
      <c r="C145" s="1">
        <v>45411</v>
      </c>
      <c r="D145" s="2">
        <f>YEAR(Table1[[#This Row],[PurchaseDate]])</f>
        <v>2024</v>
      </c>
      <c r="E145" s="2" t="str">
        <f>"Q"&amp;ROUNDUP(MONTH(Table1[[#This Row],[PurchaseDate]])/3,0)</f>
        <v>Q2</v>
      </c>
      <c r="F145" s="2">
        <f>MONTH(Table1[[#This Row],[PurchaseDate]])</f>
        <v>4</v>
      </c>
      <c r="G145" s="2" t="str">
        <f>TEXT(Table1[[#This Row],[PurchaseDate]],"MMM")</f>
        <v>Apr</v>
      </c>
      <c r="H145">
        <v>4</v>
      </c>
      <c r="I145">
        <v>31.12</v>
      </c>
      <c r="J145" t="s">
        <v>310</v>
      </c>
      <c r="K145" t="s">
        <v>38</v>
      </c>
      <c r="L145" t="s">
        <v>14</v>
      </c>
      <c r="M145">
        <v>4</v>
      </c>
      <c r="N145">
        <v>124.48</v>
      </c>
    </row>
    <row r="146" spans="1:14" x14ac:dyDescent="0.3">
      <c r="A146" t="s">
        <v>311</v>
      </c>
      <c r="B146" t="s">
        <v>25</v>
      </c>
      <c r="C146" s="1">
        <v>45406</v>
      </c>
      <c r="D146" s="2">
        <f>YEAR(Table1[[#This Row],[PurchaseDate]])</f>
        <v>2024</v>
      </c>
      <c r="E146" s="2" t="str">
        <f>"Q"&amp;ROUNDUP(MONTH(Table1[[#This Row],[PurchaseDate]])/3,0)</f>
        <v>Q2</v>
      </c>
      <c r="F146" s="2">
        <f>MONTH(Table1[[#This Row],[PurchaseDate]])</f>
        <v>4</v>
      </c>
      <c r="G146" s="2" t="str">
        <f>TEXT(Table1[[#This Row],[PurchaseDate]],"MMM")</f>
        <v>Apr</v>
      </c>
      <c r="H146">
        <v>8</v>
      </c>
      <c r="I146">
        <v>689.21</v>
      </c>
      <c r="J146" t="s">
        <v>312</v>
      </c>
      <c r="K146" t="s">
        <v>13</v>
      </c>
      <c r="L146" t="s">
        <v>19</v>
      </c>
      <c r="M146">
        <v>3</v>
      </c>
      <c r="N146">
        <v>5513.68</v>
      </c>
    </row>
    <row r="147" spans="1:14" x14ac:dyDescent="0.3">
      <c r="A147" t="s">
        <v>153</v>
      </c>
      <c r="B147" t="s">
        <v>21</v>
      </c>
      <c r="C147" s="1">
        <v>45518</v>
      </c>
      <c r="D147" s="2">
        <f>YEAR(Table1[[#This Row],[PurchaseDate]])</f>
        <v>2024</v>
      </c>
      <c r="E147" s="2" t="str">
        <f>"Q"&amp;ROUNDUP(MONTH(Table1[[#This Row],[PurchaseDate]])/3,0)</f>
        <v>Q3</v>
      </c>
      <c r="F147" s="2">
        <f>MONTH(Table1[[#This Row],[PurchaseDate]])</f>
        <v>8</v>
      </c>
      <c r="G147" s="2" t="str">
        <f>TEXT(Table1[[#This Row],[PurchaseDate]],"MMM")</f>
        <v>Aug</v>
      </c>
      <c r="H147">
        <v>6</v>
      </c>
      <c r="I147">
        <v>290.5</v>
      </c>
      <c r="J147" t="s">
        <v>154</v>
      </c>
      <c r="K147" t="s">
        <v>18</v>
      </c>
      <c r="L147" t="s">
        <v>58</v>
      </c>
      <c r="M147">
        <v>2</v>
      </c>
      <c r="N147">
        <v>1743</v>
      </c>
    </row>
    <row r="148" spans="1:14" x14ac:dyDescent="0.3">
      <c r="A148" t="s">
        <v>313</v>
      </c>
      <c r="B148" t="s">
        <v>25</v>
      </c>
      <c r="C148" s="1">
        <v>45287</v>
      </c>
      <c r="D148" s="2">
        <f>YEAR(Table1[[#This Row],[PurchaseDate]])</f>
        <v>2023</v>
      </c>
      <c r="E148" s="2" t="str">
        <f>"Q"&amp;ROUNDUP(MONTH(Table1[[#This Row],[PurchaseDate]])/3,0)</f>
        <v>Q4</v>
      </c>
      <c r="F148" s="2">
        <f>MONTH(Table1[[#This Row],[PurchaseDate]])</f>
        <v>12</v>
      </c>
      <c r="G148" s="2" t="str">
        <f>TEXT(Table1[[#This Row],[PurchaseDate]],"MMM")</f>
        <v>Dec</v>
      </c>
      <c r="H148">
        <v>4</v>
      </c>
      <c r="I148">
        <v>367.42</v>
      </c>
      <c r="J148" t="s">
        <v>314</v>
      </c>
      <c r="K148" t="s">
        <v>38</v>
      </c>
      <c r="L148" t="s">
        <v>27</v>
      </c>
      <c r="M148">
        <v>3</v>
      </c>
      <c r="N148">
        <v>1469.68</v>
      </c>
    </row>
    <row r="149" spans="1:14" x14ac:dyDescent="0.3">
      <c r="A149" t="s">
        <v>315</v>
      </c>
      <c r="B149" t="s">
        <v>29</v>
      </c>
      <c r="C149" s="1">
        <v>45676</v>
      </c>
      <c r="D149" s="2">
        <f>YEAR(Table1[[#This Row],[PurchaseDate]])</f>
        <v>2025</v>
      </c>
      <c r="E149" s="2" t="str">
        <f>"Q"&amp;ROUNDUP(MONTH(Table1[[#This Row],[PurchaseDate]])/3,0)</f>
        <v>Q1</v>
      </c>
      <c r="F149" s="2">
        <f>MONTH(Table1[[#This Row],[PurchaseDate]])</f>
        <v>1</v>
      </c>
      <c r="G149" s="2" t="str">
        <f>TEXT(Table1[[#This Row],[PurchaseDate]],"MMM")</f>
        <v>Jan</v>
      </c>
      <c r="H149">
        <v>7</v>
      </c>
      <c r="I149">
        <v>445.37</v>
      </c>
      <c r="J149" t="s">
        <v>316</v>
      </c>
      <c r="K149" t="s">
        <v>18</v>
      </c>
      <c r="L149" t="s">
        <v>19</v>
      </c>
      <c r="M149">
        <v>5</v>
      </c>
      <c r="N149">
        <v>3117.59</v>
      </c>
    </row>
    <row r="150" spans="1:14" x14ac:dyDescent="0.3">
      <c r="A150" t="s">
        <v>317</v>
      </c>
      <c r="B150" t="s">
        <v>16</v>
      </c>
      <c r="C150" s="1">
        <v>45418</v>
      </c>
      <c r="D150" s="2">
        <f>YEAR(Table1[[#This Row],[PurchaseDate]])</f>
        <v>2024</v>
      </c>
      <c r="E150" s="2" t="str">
        <f>"Q"&amp;ROUNDUP(MONTH(Table1[[#This Row],[PurchaseDate]])/3,0)</f>
        <v>Q2</v>
      </c>
      <c r="F150" s="2">
        <f>MONTH(Table1[[#This Row],[PurchaseDate]])</f>
        <v>5</v>
      </c>
      <c r="G150" s="2" t="str">
        <f>TEXT(Table1[[#This Row],[PurchaseDate]],"MMM")</f>
        <v>May</v>
      </c>
      <c r="H150">
        <v>5</v>
      </c>
      <c r="I150">
        <v>404.52</v>
      </c>
      <c r="J150" t="s">
        <v>318</v>
      </c>
      <c r="K150" t="s">
        <v>38</v>
      </c>
      <c r="L150" t="s">
        <v>14</v>
      </c>
      <c r="M150">
        <v>2</v>
      </c>
      <c r="N150">
        <v>2022.6</v>
      </c>
    </row>
    <row r="151" spans="1:14" x14ac:dyDescent="0.3">
      <c r="A151" t="s">
        <v>319</v>
      </c>
      <c r="B151" t="s">
        <v>29</v>
      </c>
      <c r="C151" s="1">
        <v>45710</v>
      </c>
      <c r="D151" s="2">
        <f>YEAR(Table1[[#This Row],[PurchaseDate]])</f>
        <v>2025</v>
      </c>
      <c r="E151" s="2" t="str">
        <f>"Q"&amp;ROUNDUP(MONTH(Table1[[#This Row],[PurchaseDate]])/3,0)</f>
        <v>Q1</v>
      </c>
      <c r="F151" s="2">
        <f>MONTH(Table1[[#This Row],[PurchaseDate]])</f>
        <v>2</v>
      </c>
      <c r="G151" s="2" t="str">
        <f>TEXT(Table1[[#This Row],[PurchaseDate]],"MMM")</f>
        <v>Feb</v>
      </c>
      <c r="H151">
        <v>6</v>
      </c>
      <c r="I151">
        <v>181.87</v>
      </c>
      <c r="J151" t="s">
        <v>320</v>
      </c>
      <c r="K151" t="s">
        <v>38</v>
      </c>
      <c r="L151" t="s">
        <v>14</v>
      </c>
      <c r="M151">
        <v>5</v>
      </c>
      <c r="N151">
        <v>1091.22</v>
      </c>
    </row>
    <row r="152" spans="1:14" x14ac:dyDescent="0.3">
      <c r="A152" t="s">
        <v>321</v>
      </c>
      <c r="B152" t="s">
        <v>11</v>
      </c>
      <c r="C152" s="1">
        <v>45016</v>
      </c>
      <c r="D152" s="2">
        <f>YEAR(Table1[[#This Row],[PurchaseDate]])</f>
        <v>2023</v>
      </c>
      <c r="E152" s="2" t="str">
        <f>"Q"&amp;ROUNDUP(MONTH(Table1[[#This Row],[PurchaseDate]])/3,0)</f>
        <v>Q1</v>
      </c>
      <c r="F152" s="2">
        <f>MONTH(Table1[[#This Row],[PurchaseDate]])</f>
        <v>3</v>
      </c>
      <c r="G152" s="2" t="str">
        <f>TEXT(Table1[[#This Row],[PurchaseDate]],"MMM")</f>
        <v>Mar</v>
      </c>
      <c r="H152">
        <v>7</v>
      </c>
      <c r="I152">
        <v>501.68</v>
      </c>
      <c r="J152" t="s">
        <v>322</v>
      </c>
      <c r="K152" t="s">
        <v>38</v>
      </c>
      <c r="L152" t="s">
        <v>58</v>
      </c>
      <c r="M152">
        <v>5</v>
      </c>
      <c r="N152">
        <v>3511.76</v>
      </c>
    </row>
    <row r="153" spans="1:14" x14ac:dyDescent="0.3">
      <c r="A153" t="s">
        <v>323</v>
      </c>
      <c r="B153" t="s">
        <v>11</v>
      </c>
      <c r="C153" s="1">
        <v>45447</v>
      </c>
      <c r="D153" s="2">
        <f>YEAR(Table1[[#This Row],[PurchaseDate]])</f>
        <v>2024</v>
      </c>
      <c r="E153" s="2" t="str">
        <f>"Q"&amp;ROUNDUP(MONTH(Table1[[#This Row],[PurchaseDate]])/3,0)</f>
        <v>Q2</v>
      </c>
      <c r="F153" s="2">
        <f>MONTH(Table1[[#This Row],[PurchaseDate]])</f>
        <v>6</v>
      </c>
      <c r="G153" s="2" t="str">
        <f>TEXT(Table1[[#This Row],[PurchaseDate]],"MMM")</f>
        <v>Jun</v>
      </c>
      <c r="H153">
        <v>1</v>
      </c>
      <c r="I153">
        <v>55.85</v>
      </c>
      <c r="J153" t="s">
        <v>324</v>
      </c>
      <c r="K153" t="s">
        <v>13</v>
      </c>
      <c r="L153" t="s">
        <v>19</v>
      </c>
      <c r="M153">
        <v>3</v>
      </c>
      <c r="N153">
        <v>55.85</v>
      </c>
    </row>
    <row r="154" spans="1:14" x14ac:dyDescent="0.3">
      <c r="A154" t="s">
        <v>325</v>
      </c>
      <c r="B154" t="s">
        <v>11</v>
      </c>
      <c r="C154" s="1">
        <v>45673</v>
      </c>
      <c r="D154" s="2">
        <f>YEAR(Table1[[#This Row],[PurchaseDate]])</f>
        <v>2025</v>
      </c>
      <c r="E154" s="2" t="str">
        <f>"Q"&amp;ROUNDUP(MONTH(Table1[[#This Row],[PurchaseDate]])/3,0)</f>
        <v>Q1</v>
      </c>
      <c r="F154" s="2">
        <f>MONTH(Table1[[#This Row],[PurchaseDate]])</f>
        <v>1</v>
      </c>
      <c r="G154" s="2" t="str">
        <f>TEXT(Table1[[#This Row],[PurchaseDate]],"MMM")</f>
        <v>Jan</v>
      </c>
      <c r="H154">
        <v>1</v>
      </c>
      <c r="I154">
        <v>386.93</v>
      </c>
      <c r="J154" t="s">
        <v>326</v>
      </c>
      <c r="K154" t="s">
        <v>38</v>
      </c>
      <c r="L154" t="s">
        <v>14</v>
      </c>
      <c r="M154">
        <v>4</v>
      </c>
      <c r="N154">
        <v>386.93</v>
      </c>
    </row>
    <row r="155" spans="1:14" x14ac:dyDescent="0.3">
      <c r="A155" t="s">
        <v>327</v>
      </c>
      <c r="B155" t="s">
        <v>11</v>
      </c>
      <c r="C155" s="1">
        <v>45180</v>
      </c>
      <c r="D155" s="2">
        <f>YEAR(Table1[[#This Row],[PurchaseDate]])</f>
        <v>2023</v>
      </c>
      <c r="E155" s="2" t="str">
        <f>"Q"&amp;ROUNDUP(MONTH(Table1[[#This Row],[PurchaseDate]])/3,0)</f>
        <v>Q3</v>
      </c>
      <c r="F155" s="2">
        <f>MONTH(Table1[[#This Row],[PurchaseDate]])</f>
        <v>9</v>
      </c>
      <c r="G155" s="2" t="str">
        <f>TEXT(Table1[[#This Row],[PurchaseDate]],"MMM")</f>
        <v>Sep</v>
      </c>
      <c r="H155">
        <v>7</v>
      </c>
      <c r="I155">
        <v>227.2</v>
      </c>
      <c r="J155" t="s">
        <v>328</v>
      </c>
      <c r="K155" t="s">
        <v>13</v>
      </c>
      <c r="L155" t="s">
        <v>23</v>
      </c>
      <c r="M155">
        <v>3</v>
      </c>
      <c r="N155">
        <v>1590.4</v>
      </c>
    </row>
    <row r="156" spans="1:14" x14ac:dyDescent="0.3">
      <c r="A156" t="s">
        <v>329</v>
      </c>
      <c r="B156" t="s">
        <v>42</v>
      </c>
      <c r="C156" s="1">
        <v>44939</v>
      </c>
      <c r="D156" s="2">
        <f>YEAR(Table1[[#This Row],[PurchaseDate]])</f>
        <v>2023</v>
      </c>
      <c r="E156" s="2" t="str">
        <f>"Q"&amp;ROUNDUP(MONTH(Table1[[#This Row],[PurchaseDate]])/3,0)</f>
        <v>Q1</v>
      </c>
      <c r="F156" s="2">
        <f>MONTH(Table1[[#This Row],[PurchaseDate]])</f>
        <v>1</v>
      </c>
      <c r="G156" s="2" t="str">
        <f>TEXT(Table1[[#This Row],[PurchaseDate]],"MMM")</f>
        <v>Jan</v>
      </c>
      <c r="H156">
        <v>5</v>
      </c>
      <c r="I156">
        <v>536.13</v>
      </c>
      <c r="J156" t="s">
        <v>330</v>
      </c>
      <c r="K156" t="s">
        <v>13</v>
      </c>
      <c r="L156" t="s">
        <v>19</v>
      </c>
      <c r="M156">
        <v>2</v>
      </c>
      <c r="N156">
        <v>2680.65</v>
      </c>
    </row>
    <row r="157" spans="1:14" x14ac:dyDescent="0.3">
      <c r="A157" t="s">
        <v>331</v>
      </c>
      <c r="B157" t="s">
        <v>25</v>
      </c>
      <c r="C157" s="1">
        <v>45784</v>
      </c>
      <c r="D157" s="2">
        <f>YEAR(Table1[[#This Row],[PurchaseDate]])</f>
        <v>2025</v>
      </c>
      <c r="E157" s="2" t="str">
        <f>"Q"&amp;ROUNDUP(MONTH(Table1[[#This Row],[PurchaseDate]])/3,0)</f>
        <v>Q2</v>
      </c>
      <c r="F157" s="2">
        <f>MONTH(Table1[[#This Row],[PurchaseDate]])</f>
        <v>5</v>
      </c>
      <c r="G157" s="2" t="str">
        <f>TEXT(Table1[[#This Row],[PurchaseDate]],"MMM")</f>
        <v>May</v>
      </c>
      <c r="H157">
        <v>7</v>
      </c>
      <c r="I157">
        <v>406.32</v>
      </c>
      <c r="J157" t="s">
        <v>332</v>
      </c>
      <c r="K157" t="s">
        <v>18</v>
      </c>
      <c r="L157" t="s">
        <v>19</v>
      </c>
      <c r="M157">
        <v>2</v>
      </c>
      <c r="N157">
        <v>2844.24</v>
      </c>
    </row>
    <row r="158" spans="1:14" x14ac:dyDescent="0.3">
      <c r="A158" t="s">
        <v>333</v>
      </c>
      <c r="B158" t="s">
        <v>25</v>
      </c>
      <c r="C158" s="1">
        <v>45407</v>
      </c>
      <c r="D158" s="2">
        <f>YEAR(Table1[[#This Row],[PurchaseDate]])</f>
        <v>2024</v>
      </c>
      <c r="E158" s="2" t="str">
        <f>"Q"&amp;ROUNDUP(MONTH(Table1[[#This Row],[PurchaseDate]])/3,0)</f>
        <v>Q2</v>
      </c>
      <c r="F158" s="2">
        <f>MONTH(Table1[[#This Row],[PurchaseDate]])</f>
        <v>4</v>
      </c>
      <c r="G158" s="2" t="str">
        <f>TEXT(Table1[[#This Row],[PurchaseDate]],"MMM")</f>
        <v>Apr</v>
      </c>
      <c r="H158">
        <v>4</v>
      </c>
      <c r="I158">
        <v>9.0299999999999994</v>
      </c>
      <c r="J158" t="s">
        <v>334</v>
      </c>
      <c r="K158" t="s">
        <v>18</v>
      </c>
      <c r="L158" t="s">
        <v>19</v>
      </c>
      <c r="M158">
        <v>2</v>
      </c>
      <c r="N158">
        <v>36.119999999999997</v>
      </c>
    </row>
    <row r="159" spans="1:14" x14ac:dyDescent="0.3">
      <c r="A159" t="s">
        <v>335</v>
      </c>
      <c r="B159" t="s">
        <v>16</v>
      </c>
      <c r="C159" s="1">
        <v>45525</v>
      </c>
      <c r="D159" s="2">
        <f>YEAR(Table1[[#This Row],[PurchaseDate]])</f>
        <v>2024</v>
      </c>
      <c r="E159" s="2" t="str">
        <f>"Q"&amp;ROUNDUP(MONTH(Table1[[#This Row],[PurchaseDate]])/3,0)</f>
        <v>Q3</v>
      </c>
      <c r="F159" s="2">
        <f>MONTH(Table1[[#This Row],[PurchaseDate]])</f>
        <v>8</v>
      </c>
      <c r="G159" s="2" t="str">
        <f>TEXT(Table1[[#This Row],[PurchaseDate]],"MMM")</f>
        <v>Aug</v>
      </c>
      <c r="H159">
        <v>3</v>
      </c>
      <c r="I159">
        <v>505.98</v>
      </c>
      <c r="J159" t="s">
        <v>336</v>
      </c>
      <c r="K159" t="s">
        <v>13</v>
      </c>
      <c r="L159" t="s">
        <v>27</v>
      </c>
      <c r="M159">
        <v>4</v>
      </c>
      <c r="N159">
        <v>1517.94</v>
      </c>
    </row>
    <row r="160" spans="1:14" x14ac:dyDescent="0.3">
      <c r="A160" t="s">
        <v>337</v>
      </c>
      <c r="B160" t="s">
        <v>21</v>
      </c>
      <c r="C160" s="1">
        <v>45761</v>
      </c>
      <c r="D160" s="2">
        <f>YEAR(Table1[[#This Row],[PurchaseDate]])</f>
        <v>2025</v>
      </c>
      <c r="E160" s="2" t="str">
        <f>"Q"&amp;ROUNDUP(MONTH(Table1[[#This Row],[PurchaseDate]])/3,0)</f>
        <v>Q2</v>
      </c>
      <c r="F160" s="2">
        <f>MONTH(Table1[[#This Row],[PurchaseDate]])</f>
        <v>4</v>
      </c>
      <c r="G160" s="2" t="str">
        <f>TEXT(Table1[[#This Row],[PurchaseDate]],"MMM")</f>
        <v>Apr</v>
      </c>
      <c r="H160">
        <v>3</v>
      </c>
      <c r="I160">
        <v>25.9</v>
      </c>
      <c r="J160" t="s">
        <v>338</v>
      </c>
      <c r="K160" t="s">
        <v>38</v>
      </c>
      <c r="L160" t="s">
        <v>19</v>
      </c>
      <c r="M160">
        <v>5</v>
      </c>
      <c r="N160">
        <v>77.7</v>
      </c>
    </row>
    <row r="161" spans="1:14" x14ac:dyDescent="0.3">
      <c r="A161" t="s">
        <v>339</v>
      </c>
      <c r="B161" t="s">
        <v>29</v>
      </c>
      <c r="C161" s="1">
        <v>45081</v>
      </c>
      <c r="D161" s="2">
        <f>YEAR(Table1[[#This Row],[PurchaseDate]])</f>
        <v>2023</v>
      </c>
      <c r="E161" s="2" t="str">
        <f>"Q"&amp;ROUNDUP(MONTH(Table1[[#This Row],[PurchaseDate]])/3,0)</f>
        <v>Q2</v>
      </c>
      <c r="F161" s="2">
        <f>MONTH(Table1[[#This Row],[PurchaseDate]])</f>
        <v>6</v>
      </c>
      <c r="G161" s="2" t="str">
        <f>TEXT(Table1[[#This Row],[PurchaseDate]],"MMM")</f>
        <v>Jun</v>
      </c>
      <c r="H161">
        <v>7</v>
      </c>
      <c r="I161">
        <v>785.29</v>
      </c>
      <c r="J161" t="s">
        <v>340</v>
      </c>
      <c r="K161" t="s">
        <v>13</v>
      </c>
      <c r="L161" t="s">
        <v>23</v>
      </c>
      <c r="M161">
        <v>4</v>
      </c>
      <c r="N161">
        <v>5497.03</v>
      </c>
    </row>
    <row r="162" spans="1:14" x14ac:dyDescent="0.3">
      <c r="A162" t="s">
        <v>341</v>
      </c>
      <c r="B162" t="s">
        <v>16</v>
      </c>
      <c r="C162" s="1">
        <v>45542</v>
      </c>
      <c r="D162" s="2">
        <f>YEAR(Table1[[#This Row],[PurchaseDate]])</f>
        <v>2024</v>
      </c>
      <c r="E162" s="2" t="str">
        <f>"Q"&amp;ROUNDUP(MONTH(Table1[[#This Row],[PurchaseDate]])/3,0)</f>
        <v>Q3</v>
      </c>
      <c r="F162" s="2">
        <f>MONTH(Table1[[#This Row],[PurchaseDate]])</f>
        <v>9</v>
      </c>
      <c r="G162" s="2" t="str">
        <f>TEXT(Table1[[#This Row],[PurchaseDate]],"MMM")</f>
        <v>Sep</v>
      </c>
      <c r="H162">
        <v>7</v>
      </c>
      <c r="I162">
        <v>580.44000000000005</v>
      </c>
      <c r="J162" t="s">
        <v>342</v>
      </c>
      <c r="K162" t="s">
        <v>38</v>
      </c>
      <c r="L162" t="s">
        <v>58</v>
      </c>
      <c r="M162">
        <v>2</v>
      </c>
      <c r="N162">
        <v>4063.08</v>
      </c>
    </row>
    <row r="163" spans="1:14" x14ac:dyDescent="0.3">
      <c r="A163" t="s">
        <v>343</v>
      </c>
      <c r="B163" t="s">
        <v>34</v>
      </c>
      <c r="C163" s="1">
        <v>45831</v>
      </c>
      <c r="D163" s="2">
        <f>YEAR(Table1[[#This Row],[PurchaseDate]])</f>
        <v>2025</v>
      </c>
      <c r="E163" s="2" t="str">
        <f>"Q"&amp;ROUNDUP(MONTH(Table1[[#This Row],[PurchaseDate]])/3,0)</f>
        <v>Q2</v>
      </c>
      <c r="F163" s="2">
        <f>MONTH(Table1[[#This Row],[PurchaseDate]])</f>
        <v>6</v>
      </c>
      <c r="G163" s="2" t="str">
        <f>TEXT(Table1[[#This Row],[PurchaseDate]],"MMM")</f>
        <v>Jun</v>
      </c>
      <c r="H163">
        <v>6</v>
      </c>
      <c r="I163">
        <v>239.44</v>
      </c>
      <c r="J163" t="s">
        <v>344</v>
      </c>
      <c r="K163" t="s">
        <v>13</v>
      </c>
      <c r="L163" t="s">
        <v>23</v>
      </c>
      <c r="M163">
        <v>1</v>
      </c>
      <c r="N163">
        <v>1436.64</v>
      </c>
    </row>
    <row r="164" spans="1:14" x14ac:dyDescent="0.3">
      <c r="A164" t="s">
        <v>345</v>
      </c>
      <c r="B164" t="s">
        <v>42</v>
      </c>
      <c r="C164" s="1">
        <v>45480</v>
      </c>
      <c r="D164" s="2">
        <f>YEAR(Table1[[#This Row],[PurchaseDate]])</f>
        <v>2024</v>
      </c>
      <c r="E164" s="2" t="str">
        <f>"Q"&amp;ROUNDUP(MONTH(Table1[[#This Row],[PurchaseDate]])/3,0)</f>
        <v>Q3</v>
      </c>
      <c r="F164" s="2">
        <f>MONTH(Table1[[#This Row],[PurchaseDate]])</f>
        <v>7</v>
      </c>
      <c r="G164" s="2" t="str">
        <f>TEXT(Table1[[#This Row],[PurchaseDate]],"MMM")</f>
        <v>Jul</v>
      </c>
      <c r="H164">
        <v>5</v>
      </c>
      <c r="I164">
        <v>487.97</v>
      </c>
      <c r="J164" t="s">
        <v>346</v>
      </c>
      <c r="K164" t="s">
        <v>13</v>
      </c>
      <c r="L164" t="s">
        <v>19</v>
      </c>
      <c r="M164">
        <v>3</v>
      </c>
      <c r="N164">
        <v>2439.85</v>
      </c>
    </row>
    <row r="165" spans="1:14" x14ac:dyDescent="0.3">
      <c r="A165" t="s">
        <v>347</v>
      </c>
      <c r="B165" t="s">
        <v>11</v>
      </c>
      <c r="C165" s="1">
        <v>45802</v>
      </c>
      <c r="D165" s="2">
        <f>YEAR(Table1[[#This Row],[PurchaseDate]])</f>
        <v>2025</v>
      </c>
      <c r="E165" s="2" t="str">
        <f>"Q"&amp;ROUNDUP(MONTH(Table1[[#This Row],[PurchaseDate]])/3,0)</f>
        <v>Q2</v>
      </c>
      <c r="F165" s="2">
        <f>MONTH(Table1[[#This Row],[PurchaseDate]])</f>
        <v>5</v>
      </c>
      <c r="G165" s="2" t="str">
        <f>TEXT(Table1[[#This Row],[PurchaseDate]],"MMM")</f>
        <v>May</v>
      </c>
      <c r="H165">
        <v>4</v>
      </c>
      <c r="I165">
        <v>630.54999999999995</v>
      </c>
      <c r="J165" t="s">
        <v>348</v>
      </c>
      <c r="K165" t="s">
        <v>13</v>
      </c>
      <c r="L165" t="s">
        <v>58</v>
      </c>
      <c r="M165">
        <v>3</v>
      </c>
      <c r="N165">
        <v>2522.1999999999998</v>
      </c>
    </row>
    <row r="166" spans="1:14" x14ac:dyDescent="0.3">
      <c r="A166" t="s">
        <v>349</v>
      </c>
      <c r="B166" t="s">
        <v>16</v>
      </c>
      <c r="C166" s="1">
        <v>45779</v>
      </c>
      <c r="D166" s="2">
        <f>YEAR(Table1[[#This Row],[PurchaseDate]])</f>
        <v>2025</v>
      </c>
      <c r="E166" s="2" t="str">
        <f>"Q"&amp;ROUNDUP(MONTH(Table1[[#This Row],[PurchaseDate]])/3,0)</f>
        <v>Q2</v>
      </c>
      <c r="F166" s="2">
        <f>MONTH(Table1[[#This Row],[PurchaseDate]])</f>
        <v>5</v>
      </c>
      <c r="G166" s="2" t="str">
        <f>TEXT(Table1[[#This Row],[PurchaseDate]],"MMM")</f>
        <v>May</v>
      </c>
      <c r="H166">
        <v>6</v>
      </c>
      <c r="I166">
        <v>372.12</v>
      </c>
      <c r="J166" t="s">
        <v>350</v>
      </c>
      <c r="K166" t="s">
        <v>18</v>
      </c>
      <c r="L166" t="s">
        <v>23</v>
      </c>
      <c r="M166">
        <v>2</v>
      </c>
      <c r="N166">
        <v>2232.7199999999998</v>
      </c>
    </row>
    <row r="167" spans="1:14" x14ac:dyDescent="0.3">
      <c r="A167" t="s">
        <v>351</v>
      </c>
      <c r="B167" t="s">
        <v>25</v>
      </c>
      <c r="C167" s="1">
        <v>45160</v>
      </c>
      <c r="D167" s="2">
        <f>YEAR(Table1[[#This Row],[PurchaseDate]])</f>
        <v>2023</v>
      </c>
      <c r="E167" s="2" t="str">
        <f>"Q"&amp;ROUNDUP(MONTH(Table1[[#This Row],[PurchaseDate]])/3,0)</f>
        <v>Q3</v>
      </c>
      <c r="F167" s="2">
        <f>MONTH(Table1[[#This Row],[PurchaseDate]])</f>
        <v>8</v>
      </c>
      <c r="G167" s="2" t="str">
        <f>TEXT(Table1[[#This Row],[PurchaseDate]],"MMM")</f>
        <v>Aug</v>
      </c>
      <c r="H167">
        <v>8</v>
      </c>
      <c r="I167">
        <v>439.21</v>
      </c>
      <c r="J167" t="s">
        <v>352</v>
      </c>
      <c r="K167" t="s">
        <v>38</v>
      </c>
      <c r="L167" t="s">
        <v>23</v>
      </c>
      <c r="M167">
        <v>3</v>
      </c>
      <c r="N167">
        <v>3513.68</v>
      </c>
    </row>
    <row r="168" spans="1:14" x14ac:dyDescent="0.3">
      <c r="A168" t="s">
        <v>353</v>
      </c>
      <c r="B168" t="s">
        <v>11</v>
      </c>
      <c r="C168" s="1">
        <v>45005</v>
      </c>
      <c r="D168" s="2">
        <f>YEAR(Table1[[#This Row],[PurchaseDate]])</f>
        <v>2023</v>
      </c>
      <c r="E168" s="2" t="str">
        <f>"Q"&amp;ROUNDUP(MONTH(Table1[[#This Row],[PurchaseDate]])/3,0)</f>
        <v>Q1</v>
      </c>
      <c r="F168" s="2">
        <f>MONTH(Table1[[#This Row],[PurchaseDate]])</f>
        <v>3</v>
      </c>
      <c r="G168" s="2" t="str">
        <f>TEXT(Table1[[#This Row],[PurchaseDate]],"MMM")</f>
        <v>Mar</v>
      </c>
      <c r="H168">
        <v>6</v>
      </c>
      <c r="I168">
        <v>536.97</v>
      </c>
      <c r="J168" t="s">
        <v>354</v>
      </c>
      <c r="K168" t="s">
        <v>13</v>
      </c>
      <c r="L168" t="s">
        <v>58</v>
      </c>
      <c r="M168">
        <v>3</v>
      </c>
      <c r="N168">
        <v>3221.82</v>
      </c>
    </row>
    <row r="169" spans="1:14" x14ac:dyDescent="0.3">
      <c r="A169" t="s">
        <v>355</v>
      </c>
      <c r="B169" t="s">
        <v>34</v>
      </c>
      <c r="C169" s="1">
        <v>45509</v>
      </c>
      <c r="D169" s="2">
        <f>YEAR(Table1[[#This Row],[PurchaseDate]])</f>
        <v>2024</v>
      </c>
      <c r="E169" s="2" t="str">
        <f>"Q"&amp;ROUNDUP(MONTH(Table1[[#This Row],[PurchaseDate]])/3,0)</f>
        <v>Q3</v>
      </c>
      <c r="F169" s="2">
        <f>MONTH(Table1[[#This Row],[PurchaseDate]])</f>
        <v>8</v>
      </c>
      <c r="G169" s="2" t="str">
        <f>TEXT(Table1[[#This Row],[PurchaseDate]],"MMM")</f>
        <v>Aug</v>
      </c>
      <c r="H169">
        <v>4</v>
      </c>
      <c r="I169">
        <v>15.12</v>
      </c>
      <c r="J169" t="s">
        <v>356</v>
      </c>
      <c r="K169" t="s">
        <v>18</v>
      </c>
      <c r="L169" t="s">
        <v>19</v>
      </c>
      <c r="M169">
        <v>5</v>
      </c>
      <c r="N169">
        <v>60.48</v>
      </c>
    </row>
    <row r="170" spans="1:14" x14ac:dyDescent="0.3">
      <c r="A170" t="s">
        <v>357</v>
      </c>
      <c r="B170" t="s">
        <v>34</v>
      </c>
      <c r="C170" s="1">
        <v>44946</v>
      </c>
      <c r="D170" s="2">
        <f>YEAR(Table1[[#This Row],[PurchaseDate]])</f>
        <v>2023</v>
      </c>
      <c r="E170" s="2" t="str">
        <f>"Q"&amp;ROUNDUP(MONTH(Table1[[#This Row],[PurchaseDate]])/3,0)</f>
        <v>Q1</v>
      </c>
      <c r="F170" s="2">
        <f>MONTH(Table1[[#This Row],[PurchaseDate]])</f>
        <v>1</v>
      </c>
      <c r="G170" s="2" t="str">
        <f>TEXT(Table1[[#This Row],[PurchaseDate]],"MMM")</f>
        <v>Jan</v>
      </c>
      <c r="H170">
        <v>4</v>
      </c>
      <c r="I170">
        <v>375.05</v>
      </c>
      <c r="J170" t="s">
        <v>358</v>
      </c>
      <c r="K170" t="s">
        <v>38</v>
      </c>
      <c r="L170" t="s">
        <v>58</v>
      </c>
      <c r="M170">
        <v>3</v>
      </c>
      <c r="N170">
        <v>1500.2</v>
      </c>
    </row>
    <row r="171" spans="1:14" x14ac:dyDescent="0.3">
      <c r="A171" t="s">
        <v>359</v>
      </c>
      <c r="B171" t="s">
        <v>29</v>
      </c>
      <c r="C171" s="1">
        <v>45059</v>
      </c>
      <c r="D171" s="2">
        <f>YEAR(Table1[[#This Row],[PurchaseDate]])</f>
        <v>2023</v>
      </c>
      <c r="E171" s="2" t="str">
        <f>"Q"&amp;ROUNDUP(MONTH(Table1[[#This Row],[PurchaseDate]])/3,0)</f>
        <v>Q2</v>
      </c>
      <c r="F171" s="2">
        <f>MONTH(Table1[[#This Row],[PurchaseDate]])</f>
        <v>5</v>
      </c>
      <c r="G171" s="2" t="str">
        <f>TEXT(Table1[[#This Row],[PurchaseDate]],"MMM")</f>
        <v>May</v>
      </c>
      <c r="H171">
        <v>4</v>
      </c>
      <c r="I171">
        <v>651.67999999999995</v>
      </c>
      <c r="J171" t="s">
        <v>360</v>
      </c>
      <c r="K171" t="s">
        <v>18</v>
      </c>
      <c r="L171" t="s">
        <v>58</v>
      </c>
      <c r="M171">
        <v>2</v>
      </c>
      <c r="N171">
        <v>2606.7199999999998</v>
      </c>
    </row>
    <row r="172" spans="1:14" x14ac:dyDescent="0.3">
      <c r="A172" t="s">
        <v>361</v>
      </c>
      <c r="B172" t="s">
        <v>16</v>
      </c>
      <c r="C172" s="1">
        <v>45226</v>
      </c>
      <c r="D172" s="2">
        <f>YEAR(Table1[[#This Row],[PurchaseDate]])</f>
        <v>2023</v>
      </c>
      <c r="E172" s="2" t="str">
        <f>"Q"&amp;ROUNDUP(MONTH(Table1[[#This Row],[PurchaseDate]])/3,0)</f>
        <v>Q4</v>
      </c>
      <c r="F172" s="2">
        <f>MONTH(Table1[[#This Row],[PurchaseDate]])</f>
        <v>10</v>
      </c>
      <c r="G172" s="2" t="str">
        <f>TEXT(Table1[[#This Row],[PurchaseDate]],"MMM")</f>
        <v>Oct</v>
      </c>
      <c r="H172">
        <v>2</v>
      </c>
      <c r="I172">
        <v>757.03</v>
      </c>
      <c r="J172" t="s">
        <v>362</v>
      </c>
      <c r="K172" t="s">
        <v>13</v>
      </c>
      <c r="L172" t="s">
        <v>58</v>
      </c>
      <c r="M172">
        <v>2</v>
      </c>
      <c r="N172">
        <v>1514.06</v>
      </c>
    </row>
    <row r="173" spans="1:14" x14ac:dyDescent="0.3">
      <c r="A173" t="s">
        <v>363</v>
      </c>
      <c r="B173" t="s">
        <v>29</v>
      </c>
      <c r="C173" s="1">
        <v>45663</v>
      </c>
      <c r="D173" s="2">
        <f>YEAR(Table1[[#This Row],[PurchaseDate]])</f>
        <v>2025</v>
      </c>
      <c r="E173" s="2" t="str">
        <f>"Q"&amp;ROUNDUP(MONTH(Table1[[#This Row],[PurchaseDate]])/3,0)</f>
        <v>Q1</v>
      </c>
      <c r="F173" s="2">
        <f>MONTH(Table1[[#This Row],[PurchaseDate]])</f>
        <v>1</v>
      </c>
      <c r="G173" s="2" t="str">
        <f>TEXT(Table1[[#This Row],[PurchaseDate]],"MMM")</f>
        <v>Jan</v>
      </c>
      <c r="H173">
        <v>6</v>
      </c>
      <c r="I173">
        <v>665.62</v>
      </c>
      <c r="J173" t="s">
        <v>364</v>
      </c>
      <c r="K173" t="s">
        <v>13</v>
      </c>
      <c r="L173" t="s">
        <v>14</v>
      </c>
      <c r="M173">
        <v>3</v>
      </c>
      <c r="N173">
        <v>3993.72</v>
      </c>
    </row>
    <row r="174" spans="1:14" x14ac:dyDescent="0.3">
      <c r="A174" t="s">
        <v>365</v>
      </c>
      <c r="B174" t="s">
        <v>42</v>
      </c>
      <c r="C174" s="1">
        <v>45001</v>
      </c>
      <c r="D174" s="2">
        <f>YEAR(Table1[[#This Row],[PurchaseDate]])</f>
        <v>2023</v>
      </c>
      <c r="E174" s="2" t="str">
        <f>"Q"&amp;ROUNDUP(MONTH(Table1[[#This Row],[PurchaseDate]])/3,0)</f>
        <v>Q1</v>
      </c>
      <c r="F174" s="2">
        <f>MONTH(Table1[[#This Row],[PurchaseDate]])</f>
        <v>3</v>
      </c>
      <c r="G174" s="2" t="str">
        <f>TEXT(Table1[[#This Row],[PurchaseDate]],"MMM")</f>
        <v>Mar</v>
      </c>
      <c r="H174">
        <v>2</v>
      </c>
      <c r="I174">
        <v>327.63</v>
      </c>
      <c r="J174" t="s">
        <v>366</v>
      </c>
      <c r="K174" t="s">
        <v>18</v>
      </c>
      <c r="L174" t="s">
        <v>19</v>
      </c>
      <c r="M174">
        <v>3</v>
      </c>
      <c r="N174">
        <v>655.26</v>
      </c>
    </row>
    <row r="175" spans="1:14" x14ac:dyDescent="0.3">
      <c r="A175" t="s">
        <v>367</v>
      </c>
      <c r="B175" t="s">
        <v>16</v>
      </c>
      <c r="C175" s="1">
        <v>45327</v>
      </c>
      <c r="D175" s="2">
        <f>YEAR(Table1[[#This Row],[PurchaseDate]])</f>
        <v>2024</v>
      </c>
      <c r="E175" s="2" t="str">
        <f>"Q"&amp;ROUNDUP(MONTH(Table1[[#This Row],[PurchaseDate]])/3,0)</f>
        <v>Q1</v>
      </c>
      <c r="F175" s="2">
        <f>MONTH(Table1[[#This Row],[PurchaseDate]])</f>
        <v>2</v>
      </c>
      <c r="G175" s="2" t="str">
        <f>TEXT(Table1[[#This Row],[PurchaseDate]],"MMM")</f>
        <v>Feb</v>
      </c>
      <c r="H175">
        <v>7</v>
      </c>
      <c r="I175">
        <v>231.77</v>
      </c>
      <c r="J175" t="s">
        <v>368</v>
      </c>
      <c r="K175" t="s">
        <v>13</v>
      </c>
      <c r="L175" t="s">
        <v>19</v>
      </c>
      <c r="M175">
        <v>3</v>
      </c>
      <c r="N175">
        <v>1622.39</v>
      </c>
    </row>
    <row r="176" spans="1:14" x14ac:dyDescent="0.3">
      <c r="A176" t="s">
        <v>369</v>
      </c>
      <c r="B176" t="s">
        <v>21</v>
      </c>
      <c r="C176" s="1">
        <v>45829</v>
      </c>
      <c r="D176" s="2">
        <f>YEAR(Table1[[#This Row],[PurchaseDate]])</f>
        <v>2025</v>
      </c>
      <c r="E176" s="2" t="str">
        <f>"Q"&amp;ROUNDUP(MONTH(Table1[[#This Row],[PurchaseDate]])/3,0)</f>
        <v>Q2</v>
      </c>
      <c r="F176" s="2">
        <f>MONTH(Table1[[#This Row],[PurchaseDate]])</f>
        <v>6</v>
      </c>
      <c r="G176" s="2" t="str">
        <f>TEXT(Table1[[#This Row],[PurchaseDate]],"MMM")</f>
        <v>Jun</v>
      </c>
      <c r="H176">
        <v>6</v>
      </c>
      <c r="I176">
        <v>118.25</v>
      </c>
      <c r="J176" t="s">
        <v>370</v>
      </c>
      <c r="K176" t="s">
        <v>18</v>
      </c>
      <c r="L176" t="s">
        <v>14</v>
      </c>
      <c r="M176">
        <v>2</v>
      </c>
      <c r="N176">
        <v>709.5</v>
      </c>
    </row>
    <row r="177" spans="1:14" x14ac:dyDescent="0.3">
      <c r="A177" t="s">
        <v>371</v>
      </c>
      <c r="B177" t="s">
        <v>16</v>
      </c>
      <c r="C177" s="1">
        <v>45498</v>
      </c>
      <c r="D177" s="2">
        <f>YEAR(Table1[[#This Row],[PurchaseDate]])</f>
        <v>2024</v>
      </c>
      <c r="E177" s="2" t="str">
        <f>"Q"&amp;ROUNDUP(MONTH(Table1[[#This Row],[PurchaseDate]])/3,0)</f>
        <v>Q3</v>
      </c>
      <c r="F177" s="2">
        <f>MONTH(Table1[[#This Row],[PurchaseDate]])</f>
        <v>7</v>
      </c>
      <c r="G177" s="2" t="str">
        <f>TEXT(Table1[[#This Row],[PurchaseDate]],"MMM")</f>
        <v>Jul</v>
      </c>
      <c r="H177">
        <v>4</v>
      </c>
      <c r="I177">
        <v>492.28</v>
      </c>
      <c r="J177" t="s">
        <v>372</v>
      </c>
      <c r="K177" t="s">
        <v>13</v>
      </c>
      <c r="L177" t="s">
        <v>14</v>
      </c>
      <c r="M177">
        <v>4</v>
      </c>
      <c r="N177">
        <v>1969.12</v>
      </c>
    </row>
    <row r="178" spans="1:14" x14ac:dyDescent="0.3">
      <c r="A178" t="s">
        <v>373</v>
      </c>
      <c r="B178" t="s">
        <v>42</v>
      </c>
      <c r="C178" s="1">
        <v>45612</v>
      </c>
      <c r="D178" s="2">
        <f>YEAR(Table1[[#This Row],[PurchaseDate]])</f>
        <v>2024</v>
      </c>
      <c r="E178" s="2" t="str">
        <f>"Q"&amp;ROUNDUP(MONTH(Table1[[#This Row],[PurchaseDate]])/3,0)</f>
        <v>Q4</v>
      </c>
      <c r="F178" s="2">
        <f>MONTH(Table1[[#This Row],[PurchaseDate]])</f>
        <v>11</v>
      </c>
      <c r="G178" s="2" t="str">
        <f>TEXT(Table1[[#This Row],[PurchaseDate]],"MMM")</f>
        <v>Nov</v>
      </c>
      <c r="H178">
        <v>5</v>
      </c>
      <c r="I178">
        <v>115.02</v>
      </c>
      <c r="J178" t="s">
        <v>374</v>
      </c>
      <c r="K178" t="s">
        <v>13</v>
      </c>
      <c r="L178" t="s">
        <v>23</v>
      </c>
      <c r="M178">
        <v>4</v>
      </c>
      <c r="N178">
        <v>575.1</v>
      </c>
    </row>
    <row r="179" spans="1:14" x14ac:dyDescent="0.3">
      <c r="A179" t="s">
        <v>375</v>
      </c>
      <c r="B179" t="s">
        <v>34</v>
      </c>
      <c r="C179" s="1">
        <v>45403</v>
      </c>
      <c r="D179" s="2">
        <f>YEAR(Table1[[#This Row],[PurchaseDate]])</f>
        <v>2024</v>
      </c>
      <c r="E179" s="2" t="str">
        <f>"Q"&amp;ROUNDUP(MONTH(Table1[[#This Row],[PurchaseDate]])/3,0)</f>
        <v>Q2</v>
      </c>
      <c r="F179" s="2">
        <f>MONTH(Table1[[#This Row],[PurchaseDate]])</f>
        <v>4</v>
      </c>
      <c r="G179" s="2" t="str">
        <f>TEXT(Table1[[#This Row],[PurchaseDate]],"MMM")</f>
        <v>Apr</v>
      </c>
      <c r="H179">
        <v>3</v>
      </c>
      <c r="I179">
        <v>531.52</v>
      </c>
      <c r="J179" t="s">
        <v>376</v>
      </c>
      <c r="K179" t="s">
        <v>18</v>
      </c>
      <c r="L179" t="s">
        <v>23</v>
      </c>
      <c r="M179">
        <v>5</v>
      </c>
      <c r="N179">
        <v>1594.56</v>
      </c>
    </row>
    <row r="180" spans="1:14" x14ac:dyDescent="0.3">
      <c r="A180" t="s">
        <v>377</v>
      </c>
      <c r="B180" t="s">
        <v>11</v>
      </c>
      <c r="C180" s="1">
        <v>45835</v>
      </c>
      <c r="D180" s="2">
        <f>YEAR(Table1[[#This Row],[PurchaseDate]])</f>
        <v>2025</v>
      </c>
      <c r="E180" s="2" t="str">
        <f>"Q"&amp;ROUNDUP(MONTH(Table1[[#This Row],[PurchaseDate]])/3,0)</f>
        <v>Q2</v>
      </c>
      <c r="F180" s="2">
        <f>MONTH(Table1[[#This Row],[PurchaseDate]])</f>
        <v>6</v>
      </c>
      <c r="G180" s="2" t="str">
        <f>TEXT(Table1[[#This Row],[PurchaseDate]],"MMM")</f>
        <v>Jun</v>
      </c>
      <c r="H180">
        <v>1</v>
      </c>
      <c r="I180">
        <v>469.68</v>
      </c>
      <c r="J180" t="s">
        <v>378</v>
      </c>
      <c r="K180" t="s">
        <v>38</v>
      </c>
      <c r="L180" t="s">
        <v>27</v>
      </c>
      <c r="M180">
        <v>1</v>
      </c>
      <c r="N180">
        <v>469.68</v>
      </c>
    </row>
    <row r="181" spans="1:14" x14ac:dyDescent="0.3">
      <c r="A181" t="s">
        <v>379</v>
      </c>
      <c r="B181" t="s">
        <v>21</v>
      </c>
      <c r="C181" s="1">
        <v>45293</v>
      </c>
      <c r="D181" s="2">
        <f>YEAR(Table1[[#This Row],[PurchaseDate]])</f>
        <v>2024</v>
      </c>
      <c r="E181" s="2" t="str">
        <f>"Q"&amp;ROUNDUP(MONTH(Table1[[#This Row],[PurchaseDate]])/3,0)</f>
        <v>Q1</v>
      </c>
      <c r="F181" s="2">
        <f>MONTH(Table1[[#This Row],[PurchaseDate]])</f>
        <v>1</v>
      </c>
      <c r="G181" s="2" t="str">
        <f>TEXT(Table1[[#This Row],[PurchaseDate]],"MMM")</f>
        <v>Jan</v>
      </c>
      <c r="H181">
        <v>4</v>
      </c>
      <c r="I181">
        <v>709.14</v>
      </c>
      <c r="J181" t="s">
        <v>380</v>
      </c>
      <c r="K181" t="s">
        <v>13</v>
      </c>
      <c r="L181" t="s">
        <v>19</v>
      </c>
      <c r="M181">
        <v>2</v>
      </c>
      <c r="N181">
        <v>2836.56</v>
      </c>
    </row>
    <row r="182" spans="1:14" x14ac:dyDescent="0.3">
      <c r="A182" t="s">
        <v>381</v>
      </c>
      <c r="B182" t="s">
        <v>25</v>
      </c>
      <c r="C182" s="1">
        <v>45396</v>
      </c>
      <c r="D182" s="2">
        <f>YEAR(Table1[[#This Row],[PurchaseDate]])</f>
        <v>2024</v>
      </c>
      <c r="E182" s="2" t="str">
        <f>"Q"&amp;ROUNDUP(MONTH(Table1[[#This Row],[PurchaseDate]])/3,0)</f>
        <v>Q2</v>
      </c>
      <c r="F182" s="2">
        <f>MONTH(Table1[[#This Row],[PurchaseDate]])</f>
        <v>4</v>
      </c>
      <c r="G182" s="2" t="str">
        <f>TEXT(Table1[[#This Row],[PurchaseDate]],"MMM")</f>
        <v>Apr</v>
      </c>
      <c r="H182">
        <v>5</v>
      </c>
      <c r="I182">
        <v>295.23</v>
      </c>
      <c r="J182" t="s">
        <v>382</v>
      </c>
      <c r="K182" t="s">
        <v>38</v>
      </c>
      <c r="L182" t="s">
        <v>19</v>
      </c>
      <c r="M182">
        <v>5</v>
      </c>
      <c r="N182">
        <v>1476.15</v>
      </c>
    </row>
    <row r="183" spans="1:14" x14ac:dyDescent="0.3">
      <c r="A183" t="s">
        <v>383</v>
      </c>
      <c r="B183" t="s">
        <v>25</v>
      </c>
      <c r="C183" s="1">
        <v>45746</v>
      </c>
      <c r="D183" s="2">
        <f>YEAR(Table1[[#This Row],[PurchaseDate]])</f>
        <v>2025</v>
      </c>
      <c r="E183" s="2" t="str">
        <f>"Q"&amp;ROUNDUP(MONTH(Table1[[#This Row],[PurchaseDate]])/3,0)</f>
        <v>Q1</v>
      </c>
      <c r="F183" s="2">
        <f>MONTH(Table1[[#This Row],[PurchaseDate]])</f>
        <v>3</v>
      </c>
      <c r="G183" s="2" t="str">
        <f>TEXT(Table1[[#This Row],[PurchaseDate]],"MMM")</f>
        <v>Mar</v>
      </c>
      <c r="H183">
        <v>4</v>
      </c>
      <c r="I183">
        <v>778.62</v>
      </c>
      <c r="J183" t="s">
        <v>384</v>
      </c>
      <c r="K183" t="s">
        <v>38</v>
      </c>
      <c r="L183" t="s">
        <v>14</v>
      </c>
      <c r="M183">
        <v>1</v>
      </c>
      <c r="N183">
        <v>3114.48</v>
      </c>
    </row>
    <row r="184" spans="1:14" x14ac:dyDescent="0.3">
      <c r="A184" t="s">
        <v>385</v>
      </c>
      <c r="B184" t="s">
        <v>25</v>
      </c>
      <c r="C184" s="1">
        <v>45466</v>
      </c>
      <c r="D184" s="2">
        <f>YEAR(Table1[[#This Row],[PurchaseDate]])</f>
        <v>2024</v>
      </c>
      <c r="E184" s="2" t="str">
        <f>"Q"&amp;ROUNDUP(MONTH(Table1[[#This Row],[PurchaseDate]])/3,0)</f>
        <v>Q2</v>
      </c>
      <c r="F184" s="2">
        <f>MONTH(Table1[[#This Row],[PurchaseDate]])</f>
        <v>6</v>
      </c>
      <c r="G184" s="2" t="str">
        <f>TEXT(Table1[[#This Row],[PurchaseDate]],"MMM")</f>
        <v>Jun</v>
      </c>
      <c r="H184">
        <v>3</v>
      </c>
      <c r="I184">
        <v>752.43</v>
      </c>
      <c r="J184" t="s">
        <v>386</v>
      </c>
      <c r="K184" t="s">
        <v>13</v>
      </c>
      <c r="L184" t="s">
        <v>14</v>
      </c>
      <c r="M184">
        <v>5</v>
      </c>
      <c r="N184">
        <v>2257.29</v>
      </c>
    </row>
    <row r="185" spans="1:14" x14ac:dyDescent="0.3">
      <c r="A185" t="s">
        <v>387</v>
      </c>
      <c r="B185" t="s">
        <v>42</v>
      </c>
      <c r="C185" s="1">
        <v>45093</v>
      </c>
      <c r="D185" s="2">
        <f>YEAR(Table1[[#This Row],[PurchaseDate]])</f>
        <v>2023</v>
      </c>
      <c r="E185" s="2" t="str">
        <f>"Q"&amp;ROUNDUP(MONTH(Table1[[#This Row],[PurchaseDate]])/3,0)</f>
        <v>Q2</v>
      </c>
      <c r="F185" s="2">
        <f>MONTH(Table1[[#This Row],[PurchaseDate]])</f>
        <v>6</v>
      </c>
      <c r="G185" s="2" t="str">
        <f>TEXT(Table1[[#This Row],[PurchaseDate]],"MMM")</f>
        <v>Jun</v>
      </c>
      <c r="H185">
        <v>7</v>
      </c>
      <c r="I185">
        <v>671.35</v>
      </c>
      <c r="J185" t="s">
        <v>388</v>
      </c>
      <c r="K185" t="s">
        <v>18</v>
      </c>
      <c r="L185" t="s">
        <v>23</v>
      </c>
      <c r="M185">
        <v>2</v>
      </c>
      <c r="N185">
        <v>4699.45</v>
      </c>
    </row>
    <row r="186" spans="1:14" x14ac:dyDescent="0.3">
      <c r="A186" t="s">
        <v>389</v>
      </c>
      <c r="B186" t="s">
        <v>42</v>
      </c>
      <c r="C186" s="1">
        <v>45164</v>
      </c>
      <c r="D186" s="2">
        <f>YEAR(Table1[[#This Row],[PurchaseDate]])</f>
        <v>2023</v>
      </c>
      <c r="E186" s="2" t="str">
        <f>"Q"&amp;ROUNDUP(MONTH(Table1[[#This Row],[PurchaseDate]])/3,0)</f>
        <v>Q3</v>
      </c>
      <c r="F186" s="2">
        <f>MONTH(Table1[[#This Row],[PurchaseDate]])</f>
        <v>8</v>
      </c>
      <c r="G186" s="2" t="str">
        <f>TEXT(Table1[[#This Row],[PurchaseDate]],"MMM")</f>
        <v>Aug</v>
      </c>
      <c r="H186">
        <v>6</v>
      </c>
      <c r="I186">
        <v>656.86</v>
      </c>
      <c r="J186" t="s">
        <v>390</v>
      </c>
      <c r="K186" t="s">
        <v>13</v>
      </c>
      <c r="L186" t="s">
        <v>14</v>
      </c>
      <c r="M186">
        <v>5</v>
      </c>
      <c r="N186">
        <v>3941.16</v>
      </c>
    </row>
    <row r="187" spans="1:14" x14ac:dyDescent="0.3">
      <c r="A187" t="s">
        <v>391</v>
      </c>
      <c r="B187" t="s">
        <v>42</v>
      </c>
      <c r="C187" s="1">
        <v>45628</v>
      </c>
      <c r="D187" s="2">
        <f>YEAR(Table1[[#This Row],[PurchaseDate]])</f>
        <v>2024</v>
      </c>
      <c r="E187" s="2" t="str">
        <f>"Q"&amp;ROUNDUP(MONTH(Table1[[#This Row],[PurchaseDate]])/3,0)</f>
        <v>Q4</v>
      </c>
      <c r="F187" s="2">
        <f>MONTH(Table1[[#This Row],[PurchaseDate]])</f>
        <v>12</v>
      </c>
      <c r="G187" s="2" t="str">
        <f>TEXT(Table1[[#This Row],[PurchaseDate]],"MMM")</f>
        <v>Dec</v>
      </c>
      <c r="H187">
        <v>1</v>
      </c>
      <c r="I187">
        <v>656.85</v>
      </c>
      <c r="J187" t="s">
        <v>392</v>
      </c>
      <c r="K187" t="s">
        <v>18</v>
      </c>
      <c r="L187" t="s">
        <v>58</v>
      </c>
      <c r="M187">
        <v>1</v>
      </c>
      <c r="N187">
        <v>656.85</v>
      </c>
    </row>
    <row r="188" spans="1:14" x14ac:dyDescent="0.3">
      <c r="A188" t="s">
        <v>393</v>
      </c>
      <c r="B188" t="s">
        <v>25</v>
      </c>
      <c r="C188" s="1">
        <v>44997</v>
      </c>
      <c r="D188" s="2">
        <f>YEAR(Table1[[#This Row],[PurchaseDate]])</f>
        <v>2023</v>
      </c>
      <c r="E188" s="2" t="str">
        <f>"Q"&amp;ROUNDUP(MONTH(Table1[[#This Row],[PurchaseDate]])/3,0)</f>
        <v>Q1</v>
      </c>
      <c r="F188" s="2">
        <f>MONTH(Table1[[#This Row],[PurchaseDate]])</f>
        <v>3</v>
      </c>
      <c r="G188" s="2" t="str">
        <f>TEXT(Table1[[#This Row],[PurchaseDate]],"MMM")</f>
        <v>Mar</v>
      </c>
      <c r="H188">
        <v>5</v>
      </c>
      <c r="I188">
        <v>268.68</v>
      </c>
      <c r="J188" t="s">
        <v>394</v>
      </c>
      <c r="K188" t="s">
        <v>13</v>
      </c>
      <c r="L188" t="s">
        <v>23</v>
      </c>
      <c r="M188">
        <v>5</v>
      </c>
      <c r="N188">
        <v>1343.4</v>
      </c>
    </row>
    <row r="189" spans="1:14" x14ac:dyDescent="0.3">
      <c r="A189" t="s">
        <v>395</v>
      </c>
      <c r="B189" t="s">
        <v>16</v>
      </c>
      <c r="C189" s="1">
        <v>45106</v>
      </c>
      <c r="D189" s="2">
        <f>YEAR(Table1[[#This Row],[PurchaseDate]])</f>
        <v>2023</v>
      </c>
      <c r="E189" s="2" t="str">
        <f>"Q"&amp;ROUNDUP(MONTH(Table1[[#This Row],[PurchaseDate]])/3,0)</f>
        <v>Q2</v>
      </c>
      <c r="F189" s="2">
        <f>MONTH(Table1[[#This Row],[PurchaseDate]])</f>
        <v>6</v>
      </c>
      <c r="G189" s="2" t="str">
        <f>TEXT(Table1[[#This Row],[PurchaseDate]],"MMM")</f>
        <v>Jun</v>
      </c>
      <c r="H189">
        <v>2</v>
      </c>
      <c r="I189">
        <v>504.1</v>
      </c>
      <c r="J189" t="s">
        <v>396</v>
      </c>
      <c r="K189" t="s">
        <v>18</v>
      </c>
      <c r="L189" t="s">
        <v>23</v>
      </c>
      <c r="M189">
        <v>2</v>
      </c>
      <c r="N189">
        <v>1008.2</v>
      </c>
    </row>
    <row r="190" spans="1:14" x14ac:dyDescent="0.3">
      <c r="A190" t="s">
        <v>397</v>
      </c>
      <c r="B190" t="s">
        <v>11</v>
      </c>
      <c r="C190" s="1">
        <v>45763</v>
      </c>
      <c r="D190" s="2">
        <f>YEAR(Table1[[#This Row],[PurchaseDate]])</f>
        <v>2025</v>
      </c>
      <c r="E190" s="2" t="str">
        <f>"Q"&amp;ROUNDUP(MONTH(Table1[[#This Row],[PurchaseDate]])/3,0)</f>
        <v>Q2</v>
      </c>
      <c r="F190" s="2">
        <f>MONTH(Table1[[#This Row],[PurchaseDate]])</f>
        <v>4</v>
      </c>
      <c r="G190" s="2" t="str">
        <f>TEXT(Table1[[#This Row],[PurchaseDate]],"MMM")</f>
        <v>Apr</v>
      </c>
      <c r="H190">
        <v>7</v>
      </c>
      <c r="I190">
        <v>709.55</v>
      </c>
      <c r="J190" t="s">
        <v>398</v>
      </c>
      <c r="K190" t="s">
        <v>18</v>
      </c>
      <c r="L190" t="s">
        <v>58</v>
      </c>
      <c r="M190">
        <v>2</v>
      </c>
      <c r="N190">
        <v>4966.8500000000004</v>
      </c>
    </row>
    <row r="191" spans="1:14" x14ac:dyDescent="0.3">
      <c r="A191" t="s">
        <v>399</v>
      </c>
      <c r="B191" t="s">
        <v>42</v>
      </c>
      <c r="C191" s="1">
        <v>45134</v>
      </c>
      <c r="D191" s="2">
        <f>YEAR(Table1[[#This Row],[PurchaseDate]])</f>
        <v>2023</v>
      </c>
      <c r="E191" s="2" t="str">
        <f>"Q"&amp;ROUNDUP(MONTH(Table1[[#This Row],[PurchaseDate]])/3,0)</f>
        <v>Q3</v>
      </c>
      <c r="F191" s="2">
        <f>MONTH(Table1[[#This Row],[PurchaseDate]])</f>
        <v>7</v>
      </c>
      <c r="G191" s="2" t="str">
        <f>TEXT(Table1[[#This Row],[PurchaseDate]],"MMM")</f>
        <v>Jul</v>
      </c>
      <c r="H191">
        <v>2</v>
      </c>
      <c r="I191">
        <v>504.14</v>
      </c>
      <c r="J191" t="s">
        <v>400</v>
      </c>
      <c r="K191" t="s">
        <v>13</v>
      </c>
      <c r="L191" t="s">
        <v>27</v>
      </c>
      <c r="M191">
        <v>3</v>
      </c>
      <c r="N191">
        <v>1008.28</v>
      </c>
    </row>
    <row r="192" spans="1:14" x14ac:dyDescent="0.3">
      <c r="A192" t="s">
        <v>401</v>
      </c>
      <c r="B192" t="s">
        <v>25</v>
      </c>
      <c r="C192" s="1">
        <v>45443</v>
      </c>
      <c r="D192" s="2">
        <f>YEAR(Table1[[#This Row],[PurchaseDate]])</f>
        <v>2024</v>
      </c>
      <c r="E192" s="2" t="str">
        <f>"Q"&amp;ROUNDUP(MONTH(Table1[[#This Row],[PurchaseDate]])/3,0)</f>
        <v>Q2</v>
      </c>
      <c r="F192" s="2">
        <f>MONTH(Table1[[#This Row],[PurchaseDate]])</f>
        <v>5</v>
      </c>
      <c r="G192" s="2" t="str">
        <f>TEXT(Table1[[#This Row],[PurchaseDate]],"MMM")</f>
        <v>May</v>
      </c>
      <c r="H192">
        <v>1</v>
      </c>
      <c r="I192">
        <v>789.77</v>
      </c>
      <c r="J192" t="s">
        <v>402</v>
      </c>
      <c r="K192" t="s">
        <v>13</v>
      </c>
      <c r="L192" t="s">
        <v>58</v>
      </c>
      <c r="M192">
        <v>4</v>
      </c>
      <c r="N192">
        <v>789.77</v>
      </c>
    </row>
    <row r="193" spans="1:14" x14ac:dyDescent="0.3">
      <c r="A193" t="s">
        <v>403</v>
      </c>
      <c r="B193" t="s">
        <v>25</v>
      </c>
      <c r="C193" s="1">
        <v>45580</v>
      </c>
      <c r="D193" s="2">
        <f>YEAR(Table1[[#This Row],[PurchaseDate]])</f>
        <v>2024</v>
      </c>
      <c r="E193" s="2" t="str">
        <f>"Q"&amp;ROUNDUP(MONTH(Table1[[#This Row],[PurchaseDate]])/3,0)</f>
        <v>Q4</v>
      </c>
      <c r="F193" s="2">
        <f>MONTH(Table1[[#This Row],[PurchaseDate]])</f>
        <v>10</v>
      </c>
      <c r="G193" s="2" t="str">
        <f>TEXT(Table1[[#This Row],[PurchaseDate]],"MMM")</f>
        <v>Oct</v>
      </c>
      <c r="H193">
        <v>7</v>
      </c>
      <c r="I193">
        <v>449.79</v>
      </c>
      <c r="J193" t="s">
        <v>404</v>
      </c>
      <c r="K193" t="s">
        <v>38</v>
      </c>
      <c r="L193" t="s">
        <v>58</v>
      </c>
      <c r="M193">
        <v>1</v>
      </c>
      <c r="N193">
        <v>3148.53</v>
      </c>
    </row>
    <row r="194" spans="1:14" x14ac:dyDescent="0.3">
      <c r="A194" t="s">
        <v>405</v>
      </c>
      <c r="B194" t="s">
        <v>25</v>
      </c>
      <c r="C194" s="1">
        <v>45555</v>
      </c>
      <c r="D194" s="2">
        <f>YEAR(Table1[[#This Row],[PurchaseDate]])</f>
        <v>2024</v>
      </c>
      <c r="E194" s="2" t="str">
        <f>"Q"&amp;ROUNDUP(MONTH(Table1[[#This Row],[PurchaseDate]])/3,0)</f>
        <v>Q3</v>
      </c>
      <c r="F194" s="2">
        <f>MONTH(Table1[[#This Row],[PurchaseDate]])</f>
        <v>9</v>
      </c>
      <c r="G194" s="2" t="str">
        <f>TEXT(Table1[[#This Row],[PurchaseDate]],"MMM")</f>
        <v>Sep</v>
      </c>
      <c r="H194">
        <v>5</v>
      </c>
      <c r="I194">
        <v>651.59</v>
      </c>
      <c r="J194" t="s">
        <v>406</v>
      </c>
      <c r="K194" t="s">
        <v>13</v>
      </c>
      <c r="L194" t="s">
        <v>23</v>
      </c>
      <c r="M194">
        <v>5</v>
      </c>
      <c r="N194">
        <v>3257.95</v>
      </c>
    </row>
    <row r="195" spans="1:14" x14ac:dyDescent="0.3">
      <c r="A195" t="s">
        <v>407</v>
      </c>
      <c r="B195" t="s">
        <v>21</v>
      </c>
      <c r="C195" s="1">
        <v>45138</v>
      </c>
      <c r="D195" s="2">
        <f>YEAR(Table1[[#This Row],[PurchaseDate]])</f>
        <v>2023</v>
      </c>
      <c r="E195" s="2" t="str">
        <f>"Q"&amp;ROUNDUP(MONTH(Table1[[#This Row],[PurchaseDate]])/3,0)</f>
        <v>Q3</v>
      </c>
      <c r="F195" s="2">
        <f>MONTH(Table1[[#This Row],[PurchaseDate]])</f>
        <v>7</v>
      </c>
      <c r="G195" s="2" t="str">
        <f>TEXT(Table1[[#This Row],[PurchaseDate]],"MMM")</f>
        <v>Jul</v>
      </c>
      <c r="H195">
        <v>1</v>
      </c>
      <c r="I195">
        <v>455.62</v>
      </c>
      <c r="J195" t="s">
        <v>408</v>
      </c>
      <c r="K195" t="s">
        <v>18</v>
      </c>
      <c r="L195" t="s">
        <v>58</v>
      </c>
      <c r="M195">
        <v>1</v>
      </c>
      <c r="N195">
        <v>455.62</v>
      </c>
    </row>
    <row r="196" spans="1:14" x14ac:dyDescent="0.3">
      <c r="A196" t="s">
        <v>409</v>
      </c>
      <c r="B196" t="s">
        <v>11</v>
      </c>
      <c r="C196" s="1">
        <v>45618</v>
      </c>
      <c r="D196" s="2">
        <f>YEAR(Table1[[#This Row],[PurchaseDate]])</f>
        <v>2024</v>
      </c>
      <c r="E196" s="2" t="str">
        <f>"Q"&amp;ROUNDUP(MONTH(Table1[[#This Row],[PurchaseDate]])/3,0)</f>
        <v>Q4</v>
      </c>
      <c r="F196" s="2">
        <f>MONTH(Table1[[#This Row],[PurchaseDate]])</f>
        <v>11</v>
      </c>
      <c r="G196" s="2" t="str">
        <f>TEXT(Table1[[#This Row],[PurchaseDate]],"MMM")</f>
        <v>Nov</v>
      </c>
      <c r="H196">
        <v>6</v>
      </c>
      <c r="I196">
        <v>794.18</v>
      </c>
      <c r="J196" t="s">
        <v>410</v>
      </c>
      <c r="K196" t="s">
        <v>38</v>
      </c>
      <c r="L196" t="s">
        <v>19</v>
      </c>
      <c r="M196">
        <v>2</v>
      </c>
      <c r="N196">
        <v>4765.08</v>
      </c>
    </row>
    <row r="197" spans="1:14" x14ac:dyDescent="0.3">
      <c r="A197" t="s">
        <v>411</v>
      </c>
      <c r="B197" t="s">
        <v>42</v>
      </c>
      <c r="C197" s="1">
        <v>45290</v>
      </c>
      <c r="D197" s="2">
        <f>YEAR(Table1[[#This Row],[PurchaseDate]])</f>
        <v>2023</v>
      </c>
      <c r="E197" s="2" t="str">
        <f>"Q"&amp;ROUNDUP(MONTH(Table1[[#This Row],[PurchaseDate]])/3,0)</f>
        <v>Q4</v>
      </c>
      <c r="F197" s="2">
        <f>MONTH(Table1[[#This Row],[PurchaseDate]])</f>
        <v>12</v>
      </c>
      <c r="G197" s="2" t="str">
        <f>TEXT(Table1[[#This Row],[PurchaseDate]],"MMM")</f>
        <v>Dec</v>
      </c>
      <c r="H197">
        <v>3</v>
      </c>
      <c r="I197">
        <v>434.87</v>
      </c>
      <c r="J197" t="s">
        <v>412</v>
      </c>
      <c r="K197" t="s">
        <v>18</v>
      </c>
      <c r="L197" t="s">
        <v>27</v>
      </c>
      <c r="M197">
        <v>3</v>
      </c>
      <c r="N197">
        <v>1304.6099999999999</v>
      </c>
    </row>
    <row r="198" spans="1:14" x14ac:dyDescent="0.3">
      <c r="A198" t="s">
        <v>413</v>
      </c>
      <c r="B198" t="s">
        <v>34</v>
      </c>
      <c r="C198" s="1">
        <v>45142</v>
      </c>
      <c r="D198" s="2">
        <f>YEAR(Table1[[#This Row],[PurchaseDate]])</f>
        <v>2023</v>
      </c>
      <c r="E198" s="2" t="str">
        <f>"Q"&amp;ROUNDUP(MONTH(Table1[[#This Row],[PurchaseDate]])/3,0)</f>
        <v>Q3</v>
      </c>
      <c r="F198" s="2">
        <f>MONTH(Table1[[#This Row],[PurchaseDate]])</f>
        <v>8</v>
      </c>
      <c r="G198" s="2" t="str">
        <f>TEXT(Table1[[#This Row],[PurchaseDate]],"MMM")</f>
        <v>Aug</v>
      </c>
      <c r="H198">
        <v>1</v>
      </c>
      <c r="I198">
        <v>584.1</v>
      </c>
      <c r="J198" t="s">
        <v>414</v>
      </c>
      <c r="K198" t="s">
        <v>18</v>
      </c>
      <c r="L198" t="s">
        <v>14</v>
      </c>
      <c r="M198">
        <v>2</v>
      </c>
      <c r="N198">
        <v>584.1</v>
      </c>
    </row>
    <row r="199" spans="1:14" x14ac:dyDescent="0.3">
      <c r="A199" t="s">
        <v>415</v>
      </c>
      <c r="B199" t="s">
        <v>34</v>
      </c>
      <c r="C199" s="1">
        <v>45439</v>
      </c>
      <c r="D199" s="2">
        <f>YEAR(Table1[[#This Row],[PurchaseDate]])</f>
        <v>2024</v>
      </c>
      <c r="E199" s="2" t="str">
        <f>"Q"&amp;ROUNDUP(MONTH(Table1[[#This Row],[PurchaseDate]])/3,0)</f>
        <v>Q2</v>
      </c>
      <c r="F199" s="2">
        <f>MONTH(Table1[[#This Row],[PurchaseDate]])</f>
        <v>5</v>
      </c>
      <c r="G199" s="2" t="str">
        <f>TEXT(Table1[[#This Row],[PurchaseDate]],"MMM")</f>
        <v>May</v>
      </c>
      <c r="H199">
        <v>6</v>
      </c>
      <c r="I199">
        <v>280.63</v>
      </c>
      <c r="J199" t="s">
        <v>416</v>
      </c>
      <c r="K199" t="s">
        <v>38</v>
      </c>
      <c r="L199" t="s">
        <v>27</v>
      </c>
      <c r="M199">
        <v>3</v>
      </c>
      <c r="N199">
        <v>1683.78</v>
      </c>
    </row>
    <row r="200" spans="1:14" x14ac:dyDescent="0.3">
      <c r="A200" t="s">
        <v>417</v>
      </c>
      <c r="B200" t="s">
        <v>42</v>
      </c>
      <c r="C200" s="1">
        <v>45743</v>
      </c>
      <c r="D200" s="2">
        <f>YEAR(Table1[[#This Row],[PurchaseDate]])</f>
        <v>2025</v>
      </c>
      <c r="E200" s="2" t="str">
        <f>"Q"&amp;ROUNDUP(MONTH(Table1[[#This Row],[PurchaseDate]])/3,0)</f>
        <v>Q1</v>
      </c>
      <c r="F200" s="2">
        <f>MONTH(Table1[[#This Row],[PurchaseDate]])</f>
        <v>3</v>
      </c>
      <c r="G200" s="2" t="str">
        <f>TEXT(Table1[[#This Row],[PurchaseDate]],"MMM")</f>
        <v>Mar</v>
      </c>
      <c r="H200">
        <v>2</v>
      </c>
      <c r="I200">
        <v>258.95999999999998</v>
      </c>
      <c r="J200" t="s">
        <v>418</v>
      </c>
      <c r="K200" t="s">
        <v>13</v>
      </c>
      <c r="L200" t="s">
        <v>23</v>
      </c>
      <c r="M200">
        <v>4</v>
      </c>
      <c r="N200">
        <v>517.91999999999996</v>
      </c>
    </row>
    <row r="201" spans="1:14" x14ac:dyDescent="0.3">
      <c r="A201" t="s">
        <v>419</v>
      </c>
      <c r="B201" t="s">
        <v>29</v>
      </c>
      <c r="C201" s="1">
        <v>45522</v>
      </c>
      <c r="D201" s="2">
        <f>YEAR(Table1[[#This Row],[PurchaseDate]])</f>
        <v>2024</v>
      </c>
      <c r="E201" s="2" t="str">
        <f>"Q"&amp;ROUNDUP(MONTH(Table1[[#This Row],[PurchaseDate]])/3,0)</f>
        <v>Q3</v>
      </c>
      <c r="F201" s="2">
        <f>MONTH(Table1[[#This Row],[PurchaseDate]])</f>
        <v>8</v>
      </c>
      <c r="G201" s="2" t="str">
        <f>TEXT(Table1[[#This Row],[PurchaseDate]],"MMM")</f>
        <v>Aug</v>
      </c>
      <c r="H201">
        <v>8</v>
      </c>
      <c r="I201">
        <v>207.94</v>
      </c>
      <c r="J201" t="s">
        <v>420</v>
      </c>
      <c r="K201" t="s">
        <v>13</v>
      </c>
      <c r="L201" t="s">
        <v>19</v>
      </c>
      <c r="M201">
        <v>5</v>
      </c>
      <c r="N201">
        <v>1663.52</v>
      </c>
    </row>
    <row r="202" spans="1:14" x14ac:dyDescent="0.3">
      <c r="A202" t="s">
        <v>421</v>
      </c>
      <c r="B202" t="s">
        <v>25</v>
      </c>
      <c r="C202" s="1">
        <v>45652</v>
      </c>
      <c r="D202" s="2">
        <f>YEAR(Table1[[#This Row],[PurchaseDate]])</f>
        <v>2024</v>
      </c>
      <c r="E202" s="2" t="str">
        <f>"Q"&amp;ROUNDUP(MONTH(Table1[[#This Row],[PurchaseDate]])/3,0)</f>
        <v>Q4</v>
      </c>
      <c r="F202" s="2">
        <f>MONTH(Table1[[#This Row],[PurchaseDate]])</f>
        <v>12</v>
      </c>
      <c r="G202" s="2" t="str">
        <f>TEXT(Table1[[#This Row],[PurchaseDate]],"MMM")</f>
        <v>Dec</v>
      </c>
      <c r="H202">
        <v>8</v>
      </c>
      <c r="I202">
        <v>90.3</v>
      </c>
      <c r="J202" t="s">
        <v>422</v>
      </c>
      <c r="K202" t="s">
        <v>13</v>
      </c>
      <c r="L202" t="s">
        <v>14</v>
      </c>
      <c r="M202">
        <v>3</v>
      </c>
      <c r="N202">
        <v>722.4</v>
      </c>
    </row>
    <row r="203" spans="1:14" x14ac:dyDescent="0.3">
      <c r="A203" t="s">
        <v>423</v>
      </c>
      <c r="B203" t="s">
        <v>34</v>
      </c>
      <c r="C203" s="1">
        <v>45734</v>
      </c>
      <c r="D203" s="2">
        <f>YEAR(Table1[[#This Row],[PurchaseDate]])</f>
        <v>2025</v>
      </c>
      <c r="E203" s="2" t="str">
        <f>"Q"&amp;ROUNDUP(MONTH(Table1[[#This Row],[PurchaseDate]])/3,0)</f>
        <v>Q1</v>
      </c>
      <c r="F203" s="2">
        <f>MONTH(Table1[[#This Row],[PurchaseDate]])</f>
        <v>3</v>
      </c>
      <c r="G203" s="2" t="str">
        <f>TEXT(Table1[[#This Row],[PurchaseDate]],"MMM")</f>
        <v>Mar</v>
      </c>
      <c r="H203">
        <v>8</v>
      </c>
      <c r="I203">
        <v>612.74</v>
      </c>
      <c r="J203" t="s">
        <v>424</v>
      </c>
      <c r="K203" t="s">
        <v>18</v>
      </c>
      <c r="L203" t="s">
        <v>27</v>
      </c>
      <c r="M203">
        <v>5</v>
      </c>
      <c r="N203">
        <v>4901.92</v>
      </c>
    </row>
    <row r="204" spans="1:14" x14ac:dyDescent="0.3">
      <c r="A204" t="s">
        <v>425</v>
      </c>
      <c r="B204" t="s">
        <v>11</v>
      </c>
      <c r="C204" s="1">
        <v>45628</v>
      </c>
      <c r="D204" s="2">
        <f>YEAR(Table1[[#This Row],[PurchaseDate]])</f>
        <v>2024</v>
      </c>
      <c r="E204" s="2" t="str">
        <f>"Q"&amp;ROUNDUP(MONTH(Table1[[#This Row],[PurchaseDate]])/3,0)</f>
        <v>Q4</v>
      </c>
      <c r="F204" s="2">
        <f>MONTH(Table1[[#This Row],[PurchaseDate]])</f>
        <v>12</v>
      </c>
      <c r="G204" s="2" t="str">
        <f>TEXT(Table1[[#This Row],[PurchaseDate]],"MMM")</f>
        <v>Dec</v>
      </c>
      <c r="H204">
        <v>1</v>
      </c>
      <c r="I204">
        <v>711.15</v>
      </c>
      <c r="J204" t="s">
        <v>426</v>
      </c>
      <c r="K204" t="s">
        <v>38</v>
      </c>
      <c r="L204" t="s">
        <v>27</v>
      </c>
      <c r="M204">
        <v>4</v>
      </c>
      <c r="N204">
        <v>711.15</v>
      </c>
    </row>
    <row r="205" spans="1:14" x14ac:dyDescent="0.3">
      <c r="A205" t="s">
        <v>427</v>
      </c>
      <c r="B205" t="s">
        <v>21</v>
      </c>
      <c r="C205" s="1">
        <v>45493</v>
      </c>
      <c r="D205" s="2">
        <f>YEAR(Table1[[#This Row],[PurchaseDate]])</f>
        <v>2024</v>
      </c>
      <c r="E205" s="2" t="str">
        <f>"Q"&amp;ROUNDUP(MONTH(Table1[[#This Row],[PurchaseDate]])/3,0)</f>
        <v>Q3</v>
      </c>
      <c r="F205" s="2">
        <f>MONTH(Table1[[#This Row],[PurchaseDate]])</f>
        <v>7</v>
      </c>
      <c r="G205" s="2" t="str">
        <f>TEXT(Table1[[#This Row],[PurchaseDate]],"MMM")</f>
        <v>Jul</v>
      </c>
      <c r="H205">
        <v>5</v>
      </c>
      <c r="I205">
        <v>114.92</v>
      </c>
      <c r="J205" t="s">
        <v>428</v>
      </c>
      <c r="K205" t="s">
        <v>18</v>
      </c>
      <c r="L205" t="s">
        <v>19</v>
      </c>
      <c r="M205">
        <v>1</v>
      </c>
      <c r="N205">
        <v>574.6</v>
      </c>
    </row>
    <row r="206" spans="1:14" x14ac:dyDescent="0.3">
      <c r="A206" t="s">
        <v>429</v>
      </c>
      <c r="B206" t="s">
        <v>34</v>
      </c>
      <c r="C206" s="1">
        <v>45804</v>
      </c>
      <c r="D206" s="2">
        <f>YEAR(Table1[[#This Row],[PurchaseDate]])</f>
        <v>2025</v>
      </c>
      <c r="E206" s="2" t="str">
        <f>"Q"&amp;ROUNDUP(MONTH(Table1[[#This Row],[PurchaseDate]])/3,0)</f>
        <v>Q2</v>
      </c>
      <c r="F206" s="2">
        <f>MONTH(Table1[[#This Row],[PurchaseDate]])</f>
        <v>5</v>
      </c>
      <c r="G206" s="2" t="str">
        <f>TEXT(Table1[[#This Row],[PurchaseDate]],"MMM")</f>
        <v>May</v>
      </c>
      <c r="H206">
        <v>7</v>
      </c>
      <c r="I206">
        <v>437.99</v>
      </c>
      <c r="J206" t="s">
        <v>430</v>
      </c>
      <c r="K206" t="s">
        <v>13</v>
      </c>
      <c r="L206" t="s">
        <v>58</v>
      </c>
      <c r="M206">
        <v>1</v>
      </c>
      <c r="N206">
        <v>3065.93</v>
      </c>
    </row>
    <row r="207" spans="1:14" x14ac:dyDescent="0.3">
      <c r="A207" t="s">
        <v>431</v>
      </c>
      <c r="B207" t="s">
        <v>25</v>
      </c>
      <c r="C207" s="1">
        <v>45031</v>
      </c>
      <c r="D207" s="2">
        <f>YEAR(Table1[[#This Row],[PurchaseDate]])</f>
        <v>2023</v>
      </c>
      <c r="E207" s="2" t="str">
        <f>"Q"&amp;ROUNDUP(MONTH(Table1[[#This Row],[PurchaseDate]])/3,0)</f>
        <v>Q2</v>
      </c>
      <c r="F207" s="2">
        <f>MONTH(Table1[[#This Row],[PurchaseDate]])</f>
        <v>4</v>
      </c>
      <c r="G207" s="2" t="str">
        <f>TEXT(Table1[[#This Row],[PurchaseDate]],"MMM")</f>
        <v>Apr</v>
      </c>
      <c r="H207">
        <v>3</v>
      </c>
      <c r="I207">
        <v>483.11</v>
      </c>
      <c r="J207" t="s">
        <v>432</v>
      </c>
      <c r="K207" t="s">
        <v>13</v>
      </c>
      <c r="L207" t="s">
        <v>27</v>
      </c>
      <c r="M207">
        <v>4</v>
      </c>
      <c r="N207">
        <v>1449.33</v>
      </c>
    </row>
    <row r="208" spans="1:14" x14ac:dyDescent="0.3">
      <c r="A208" t="s">
        <v>169</v>
      </c>
      <c r="B208" t="s">
        <v>16</v>
      </c>
      <c r="C208" s="1">
        <v>45014</v>
      </c>
      <c r="D208" s="2">
        <f>YEAR(Table1[[#This Row],[PurchaseDate]])</f>
        <v>2023</v>
      </c>
      <c r="E208" s="2" t="str">
        <f>"Q"&amp;ROUNDUP(MONTH(Table1[[#This Row],[PurchaseDate]])/3,0)</f>
        <v>Q1</v>
      </c>
      <c r="F208" s="2">
        <f>MONTH(Table1[[#This Row],[PurchaseDate]])</f>
        <v>3</v>
      </c>
      <c r="G208" s="2" t="str">
        <f>TEXT(Table1[[#This Row],[PurchaseDate]],"MMM")</f>
        <v>Mar</v>
      </c>
      <c r="H208">
        <v>5</v>
      </c>
      <c r="I208">
        <v>770.86</v>
      </c>
      <c r="J208" t="s">
        <v>170</v>
      </c>
      <c r="K208" t="s">
        <v>38</v>
      </c>
      <c r="L208" t="s">
        <v>27</v>
      </c>
      <c r="M208">
        <v>3</v>
      </c>
      <c r="N208">
        <v>3854.3</v>
      </c>
    </row>
    <row r="209" spans="1:14" x14ac:dyDescent="0.3">
      <c r="A209" t="s">
        <v>433</v>
      </c>
      <c r="B209" t="s">
        <v>16</v>
      </c>
      <c r="C209" s="1">
        <v>45379</v>
      </c>
      <c r="D209" s="2">
        <f>YEAR(Table1[[#This Row],[PurchaseDate]])</f>
        <v>2024</v>
      </c>
      <c r="E209" s="2" t="str">
        <f>"Q"&amp;ROUNDUP(MONTH(Table1[[#This Row],[PurchaseDate]])/3,0)</f>
        <v>Q1</v>
      </c>
      <c r="F209" s="2">
        <f>MONTH(Table1[[#This Row],[PurchaseDate]])</f>
        <v>3</v>
      </c>
      <c r="G209" s="2" t="str">
        <f>TEXT(Table1[[#This Row],[PurchaseDate]],"MMM")</f>
        <v>Mar</v>
      </c>
      <c r="H209">
        <v>1</v>
      </c>
      <c r="I209">
        <v>602.38</v>
      </c>
      <c r="J209" t="s">
        <v>434</v>
      </c>
      <c r="K209" t="s">
        <v>18</v>
      </c>
      <c r="L209" t="s">
        <v>58</v>
      </c>
      <c r="M209">
        <v>2</v>
      </c>
      <c r="N209">
        <v>602.38</v>
      </c>
    </row>
    <row r="210" spans="1:14" x14ac:dyDescent="0.3">
      <c r="A210" t="s">
        <v>435</v>
      </c>
      <c r="B210" t="s">
        <v>34</v>
      </c>
      <c r="C210" s="1">
        <v>45628</v>
      </c>
      <c r="D210" s="2">
        <f>YEAR(Table1[[#This Row],[PurchaseDate]])</f>
        <v>2024</v>
      </c>
      <c r="E210" s="2" t="str">
        <f>"Q"&amp;ROUNDUP(MONTH(Table1[[#This Row],[PurchaseDate]])/3,0)</f>
        <v>Q4</v>
      </c>
      <c r="F210" s="2">
        <f>MONTH(Table1[[#This Row],[PurchaseDate]])</f>
        <v>12</v>
      </c>
      <c r="G210" s="2" t="str">
        <f>TEXT(Table1[[#This Row],[PurchaseDate]],"MMM")</f>
        <v>Dec</v>
      </c>
      <c r="H210">
        <v>8</v>
      </c>
      <c r="I210">
        <v>418.27</v>
      </c>
      <c r="J210" t="s">
        <v>436</v>
      </c>
      <c r="K210" t="s">
        <v>18</v>
      </c>
      <c r="L210" t="s">
        <v>27</v>
      </c>
      <c r="M210">
        <v>5</v>
      </c>
      <c r="N210">
        <v>3346.16</v>
      </c>
    </row>
    <row r="211" spans="1:14" x14ac:dyDescent="0.3">
      <c r="A211" t="s">
        <v>437</v>
      </c>
      <c r="B211" t="s">
        <v>29</v>
      </c>
      <c r="C211" s="1">
        <v>45721</v>
      </c>
      <c r="D211" s="2">
        <f>YEAR(Table1[[#This Row],[PurchaseDate]])</f>
        <v>2025</v>
      </c>
      <c r="E211" s="2" t="str">
        <f>"Q"&amp;ROUNDUP(MONTH(Table1[[#This Row],[PurchaseDate]])/3,0)</f>
        <v>Q1</v>
      </c>
      <c r="F211" s="2">
        <f>MONTH(Table1[[#This Row],[PurchaseDate]])</f>
        <v>3</v>
      </c>
      <c r="G211" s="2" t="str">
        <f>TEXT(Table1[[#This Row],[PurchaseDate]],"MMM")</f>
        <v>Mar</v>
      </c>
      <c r="H211">
        <v>8</v>
      </c>
      <c r="I211">
        <v>295.61</v>
      </c>
      <c r="J211" t="s">
        <v>438</v>
      </c>
      <c r="K211" t="s">
        <v>18</v>
      </c>
      <c r="L211" t="s">
        <v>23</v>
      </c>
      <c r="M211">
        <v>5</v>
      </c>
      <c r="N211">
        <v>2364.88</v>
      </c>
    </row>
    <row r="212" spans="1:14" x14ac:dyDescent="0.3">
      <c r="A212" t="s">
        <v>439</v>
      </c>
      <c r="B212" t="s">
        <v>34</v>
      </c>
      <c r="C212" s="1">
        <v>45175</v>
      </c>
      <c r="D212" s="2">
        <f>YEAR(Table1[[#This Row],[PurchaseDate]])</f>
        <v>2023</v>
      </c>
      <c r="E212" s="2" t="str">
        <f>"Q"&amp;ROUNDUP(MONTH(Table1[[#This Row],[PurchaseDate]])/3,0)</f>
        <v>Q3</v>
      </c>
      <c r="F212" s="2">
        <f>MONTH(Table1[[#This Row],[PurchaseDate]])</f>
        <v>9</v>
      </c>
      <c r="G212" s="2" t="str">
        <f>TEXT(Table1[[#This Row],[PurchaseDate]],"MMM")</f>
        <v>Sep</v>
      </c>
      <c r="H212">
        <v>2</v>
      </c>
      <c r="I212">
        <v>646.03</v>
      </c>
      <c r="J212" t="s">
        <v>440</v>
      </c>
      <c r="K212" t="s">
        <v>18</v>
      </c>
      <c r="L212" t="s">
        <v>23</v>
      </c>
      <c r="M212">
        <v>5</v>
      </c>
      <c r="N212">
        <v>1292.06</v>
      </c>
    </row>
    <row r="213" spans="1:14" x14ac:dyDescent="0.3">
      <c r="A213" t="s">
        <v>441</v>
      </c>
      <c r="B213" t="s">
        <v>21</v>
      </c>
      <c r="C213" s="1">
        <v>45535</v>
      </c>
      <c r="D213" s="2">
        <f>YEAR(Table1[[#This Row],[PurchaseDate]])</f>
        <v>2024</v>
      </c>
      <c r="E213" s="2" t="str">
        <f>"Q"&amp;ROUNDUP(MONTH(Table1[[#This Row],[PurchaseDate]])/3,0)</f>
        <v>Q3</v>
      </c>
      <c r="F213" s="2">
        <f>MONTH(Table1[[#This Row],[PurchaseDate]])</f>
        <v>8</v>
      </c>
      <c r="G213" s="2" t="str">
        <f>TEXT(Table1[[#This Row],[PurchaseDate]],"MMM")</f>
        <v>Aug</v>
      </c>
      <c r="H213">
        <v>5</v>
      </c>
      <c r="I213">
        <v>441.52</v>
      </c>
      <c r="J213" t="s">
        <v>442</v>
      </c>
      <c r="K213" t="s">
        <v>18</v>
      </c>
      <c r="L213" t="s">
        <v>23</v>
      </c>
      <c r="M213">
        <v>1</v>
      </c>
      <c r="N213">
        <v>2207.6</v>
      </c>
    </row>
    <row r="214" spans="1:14" x14ac:dyDescent="0.3">
      <c r="A214" t="s">
        <v>443</v>
      </c>
      <c r="B214" t="s">
        <v>16</v>
      </c>
      <c r="C214" s="1">
        <v>45502</v>
      </c>
      <c r="D214" s="2">
        <f>YEAR(Table1[[#This Row],[PurchaseDate]])</f>
        <v>2024</v>
      </c>
      <c r="E214" s="2" t="str">
        <f>"Q"&amp;ROUNDUP(MONTH(Table1[[#This Row],[PurchaseDate]])/3,0)</f>
        <v>Q3</v>
      </c>
      <c r="F214" s="2">
        <f>MONTH(Table1[[#This Row],[PurchaseDate]])</f>
        <v>7</v>
      </c>
      <c r="G214" s="2" t="str">
        <f>TEXT(Table1[[#This Row],[PurchaseDate]],"MMM")</f>
        <v>Jul</v>
      </c>
      <c r="H214">
        <v>1</v>
      </c>
      <c r="I214">
        <v>24.84</v>
      </c>
      <c r="J214" t="s">
        <v>444</v>
      </c>
      <c r="K214" t="s">
        <v>13</v>
      </c>
      <c r="L214" t="s">
        <v>19</v>
      </c>
      <c r="M214">
        <v>1</v>
      </c>
      <c r="N214">
        <v>24.84</v>
      </c>
    </row>
    <row r="215" spans="1:14" x14ac:dyDescent="0.3">
      <c r="A215" t="s">
        <v>445</v>
      </c>
      <c r="B215" t="s">
        <v>11</v>
      </c>
      <c r="C215" s="1">
        <v>45312</v>
      </c>
      <c r="D215" s="2">
        <f>YEAR(Table1[[#This Row],[PurchaseDate]])</f>
        <v>2024</v>
      </c>
      <c r="E215" s="2" t="str">
        <f>"Q"&amp;ROUNDUP(MONTH(Table1[[#This Row],[PurchaseDate]])/3,0)</f>
        <v>Q1</v>
      </c>
      <c r="F215" s="2">
        <f>MONTH(Table1[[#This Row],[PurchaseDate]])</f>
        <v>1</v>
      </c>
      <c r="G215" s="2" t="str">
        <f>TEXT(Table1[[#This Row],[PurchaseDate]],"MMM")</f>
        <v>Jan</v>
      </c>
      <c r="H215">
        <v>5</v>
      </c>
      <c r="I215">
        <v>741.72</v>
      </c>
      <c r="J215" t="s">
        <v>446</v>
      </c>
      <c r="K215" t="s">
        <v>13</v>
      </c>
      <c r="L215" t="s">
        <v>14</v>
      </c>
      <c r="M215">
        <v>2</v>
      </c>
      <c r="N215">
        <v>3708.6</v>
      </c>
    </row>
    <row r="216" spans="1:14" x14ac:dyDescent="0.3">
      <c r="A216" t="s">
        <v>447</v>
      </c>
      <c r="B216" t="s">
        <v>34</v>
      </c>
      <c r="C216" s="1">
        <v>45170</v>
      </c>
      <c r="D216" s="2">
        <f>YEAR(Table1[[#This Row],[PurchaseDate]])</f>
        <v>2023</v>
      </c>
      <c r="E216" s="2" t="str">
        <f>"Q"&amp;ROUNDUP(MONTH(Table1[[#This Row],[PurchaseDate]])/3,0)</f>
        <v>Q3</v>
      </c>
      <c r="F216" s="2">
        <f>MONTH(Table1[[#This Row],[PurchaseDate]])</f>
        <v>9</v>
      </c>
      <c r="G216" s="2" t="str">
        <f>TEXT(Table1[[#This Row],[PurchaseDate]],"MMM")</f>
        <v>Sep</v>
      </c>
      <c r="H216">
        <v>2</v>
      </c>
      <c r="I216">
        <v>742.51</v>
      </c>
      <c r="J216" t="s">
        <v>448</v>
      </c>
      <c r="K216" t="s">
        <v>38</v>
      </c>
      <c r="L216" t="s">
        <v>58</v>
      </c>
      <c r="M216">
        <v>2</v>
      </c>
      <c r="N216">
        <v>1485.02</v>
      </c>
    </row>
    <row r="217" spans="1:14" x14ac:dyDescent="0.3">
      <c r="A217" t="s">
        <v>449</v>
      </c>
      <c r="B217" t="s">
        <v>42</v>
      </c>
      <c r="C217" s="1">
        <v>45071</v>
      </c>
      <c r="D217" s="2">
        <f>YEAR(Table1[[#This Row],[PurchaseDate]])</f>
        <v>2023</v>
      </c>
      <c r="E217" s="2" t="str">
        <f>"Q"&amp;ROUNDUP(MONTH(Table1[[#This Row],[PurchaseDate]])/3,0)</f>
        <v>Q2</v>
      </c>
      <c r="F217" s="2">
        <f>MONTH(Table1[[#This Row],[PurchaseDate]])</f>
        <v>5</v>
      </c>
      <c r="G217" s="2" t="str">
        <f>TEXT(Table1[[#This Row],[PurchaseDate]],"MMM")</f>
        <v>May</v>
      </c>
      <c r="H217">
        <v>6</v>
      </c>
      <c r="I217">
        <v>411.88</v>
      </c>
      <c r="J217" t="s">
        <v>450</v>
      </c>
      <c r="K217" t="s">
        <v>13</v>
      </c>
      <c r="L217" t="s">
        <v>19</v>
      </c>
      <c r="M217">
        <v>3</v>
      </c>
      <c r="N217">
        <v>2471.2800000000002</v>
      </c>
    </row>
    <row r="218" spans="1:14" x14ac:dyDescent="0.3">
      <c r="A218" t="s">
        <v>451</v>
      </c>
      <c r="B218" t="s">
        <v>29</v>
      </c>
      <c r="C218" s="1">
        <v>45731</v>
      </c>
      <c r="D218" s="2">
        <f>YEAR(Table1[[#This Row],[PurchaseDate]])</f>
        <v>2025</v>
      </c>
      <c r="E218" s="2" t="str">
        <f>"Q"&amp;ROUNDUP(MONTH(Table1[[#This Row],[PurchaseDate]])/3,0)</f>
        <v>Q1</v>
      </c>
      <c r="F218" s="2">
        <f>MONTH(Table1[[#This Row],[PurchaseDate]])</f>
        <v>3</v>
      </c>
      <c r="G218" s="2" t="str">
        <f>TEXT(Table1[[#This Row],[PurchaseDate]],"MMM")</f>
        <v>Mar</v>
      </c>
      <c r="H218">
        <v>3</v>
      </c>
      <c r="I218">
        <v>428.09</v>
      </c>
      <c r="J218" t="s">
        <v>452</v>
      </c>
      <c r="K218" t="s">
        <v>18</v>
      </c>
      <c r="L218" t="s">
        <v>19</v>
      </c>
      <c r="M218">
        <v>3</v>
      </c>
      <c r="N218">
        <v>1284.27</v>
      </c>
    </row>
    <row r="219" spans="1:14" x14ac:dyDescent="0.3">
      <c r="A219" t="s">
        <v>453</v>
      </c>
      <c r="B219" t="s">
        <v>11</v>
      </c>
      <c r="C219" s="1">
        <v>45069</v>
      </c>
      <c r="D219" s="2">
        <f>YEAR(Table1[[#This Row],[PurchaseDate]])</f>
        <v>2023</v>
      </c>
      <c r="E219" s="2" t="str">
        <f>"Q"&amp;ROUNDUP(MONTH(Table1[[#This Row],[PurchaseDate]])/3,0)</f>
        <v>Q2</v>
      </c>
      <c r="F219" s="2">
        <f>MONTH(Table1[[#This Row],[PurchaseDate]])</f>
        <v>5</v>
      </c>
      <c r="G219" s="2" t="str">
        <f>TEXT(Table1[[#This Row],[PurchaseDate]],"MMM")</f>
        <v>May</v>
      </c>
      <c r="H219">
        <v>4</v>
      </c>
      <c r="I219">
        <v>473.68</v>
      </c>
      <c r="J219" t="s">
        <v>454</v>
      </c>
      <c r="K219" t="s">
        <v>18</v>
      </c>
      <c r="L219" t="s">
        <v>27</v>
      </c>
      <c r="M219">
        <v>4</v>
      </c>
      <c r="N219">
        <v>1894.72</v>
      </c>
    </row>
    <row r="220" spans="1:14" x14ac:dyDescent="0.3">
      <c r="A220" t="s">
        <v>455</v>
      </c>
      <c r="B220" t="s">
        <v>21</v>
      </c>
      <c r="C220" s="1">
        <v>45052</v>
      </c>
      <c r="D220" s="2">
        <f>YEAR(Table1[[#This Row],[PurchaseDate]])</f>
        <v>2023</v>
      </c>
      <c r="E220" s="2" t="str">
        <f>"Q"&amp;ROUNDUP(MONTH(Table1[[#This Row],[PurchaseDate]])/3,0)</f>
        <v>Q2</v>
      </c>
      <c r="F220" s="2">
        <f>MONTH(Table1[[#This Row],[PurchaseDate]])</f>
        <v>5</v>
      </c>
      <c r="G220" s="2" t="str">
        <f>TEXT(Table1[[#This Row],[PurchaseDate]],"MMM")</f>
        <v>May</v>
      </c>
      <c r="H220">
        <v>5</v>
      </c>
      <c r="I220">
        <v>362.89</v>
      </c>
      <c r="J220" t="s">
        <v>456</v>
      </c>
      <c r="K220" t="s">
        <v>13</v>
      </c>
      <c r="L220" t="s">
        <v>27</v>
      </c>
      <c r="M220">
        <v>2</v>
      </c>
      <c r="N220">
        <v>1814.45</v>
      </c>
    </row>
    <row r="221" spans="1:14" x14ac:dyDescent="0.3">
      <c r="A221" t="s">
        <v>457</v>
      </c>
      <c r="B221" t="s">
        <v>42</v>
      </c>
      <c r="C221" s="1">
        <v>45066</v>
      </c>
      <c r="D221" s="2">
        <f>YEAR(Table1[[#This Row],[PurchaseDate]])</f>
        <v>2023</v>
      </c>
      <c r="E221" s="2" t="str">
        <f>"Q"&amp;ROUNDUP(MONTH(Table1[[#This Row],[PurchaseDate]])/3,0)</f>
        <v>Q2</v>
      </c>
      <c r="F221" s="2">
        <f>MONTH(Table1[[#This Row],[PurchaseDate]])</f>
        <v>5</v>
      </c>
      <c r="G221" s="2" t="str">
        <f>TEXT(Table1[[#This Row],[PurchaseDate]],"MMM")</f>
        <v>May</v>
      </c>
      <c r="H221">
        <v>5</v>
      </c>
      <c r="I221">
        <v>225.32</v>
      </c>
      <c r="J221" t="s">
        <v>458</v>
      </c>
      <c r="K221" t="s">
        <v>38</v>
      </c>
      <c r="L221" t="s">
        <v>14</v>
      </c>
      <c r="M221">
        <v>5</v>
      </c>
      <c r="N221">
        <v>1126.5999999999999</v>
      </c>
    </row>
    <row r="222" spans="1:14" x14ac:dyDescent="0.3">
      <c r="A222" t="s">
        <v>459</v>
      </c>
      <c r="B222" t="s">
        <v>34</v>
      </c>
      <c r="C222" s="1">
        <v>45580</v>
      </c>
      <c r="D222" s="2">
        <f>YEAR(Table1[[#This Row],[PurchaseDate]])</f>
        <v>2024</v>
      </c>
      <c r="E222" s="2" t="str">
        <f>"Q"&amp;ROUNDUP(MONTH(Table1[[#This Row],[PurchaseDate]])/3,0)</f>
        <v>Q4</v>
      </c>
      <c r="F222" s="2">
        <f>MONTH(Table1[[#This Row],[PurchaseDate]])</f>
        <v>10</v>
      </c>
      <c r="G222" s="2" t="str">
        <f>TEXT(Table1[[#This Row],[PurchaseDate]],"MMM")</f>
        <v>Oct</v>
      </c>
      <c r="H222">
        <v>6</v>
      </c>
      <c r="I222">
        <v>43.52</v>
      </c>
      <c r="J222" t="s">
        <v>460</v>
      </c>
      <c r="K222" t="s">
        <v>18</v>
      </c>
      <c r="L222" t="s">
        <v>23</v>
      </c>
      <c r="M222">
        <v>5</v>
      </c>
      <c r="N222">
        <v>261.12</v>
      </c>
    </row>
    <row r="223" spans="1:14" x14ac:dyDescent="0.3">
      <c r="A223" t="s">
        <v>461</v>
      </c>
      <c r="B223" t="s">
        <v>21</v>
      </c>
      <c r="C223" s="1">
        <v>45806</v>
      </c>
      <c r="D223" s="2">
        <f>YEAR(Table1[[#This Row],[PurchaseDate]])</f>
        <v>2025</v>
      </c>
      <c r="E223" s="2" t="str">
        <f>"Q"&amp;ROUNDUP(MONTH(Table1[[#This Row],[PurchaseDate]])/3,0)</f>
        <v>Q2</v>
      </c>
      <c r="F223" s="2">
        <f>MONTH(Table1[[#This Row],[PurchaseDate]])</f>
        <v>5</v>
      </c>
      <c r="G223" s="2" t="str">
        <f>TEXT(Table1[[#This Row],[PurchaseDate]],"MMM")</f>
        <v>May</v>
      </c>
      <c r="H223">
        <v>5</v>
      </c>
      <c r="I223">
        <v>440.22</v>
      </c>
      <c r="J223" t="s">
        <v>462</v>
      </c>
      <c r="K223" t="s">
        <v>13</v>
      </c>
      <c r="L223" t="s">
        <v>27</v>
      </c>
      <c r="M223">
        <v>1</v>
      </c>
      <c r="N223">
        <v>2201.1</v>
      </c>
    </row>
    <row r="224" spans="1:14" x14ac:dyDescent="0.3">
      <c r="A224" t="s">
        <v>463</v>
      </c>
      <c r="B224" t="s">
        <v>11</v>
      </c>
      <c r="C224" s="1">
        <v>45803</v>
      </c>
      <c r="D224" s="2">
        <f>YEAR(Table1[[#This Row],[PurchaseDate]])</f>
        <v>2025</v>
      </c>
      <c r="E224" s="2" t="str">
        <f>"Q"&amp;ROUNDUP(MONTH(Table1[[#This Row],[PurchaseDate]])/3,0)</f>
        <v>Q2</v>
      </c>
      <c r="F224" s="2">
        <f>MONTH(Table1[[#This Row],[PurchaseDate]])</f>
        <v>5</v>
      </c>
      <c r="G224" s="2" t="str">
        <f>TEXT(Table1[[#This Row],[PurchaseDate]],"MMM")</f>
        <v>May</v>
      </c>
      <c r="H224">
        <v>8</v>
      </c>
      <c r="I224">
        <v>156.04</v>
      </c>
      <c r="J224" t="s">
        <v>464</v>
      </c>
      <c r="K224" t="s">
        <v>13</v>
      </c>
      <c r="L224" t="s">
        <v>19</v>
      </c>
      <c r="M224">
        <v>2</v>
      </c>
      <c r="N224">
        <v>1248.32</v>
      </c>
    </row>
    <row r="225" spans="1:14" x14ac:dyDescent="0.3">
      <c r="A225" t="s">
        <v>465</v>
      </c>
      <c r="B225" t="s">
        <v>21</v>
      </c>
      <c r="C225" s="1">
        <v>45545</v>
      </c>
      <c r="D225" s="2">
        <f>YEAR(Table1[[#This Row],[PurchaseDate]])</f>
        <v>2024</v>
      </c>
      <c r="E225" s="2" t="str">
        <f>"Q"&amp;ROUNDUP(MONTH(Table1[[#This Row],[PurchaseDate]])/3,0)</f>
        <v>Q3</v>
      </c>
      <c r="F225" s="2">
        <f>MONTH(Table1[[#This Row],[PurchaseDate]])</f>
        <v>9</v>
      </c>
      <c r="G225" s="2" t="str">
        <f>TEXT(Table1[[#This Row],[PurchaseDate]],"MMM")</f>
        <v>Sep</v>
      </c>
      <c r="H225">
        <v>5</v>
      </c>
      <c r="I225">
        <v>773.71</v>
      </c>
      <c r="J225" t="s">
        <v>466</v>
      </c>
      <c r="K225" t="s">
        <v>13</v>
      </c>
      <c r="L225" t="s">
        <v>58</v>
      </c>
      <c r="M225">
        <v>3</v>
      </c>
      <c r="N225">
        <v>3868.55</v>
      </c>
    </row>
    <row r="226" spans="1:14" x14ac:dyDescent="0.3">
      <c r="A226" t="s">
        <v>467</v>
      </c>
      <c r="B226" t="s">
        <v>16</v>
      </c>
      <c r="C226" s="1">
        <v>45571</v>
      </c>
      <c r="D226" s="2">
        <f>YEAR(Table1[[#This Row],[PurchaseDate]])</f>
        <v>2024</v>
      </c>
      <c r="E226" s="2" t="str">
        <f>"Q"&amp;ROUNDUP(MONTH(Table1[[#This Row],[PurchaseDate]])/3,0)</f>
        <v>Q4</v>
      </c>
      <c r="F226" s="2">
        <f>MONTH(Table1[[#This Row],[PurchaseDate]])</f>
        <v>10</v>
      </c>
      <c r="G226" s="2" t="str">
        <f>TEXT(Table1[[#This Row],[PurchaseDate]],"MMM")</f>
        <v>Oct</v>
      </c>
      <c r="H226">
        <v>7</v>
      </c>
      <c r="I226">
        <v>783.14</v>
      </c>
      <c r="J226" t="s">
        <v>468</v>
      </c>
      <c r="K226" t="s">
        <v>38</v>
      </c>
      <c r="L226" t="s">
        <v>58</v>
      </c>
      <c r="M226">
        <v>5</v>
      </c>
      <c r="N226">
        <v>5481.98</v>
      </c>
    </row>
    <row r="227" spans="1:14" x14ac:dyDescent="0.3">
      <c r="A227" t="s">
        <v>469</v>
      </c>
      <c r="B227" t="s">
        <v>11</v>
      </c>
      <c r="C227" s="1">
        <v>45540</v>
      </c>
      <c r="D227" s="2">
        <f>YEAR(Table1[[#This Row],[PurchaseDate]])</f>
        <v>2024</v>
      </c>
      <c r="E227" s="2" t="str">
        <f>"Q"&amp;ROUNDUP(MONTH(Table1[[#This Row],[PurchaseDate]])/3,0)</f>
        <v>Q3</v>
      </c>
      <c r="F227" s="2">
        <f>MONTH(Table1[[#This Row],[PurchaseDate]])</f>
        <v>9</v>
      </c>
      <c r="G227" s="2" t="str">
        <f>TEXT(Table1[[#This Row],[PurchaseDate]],"MMM")</f>
        <v>Sep</v>
      </c>
      <c r="H227">
        <v>8</v>
      </c>
      <c r="I227">
        <v>343.55</v>
      </c>
      <c r="J227" t="s">
        <v>470</v>
      </c>
      <c r="K227" t="s">
        <v>13</v>
      </c>
      <c r="L227" t="s">
        <v>27</v>
      </c>
      <c r="M227">
        <v>1</v>
      </c>
      <c r="N227">
        <v>2748.4</v>
      </c>
    </row>
    <row r="228" spans="1:14" x14ac:dyDescent="0.3">
      <c r="A228" t="s">
        <v>471</v>
      </c>
      <c r="B228" t="s">
        <v>42</v>
      </c>
      <c r="C228" s="1">
        <v>45203</v>
      </c>
      <c r="D228" s="2">
        <f>YEAR(Table1[[#This Row],[PurchaseDate]])</f>
        <v>2023</v>
      </c>
      <c r="E228" s="2" t="str">
        <f>"Q"&amp;ROUNDUP(MONTH(Table1[[#This Row],[PurchaseDate]])/3,0)</f>
        <v>Q4</v>
      </c>
      <c r="F228" s="2">
        <f>MONTH(Table1[[#This Row],[PurchaseDate]])</f>
        <v>10</v>
      </c>
      <c r="G228" s="2" t="str">
        <f>TEXT(Table1[[#This Row],[PurchaseDate]],"MMM")</f>
        <v>Oct</v>
      </c>
      <c r="H228">
        <v>4</v>
      </c>
      <c r="I228">
        <v>447.82</v>
      </c>
      <c r="J228" t="s">
        <v>472</v>
      </c>
      <c r="K228" t="s">
        <v>38</v>
      </c>
      <c r="L228" t="s">
        <v>58</v>
      </c>
      <c r="M228">
        <v>1</v>
      </c>
      <c r="N228">
        <v>1791.28</v>
      </c>
    </row>
    <row r="229" spans="1:14" x14ac:dyDescent="0.3">
      <c r="A229" t="s">
        <v>473</v>
      </c>
      <c r="B229" t="s">
        <v>16</v>
      </c>
      <c r="C229" s="1">
        <v>45042</v>
      </c>
      <c r="D229" s="2">
        <f>YEAR(Table1[[#This Row],[PurchaseDate]])</f>
        <v>2023</v>
      </c>
      <c r="E229" s="2" t="str">
        <f>"Q"&amp;ROUNDUP(MONTH(Table1[[#This Row],[PurchaseDate]])/3,0)</f>
        <v>Q2</v>
      </c>
      <c r="F229" s="2">
        <f>MONTH(Table1[[#This Row],[PurchaseDate]])</f>
        <v>4</v>
      </c>
      <c r="G229" s="2" t="str">
        <f>TEXT(Table1[[#This Row],[PurchaseDate]],"MMM")</f>
        <v>Apr</v>
      </c>
      <c r="H229">
        <v>3</v>
      </c>
      <c r="I229">
        <v>520.58000000000004</v>
      </c>
      <c r="J229" t="s">
        <v>474</v>
      </c>
      <c r="K229" t="s">
        <v>38</v>
      </c>
      <c r="L229" t="s">
        <v>58</v>
      </c>
      <c r="M229">
        <v>1</v>
      </c>
      <c r="N229">
        <v>1561.74</v>
      </c>
    </row>
    <row r="230" spans="1:14" x14ac:dyDescent="0.3">
      <c r="A230" t="s">
        <v>475</v>
      </c>
      <c r="B230" t="s">
        <v>42</v>
      </c>
      <c r="C230" s="1">
        <v>45614</v>
      </c>
      <c r="D230" s="2">
        <f>YEAR(Table1[[#This Row],[PurchaseDate]])</f>
        <v>2024</v>
      </c>
      <c r="E230" s="2" t="str">
        <f>"Q"&amp;ROUNDUP(MONTH(Table1[[#This Row],[PurchaseDate]])/3,0)</f>
        <v>Q4</v>
      </c>
      <c r="F230" s="2">
        <f>MONTH(Table1[[#This Row],[PurchaseDate]])</f>
        <v>11</v>
      </c>
      <c r="G230" s="2" t="str">
        <f>TEXT(Table1[[#This Row],[PurchaseDate]],"MMM")</f>
        <v>Nov</v>
      </c>
      <c r="H230">
        <v>8</v>
      </c>
      <c r="I230">
        <v>702.89</v>
      </c>
      <c r="J230" t="s">
        <v>476</v>
      </c>
      <c r="K230" t="s">
        <v>18</v>
      </c>
      <c r="L230" t="s">
        <v>58</v>
      </c>
      <c r="M230">
        <v>4</v>
      </c>
      <c r="N230">
        <v>5623.12</v>
      </c>
    </row>
    <row r="231" spans="1:14" x14ac:dyDescent="0.3">
      <c r="A231" t="s">
        <v>477</v>
      </c>
      <c r="B231" t="s">
        <v>29</v>
      </c>
      <c r="C231" s="1">
        <v>45763</v>
      </c>
      <c r="D231" s="2">
        <f>YEAR(Table1[[#This Row],[PurchaseDate]])</f>
        <v>2025</v>
      </c>
      <c r="E231" s="2" t="str">
        <f>"Q"&amp;ROUNDUP(MONTH(Table1[[#This Row],[PurchaseDate]])/3,0)</f>
        <v>Q2</v>
      </c>
      <c r="F231" s="2">
        <f>MONTH(Table1[[#This Row],[PurchaseDate]])</f>
        <v>4</v>
      </c>
      <c r="G231" s="2" t="str">
        <f>TEXT(Table1[[#This Row],[PurchaseDate]],"MMM")</f>
        <v>Apr</v>
      </c>
      <c r="H231">
        <v>5</v>
      </c>
      <c r="I231">
        <v>507.53</v>
      </c>
      <c r="J231" t="s">
        <v>478</v>
      </c>
      <c r="K231" t="s">
        <v>13</v>
      </c>
      <c r="L231" t="s">
        <v>19</v>
      </c>
      <c r="M231">
        <v>3</v>
      </c>
      <c r="N231">
        <v>2537.65</v>
      </c>
    </row>
    <row r="232" spans="1:14" x14ac:dyDescent="0.3">
      <c r="A232" t="s">
        <v>479</v>
      </c>
      <c r="B232" t="s">
        <v>11</v>
      </c>
      <c r="C232" s="1">
        <v>45757</v>
      </c>
      <c r="D232" s="2">
        <f>YEAR(Table1[[#This Row],[PurchaseDate]])</f>
        <v>2025</v>
      </c>
      <c r="E232" s="2" t="str">
        <f>"Q"&amp;ROUNDUP(MONTH(Table1[[#This Row],[PurchaseDate]])/3,0)</f>
        <v>Q2</v>
      </c>
      <c r="F232" s="2">
        <f>MONTH(Table1[[#This Row],[PurchaseDate]])</f>
        <v>4</v>
      </c>
      <c r="G232" s="2" t="str">
        <f>TEXT(Table1[[#This Row],[PurchaseDate]],"MMM")</f>
        <v>Apr</v>
      </c>
      <c r="H232">
        <v>8</v>
      </c>
      <c r="I232">
        <v>714.63</v>
      </c>
      <c r="J232" t="s">
        <v>480</v>
      </c>
      <c r="K232" t="s">
        <v>38</v>
      </c>
      <c r="L232" t="s">
        <v>58</v>
      </c>
      <c r="M232">
        <v>5</v>
      </c>
      <c r="N232">
        <v>5717.04</v>
      </c>
    </row>
    <row r="233" spans="1:14" x14ac:dyDescent="0.3">
      <c r="A233" t="s">
        <v>481</v>
      </c>
      <c r="B233" t="s">
        <v>29</v>
      </c>
      <c r="C233" s="1">
        <v>45276</v>
      </c>
      <c r="D233" s="2">
        <f>YEAR(Table1[[#This Row],[PurchaseDate]])</f>
        <v>2023</v>
      </c>
      <c r="E233" s="2" t="str">
        <f>"Q"&amp;ROUNDUP(MONTH(Table1[[#This Row],[PurchaseDate]])/3,0)</f>
        <v>Q4</v>
      </c>
      <c r="F233" s="2">
        <f>MONTH(Table1[[#This Row],[PurchaseDate]])</f>
        <v>12</v>
      </c>
      <c r="G233" s="2" t="str">
        <f>TEXT(Table1[[#This Row],[PurchaseDate]],"MMM")</f>
        <v>Dec</v>
      </c>
      <c r="H233">
        <v>1</v>
      </c>
      <c r="I233">
        <v>234.44</v>
      </c>
      <c r="J233" t="s">
        <v>482</v>
      </c>
      <c r="K233" t="s">
        <v>13</v>
      </c>
      <c r="L233" t="s">
        <v>58</v>
      </c>
      <c r="M233">
        <v>3</v>
      </c>
      <c r="N233">
        <v>234.44</v>
      </c>
    </row>
    <row r="234" spans="1:14" x14ac:dyDescent="0.3">
      <c r="A234" t="s">
        <v>483</v>
      </c>
      <c r="B234" t="s">
        <v>25</v>
      </c>
      <c r="C234" s="1">
        <v>45525</v>
      </c>
      <c r="D234" s="2">
        <f>YEAR(Table1[[#This Row],[PurchaseDate]])</f>
        <v>2024</v>
      </c>
      <c r="E234" s="2" t="str">
        <f>"Q"&amp;ROUNDUP(MONTH(Table1[[#This Row],[PurchaseDate]])/3,0)</f>
        <v>Q3</v>
      </c>
      <c r="F234" s="2">
        <f>MONTH(Table1[[#This Row],[PurchaseDate]])</f>
        <v>8</v>
      </c>
      <c r="G234" s="2" t="str">
        <f>TEXT(Table1[[#This Row],[PurchaseDate]],"MMM")</f>
        <v>Aug</v>
      </c>
      <c r="H234">
        <v>8</v>
      </c>
      <c r="I234">
        <v>340</v>
      </c>
      <c r="J234" t="s">
        <v>484</v>
      </c>
      <c r="K234" t="s">
        <v>13</v>
      </c>
      <c r="L234" t="s">
        <v>58</v>
      </c>
      <c r="M234">
        <v>5</v>
      </c>
      <c r="N234">
        <v>2720</v>
      </c>
    </row>
    <row r="235" spans="1:14" x14ac:dyDescent="0.3">
      <c r="A235" t="s">
        <v>485</v>
      </c>
      <c r="B235" t="s">
        <v>29</v>
      </c>
      <c r="C235" s="1">
        <v>45615</v>
      </c>
      <c r="D235" s="2">
        <f>YEAR(Table1[[#This Row],[PurchaseDate]])</f>
        <v>2024</v>
      </c>
      <c r="E235" s="2" t="str">
        <f>"Q"&amp;ROUNDUP(MONTH(Table1[[#This Row],[PurchaseDate]])/3,0)</f>
        <v>Q4</v>
      </c>
      <c r="F235" s="2">
        <f>MONTH(Table1[[#This Row],[PurchaseDate]])</f>
        <v>11</v>
      </c>
      <c r="G235" s="2" t="str">
        <f>TEXT(Table1[[#This Row],[PurchaseDate]],"MMM")</f>
        <v>Nov</v>
      </c>
      <c r="H235">
        <v>6</v>
      </c>
      <c r="I235">
        <v>395.6</v>
      </c>
      <c r="J235" t="s">
        <v>486</v>
      </c>
      <c r="K235" t="s">
        <v>18</v>
      </c>
      <c r="L235" t="s">
        <v>58</v>
      </c>
      <c r="M235">
        <v>2</v>
      </c>
      <c r="N235">
        <v>2373.6</v>
      </c>
    </row>
    <row r="236" spans="1:14" x14ac:dyDescent="0.3">
      <c r="A236" t="s">
        <v>487</v>
      </c>
      <c r="B236" t="s">
        <v>16</v>
      </c>
      <c r="C236" s="1">
        <v>45571</v>
      </c>
      <c r="D236" s="2">
        <f>YEAR(Table1[[#This Row],[PurchaseDate]])</f>
        <v>2024</v>
      </c>
      <c r="E236" s="2" t="str">
        <f>"Q"&amp;ROUNDUP(MONTH(Table1[[#This Row],[PurchaseDate]])/3,0)</f>
        <v>Q4</v>
      </c>
      <c r="F236" s="2">
        <f>MONTH(Table1[[#This Row],[PurchaseDate]])</f>
        <v>10</v>
      </c>
      <c r="G236" s="2" t="str">
        <f>TEXT(Table1[[#This Row],[PurchaseDate]],"MMM")</f>
        <v>Oct</v>
      </c>
      <c r="H236">
        <v>3</v>
      </c>
      <c r="I236">
        <v>705.98</v>
      </c>
      <c r="J236" t="s">
        <v>488</v>
      </c>
      <c r="K236" t="s">
        <v>13</v>
      </c>
      <c r="L236" t="s">
        <v>14</v>
      </c>
      <c r="M236">
        <v>2</v>
      </c>
      <c r="N236">
        <v>2117.94</v>
      </c>
    </row>
    <row r="237" spans="1:14" x14ac:dyDescent="0.3">
      <c r="A237" t="s">
        <v>489</v>
      </c>
      <c r="B237" t="s">
        <v>16</v>
      </c>
      <c r="C237" s="1">
        <v>45493</v>
      </c>
      <c r="D237" s="2">
        <f>YEAR(Table1[[#This Row],[PurchaseDate]])</f>
        <v>2024</v>
      </c>
      <c r="E237" s="2" t="str">
        <f>"Q"&amp;ROUNDUP(MONTH(Table1[[#This Row],[PurchaseDate]])/3,0)</f>
        <v>Q3</v>
      </c>
      <c r="F237" s="2">
        <f>MONTH(Table1[[#This Row],[PurchaseDate]])</f>
        <v>7</v>
      </c>
      <c r="G237" s="2" t="str">
        <f>TEXT(Table1[[#This Row],[PurchaseDate]],"MMM")</f>
        <v>Jul</v>
      </c>
      <c r="H237">
        <v>3</v>
      </c>
      <c r="I237">
        <v>792.02</v>
      </c>
      <c r="J237" t="s">
        <v>490</v>
      </c>
      <c r="K237" t="s">
        <v>38</v>
      </c>
      <c r="L237" t="s">
        <v>27</v>
      </c>
      <c r="M237">
        <v>4</v>
      </c>
      <c r="N237">
        <v>2376.06</v>
      </c>
    </row>
    <row r="238" spans="1:14" x14ac:dyDescent="0.3">
      <c r="A238" t="s">
        <v>491</v>
      </c>
      <c r="B238" t="s">
        <v>29</v>
      </c>
      <c r="C238" s="1">
        <v>45704</v>
      </c>
      <c r="D238" s="2">
        <f>YEAR(Table1[[#This Row],[PurchaseDate]])</f>
        <v>2025</v>
      </c>
      <c r="E238" s="2" t="str">
        <f>"Q"&amp;ROUNDUP(MONTH(Table1[[#This Row],[PurchaseDate]])/3,0)</f>
        <v>Q1</v>
      </c>
      <c r="F238" s="2">
        <f>MONTH(Table1[[#This Row],[PurchaseDate]])</f>
        <v>2</v>
      </c>
      <c r="G238" s="2" t="str">
        <f>TEXT(Table1[[#This Row],[PurchaseDate]],"MMM")</f>
        <v>Feb</v>
      </c>
      <c r="H238">
        <v>7</v>
      </c>
      <c r="I238">
        <v>227.84</v>
      </c>
      <c r="J238" t="s">
        <v>492</v>
      </c>
      <c r="K238" t="s">
        <v>38</v>
      </c>
      <c r="L238" t="s">
        <v>14</v>
      </c>
      <c r="M238">
        <v>4</v>
      </c>
      <c r="N238">
        <v>1594.88</v>
      </c>
    </row>
    <row r="239" spans="1:14" x14ac:dyDescent="0.3">
      <c r="A239" t="s">
        <v>493</v>
      </c>
      <c r="B239" t="s">
        <v>34</v>
      </c>
      <c r="C239" s="1">
        <v>45336</v>
      </c>
      <c r="D239" s="2">
        <f>YEAR(Table1[[#This Row],[PurchaseDate]])</f>
        <v>2024</v>
      </c>
      <c r="E239" s="2" t="str">
        <f>"Q"&amp;ROUNDUP(MONTH(Table1[[#This Row],[PurchaseDate]])/3,0)</f>
        <v>Q1</v>
      </c>
      <c r="F239" s="2">
        <f>MONTH(Table1[[#This Row],[PurchaseDate]])</f>
        <v>2</v>
      </c>
      <c r="G239" s="2" t="str">
        <f>TEXT(Table1[[#This Row],[PurchaseDate]],"MMM")</f>
        <v>Feb</v>
      </c>
      <c r="H239">
        <v>6</v>
      </c>
      <c r="I239">
        <v>67.73</v>
      </c>
      <c r="J239" t="s">
        <v>494</v>
      </c>
      <c r="K239" t="s">
        <v>38</v>
      </c>
      <c r="L239" t="s">
        <v>58</v>
      </c>
      <c r="M239">
        <v>5</v>
      </c>
      <c r="N239">
        <v>406.38</v>
      </c>
    </row>
    <row r="240" spans="1:14" x14ac:dyDescent="0.3">
      <c r="A240" t="s">
        <v>153</v>
      </c>
      <c r="B240" t="s">
        <v>34</v>
      </c>
      <c r="C240" s="1">
        <v>45597</v>
      </c>
      <c r="D240" s="2">
        <f>YEAR(Table1[[#This Row],[PurchaseDate]])</f>
        <v>2024</v>
      </c>
      <c r="E240" s="2" t="str">
        <f>"Q"&amp;ROUNDUP(MONTH(Table1[[#This Row],[PurchaseDate]])/3,0)</f>
        <v>Q4</v>
      </c>
      <c r="F240" s="2">
        <f>MONTH(Table1[[#This Row],[PurchaseDate]])</f>
        <v>11</v>
      </c>
      <c r="G240" s="2" t="str">
        <f>TEXT(Table1[[#This Row],[PurchaseDate]],"MMM")</f>
        <v>Nov</v>
      </c>
      <c r="H240">
        <v>5</v>
      </c>
      <c r="I240">
        <v>468</v>
      </c>
      <c r="J240" t="s">
        <v>154</v>
      </c>
      <c r="K240" t="s">
        <v>38</v>
      </c>
      <c r="L240" t="s">
        <v>19</v>
      </c>
      <c r="M240">
        <v>1</v>
      </c>
      <c r="N240">
        <v>2340</v>
      </c>
    </row>
    <row r="241" spans="1:14" x14ac:dyDescent="0.3">
      <c r="A241" t="s">
        <v>495</v>
      </c>
      <c r="B241" t="s">
        <v>25</v>
      </c>
      <c r="C241" s="1">
        <v>45181</v>
      </c>
      <c r="D241" s="2">
        <f>YEAR(Table1[[#This Row],[PurchaseDate]])</f>
        <v>2023</v>
      </c>
      <c r="E241" s="2" t="str">
        <f>"Q"&amp;ROUNDUP(MONTH(Table1[[#This Row],[PurchaseDate]])/3,0)</f>
        <v>Q3</v>
      </c>
      <c r="F241" s="2">
        <f>MONTH(Table1[[#This Row],[PurchaseDate]])</f>
        <v>9</v>
      </c>
      <c r="G241" s="2" t="str">
        <f>TEXT(Table1[[#This Row],[PurchaseDate]],"MMM")</f>
        <v>Sep</v>
      </c>
      <c r="H241">
        <v>1</v>
      </c>
      <c r="I241">
        <v>274.88</v>
      </c>
      <c r="J241" t="s">
        <v>496</v>
      </c>
      <c r="K241" t="s">
        <v>13</v>
      </c>
      <c r="L241" t="s">
        <v>27</v>
      </c>
      <c r="M241">
        <v>2</v>
      </c>
      <c r="N241">
        <v>274.88</v>
      </c>
    </row>
    <row r="242" spans="1:14" x14ac:dyDescent="0.3">
      <c r="A242" t="s">
        <v>497</v>
      </c>
      <c r="B242" t="s">
        <v>34</v>
      </c>
      <c r="C242" s="1">
        <v>45666</v>
      </c>
      <c r="D242" s="2">
        <f>YEAR(Table1[[#This Row],[PurchaseDate]])</f>
        <v>2025</v>
      </c>
      <c r="E242" s="2" t="str">
        <f>"Q"&amp;ROUNDUP(MONTH(Table1[[#This Row],[PurchaseDate]])/3,0)</f>
        <v>Q1</v>
      </c>
      <c r="F242" s="2">
        <f>MONTH(Table1[[#This Row],[PurchaseDate]])</f>
        <v>1</v>
      </c>
      <c r="G242" s="2" t="str">
        <f>TEXT(Table1[[#This Row],[PurchaseDate]],"MMM")</f>
        <v>Jan</v>
      </c>
      <c r="H242">
        <v>1</v>
      </c>
      <c r="I242">
        <v>677.08</v>
      </c>
      <c r="J242" t="s">
        <v>498</v>
      </c>
      <c r="K242" t="s">
        <v>38</v>
      </c>
      <c r="L242" t="s">
        <v>19</v>
      </c>
      <c r="M242">
        <v>4</v>
      </c>
      <c r="N242">
        <v>677.08</v>
      </c>
    </row>
    <row r="243" spans="1:14" x14ac:dyDescent="0.3">
      <c r="A243" t="s">
        <v>499</v>
      </c>
      <c r="B243" t="s">
        <v>21</v>
      </c>
      <c r="C243" s="1">
        <v>45649</v>
      </c>
      <c r="D243" s="2">
        <f>YEAR(Table1[[#This Row],[PurchaseDate]])</f>
        <v>2024</v>
      </c>
      <c r="E243" s="2" t="str">
        <f>"Q"&amp;ROUNDUP(MONTH(Table1[[#This Row],[PurchaseDate]])/3,0)</f>
        <v>Q4</v>
      </c>
      <c r="F243" s="2">
        <f>MONTH(Table1[[#This Row],[PurchaseDate]])</f>
        <v>12</v>
      </c>
      <c r="G243" s="2" t="str">
        <f>TEXT(Table1[[#This Row],[PurchaseDate]],"MMM")</f>
        <v>Dec</v>
      </c>
      <c r="H243">
        <v>8</v>
      </c>
      <c r="I243">
        <v>713.21</v>
      </c>
      <c r="J243" t="s">
        <v>500</v>
      </c>
      <c r="K243" t="s">
        <v>13</v>
      </c>
      <c r="L243" t="s">
        <v>27</v>
      </c>
      <c r="M243">
        <v>5</v>
      </c>
      <c r="N243">
        <v>5705.68</v>
      </c>
    </row>
    <row r="244" spans="1:14" x14ac:dyDescent="0.3">
      <c r="A244" t="s">
        <v>501</v>
      </c>
      <c r="B244" t="s">
        <v>21</v>
      </c>
      <c r="C244" s="1">
        <v>45489</v>
      </c>
      <c r="D244" s="2">
        <f>YEAR(Table1[[#This Row],[PurchaseDate]])</f>
        <v>2024</v>
      </c>
      <c r="E244" s="2" t="str">
        <f>"Q"&amp;ROUNDUP(MONTH(Table1[[#This Row],[PurchaseDate]])/3,0)</f>
        <v>Q3</v>
      </c>
      <c r="F244" s="2">
        <f>MONTH(Table1[[#This Row],[PurchaseDate]])</f>
        <v>7</v>
      </c>
      <c r="G244" s="2" t="str">
        <f>TEXT(Table1[[#This Row],[PurchaseDate]],"MMM")</f>
        <v>Jul</v>
      </c>
      <c r="H244">
        <v>3</v>
      </c>
      <c r="I244">
        <v>597.35</v>
      </c>
      <c r="J244" t="s">
        <v>502</v>
      </c>
      <c r="K244" t="s">
        <v>18</v>
      </c>
      <c r="L244" t="s">
        <v>27</v>
      </c>
      <c r="M244">
        <v>1</v>
      </c>
      <c r="N244">
        <v>1792.05</v>
      </c>
    </row>
    <row r="245" spans="1:14" x14ac:dyDescent="0.3">
      <c r="A245" t="s">
        <v>503</v>
      </c>
      <c r="B245" t="s">
        <v>42</v>
      </c>
      <c r="C245" s="1">
        <v>45668</v>
      </c>
      <c r="D245" s="2">
        <f>YEAR(Table1[[#This Row],[PurchaseDate]])</f>
        <v>2025</v>
      </c>
      <c r="E245" s="2" t="str">
        <f>"Q"&amp;ROUNDUP(MONTH(Table1[[#This Row],[PurchaseDate]])/3,0)</f>
        <v>Q1</v>
      </c>
      <c r="F245" s="2">
        <f>MONTH(Table1[[#This Row],[PurchaseDate]])</f>
        <v>1</v>
      </c>
      <c r="G245" s="2" t="str">
        <f>TEXT(Table1[[#This Row],[PurchaseDate]],"MMM")</f>
        <v>Jan</v>
      </c>
      <c r="H245">
        <v>6</v>
      </c>
      <c r="I245">
        <v>234.84</v>
      </c>
      <c r="J245" t="s">
        <v>504</v>
      </c>
      <c r="K245" t="s">
        <v>13</v>
      </c>
      <c r="L245" t="s">
        <v>14</v>
      </c>
      <c r="M245">
        <v>5</v>
      </c>
      <c r="N245">
        <v>1409.04</v>
      </c>
    </row>
    <row r="246" spans="1:14" x14ac:dyDescent="0.3">
      <c r="A246" t="s">
        <v>505</v>
      </c>
      <c r="B246" t="s">
        <v>34</v>
      </c>
      <c r="C246" s="1">
        <v>45304</v>
      </c>
      <c r="D246" s="2">
        <f>YEAR(Table1[[#This Row],[PurchaseDate]])</f>
        <v>2024</v>
      </c>
      <c r="E246" s="2" t="str">
        <f>"Q"&amp;ROUNDUP(MONTH(Table1[[#This Row],[PurchaseDate]])/3,0)</f>
        <v>Q1</v>
      </c>
      <c r="F246" s="2">
        <f>MONTH(Table1[[#This Row],[PurchaseDate]])</f>
        <v>1</v>
      </c>
      <c r="G246" s="2" t="str">
        <f>TEXT(Table1[[#This Row],[PurchaseDate]],"MMM")</f>
        <v>Jan</v>
      </c>
      <c r="H246">
        <v>5</v>
      </c>
      <c r="I246">
        <v>751.68</v>
      </c>
      <c r="J246" t="s">
        <v>506</v>
      </c>
      <c r="K246" t="s">
        <v>18</v>
      </c>
      <c r="L246" t="s">
        <v>23</v>
      </c>
      <c r="M246">
        <v>4</v>
      </c>
      <c r="N246">
        <v>3758.4</v>
      </c>
    </row>
    <row r="247" spans="1:14" x14ac:dyDescent="0.3">
      <c r="A247" t="s">
        <v>507</v>
      </c>
      <c r="B247" t="s">
        <v>42</v>
      </c>
      <c r="C247" s="1">
        <v>45461</v>
      </c>
      <c r="D247" s="2">
        <f>YEAR(Table1[[#This Row],[PurchaseDate]])</f>
        <v>2024</v>
      </c>
      <c r="E247" s="2" t="str">
        <f>"Q"&amp;ROUNDUP(MONTH(Table1[[#This Row],[PurchaseDate]])/3,0)</f>
        <v>Q2</v>
      </c>
      <c r="F247" s="2">
        <f>MONTH(Table1[[#This Row],[PurchaseDate]])</f>
        <v>6</v>
      </c>
      <c r="G247" s="2" t="str">
        <f>TEXT(Table1[[#This Row],[PurchaseDate]],"MMM")</f>
        <v>Jun</v>
      </c>
      <c r="H247">
        <v>3</v>
      </c>
      <c r="I247">
        <v>719.63</v>
      </c>
      <c r="J247" t="s">
        <v>508</v>
      </c>
      <c r="K247" t="s">
        <v>18</v>
      </c>
      <c r="L247" t="s">
        <v>19</v>
      </c>
      <c r="M247">
        <v>4</v>
      </c>
      <c r="N247">
        <v>2158.89</v>
      </c>
    </row>
    <row r="248" spans="1:14" x14ac:dyDescent="0.3">
      <c r="A248" t="s">
        <v>509</v>
      </c>
      <c r="B248" t="s">
        <v>16</v>
      </c>
      <c r="C248" s="1">
        <v>45186</v>
      </c>
      <c r="D248" s="2">
        <f>YEAR(Table1[[#This Row],[PurchaseDate]])</f>
        <v>2023</v>
      </c>
      <c r="E248" s="2" t="str">
        <f>"Q"&amp;ROUNDUP(MONTH(Table1[[#This Row],[PurchaseDate]])/3,0)</f>
        <v>Q3</v>
      </c>
      <c r="F248" s="2">
        <f>MONTH(Table1[[#This Row],[PurchaseDate]])</f>
        <v>9</v>
      </c>
      <c r="G248" s="2" t="str">
        <f>TEXT(Table1[[#This Row],[PurchaseDate]],"MMM")</f>
        <v>Sep</v>
      </c>
      <c r="H248">
        <v>8</v>
      </c>
      <c r="I248">
        <v>300.38</v>
      </c>
      <c r="J248" t="s">
        <v>510</v>
      </c>
      <c r="K248" t="s">
        <v>38</v>
      </c>
      <c r="L248" t="s">
        <v>23</v>
      </c>
      <c r="M248">
        <v>1</v>
      </c>
      <c r="N248">
        <v>2403.04</v>
      </c>
    </row>
    <row r="249" spans="1:14" x14ac:dyDescent="0.3">
      <c r="A249" t="s">
        <v>511</v>
      </c>
      <c r="B249" t="s">
        <v>16</v>
      </c>
      <c r="C249" s="1">
        <v>45126</v>
      </c>
      <c r="D249" s="2">
        <f>YEAR(Table1[[#This Row],[PurchaseDate]])</f>
        <v>2023</v>
      </c>
      <c r="E249" s="2" t="str">
        <f>"Q"&amp;ROUNDUP(MONTH(Table1[[#This Row],[PurchaseDate]])/3,0)</f>
        <v>Q3</v>
      </c>
      <c r="F249" s="2">
        <f>MONTH(Table1[[#This Row],[PurchaseDate]])</f>
        <v>7</v>
      </c>
      <c r="G249" s="2" t="str">
        <f>TEXT(Table1[[#This Row],[PurchaseDate]],"MMM")</f>
        <v>Jul</v>
      </c>
      <c r="H249">
        <v>6</v>
      </c>
      <c r="I249">
        <v>754.16</v>
      </c>
      <c r="J249" t="s">
        <v>512</v>
      </c>
      <c r="K249" t="s">
        <v>38</v>
      </c>
      <c r="L249" t="s">
        <v>19</v>
      </c>
      <c r="M249">
        <v>1</v>
      </c>
      <c r="N249">
        <v>4524.96</v>
      </c>
    </row>
    <row r="250" spans="1:14" x14ac:dyDescent="0.3">
      <c r="A250" t="s">
        <v>513</v>
      </c>
      <c r="B250" t="s">
        <v>42</v>
      </c>
      <c r="C250" s="1">
        <v>45254</v>
      </c>
      <c r="D250" s="2">
        <f>YEAR(Table1[[#This Row],[PurchaseDate]])</f>
        <v>2023</v>
      </c>
      <c r="E250" s="2" t="str">
        <f>"Q"&amp;ROUNDUP(MONTH(Table1[[#This Row],[PurchaseDate]])/3,0)</f>
        <v>Q4</v>
      </c>
      <c r="F250" s="2">
        <f>MONTH(Table1[[#This Row],[PurchaseDate]])</f>
        <v>11</v>
      </c>
      <c r="G250" s="2" t="str">
        <f>TEXT(Table1[[#This Row],[PurchaseDate]],"MMM")</f>
        <v>Nov</v>
      </c>
      <c r="H250">
        <v>7</v>
      </c>
      <c r="I250">
        <v>240.67</v>
      </c>
      <c r="J250" t="s">
        <v>514</v>
      </c>
      <c r="K250" t="s">
        <v>18</v>
      </c>
      <c r="L250" t="s">
        <v>23</v>
      </c>
      <c r="M250">
        <v>1</v>
      </c>
      <c r="N250">
        <v>1684.69</v>
      </c>
    </row>
    <row r="251" spans="1:14" x14ac:dyDescent="0.3">
      <c r="A251" t="s">
        <v>515</v>
      </c>
      <c r="B251" t="s">
        <v>42</v>
      </c>
      <c r="C251" s="1">
        <v>45740</v>
      </c>
      <c r="D251" s="2">
        <f>YEAR(Table1[[#This Row],[PurchaseDate]])</f>
        <v>2025</v>
      </c>
      <c r="E251" s="2" t="str">
        <f>"Q"&amp;ROUNDUP(MONTH(Table1[[#This Row],[PurchaseDate]])/3,0)</f>
        <v>Q1</v>
      </c>
      <c r="F251" s="2">
        <f>MONTH(Table1[[#This Row],[PurchaseDate]])</f>
        <v>3</v>
      </c>
      <c r="G251" s="2" t="str">
        <f>TEXT(Table1[[#This Row],[PurchaseDate]],"MMM")</f>
        <v>Mar</v>
      </c>
      <c r="H251">
        <v>2</v>
      </c>
      <c r="I251">
        <v>715.14</v>
      </c>
      <c r="J251" t="s">
        <v>516</v>
      </c>
      <c r="K251" t="s">
        <v>18</v>
      </c>
      <c r="L251" t="s">
        <v>58</v>
      </c>
      <c r="M251">
        <v>3</v>
      </c>
      <c r="N251">
        <v>1430.28</v>
      </c>
    </row>
    <row r="252" spans="1:14" x14ac:dyDescent="0.3">
      <c r="A252" t="s">
        <v>517</v>
      </c>
      <c r="B252" t="s">
        <v>11</v>
      </c>
      <c r="C252" s="1">
        <v>45303</v>
      </c>
      <c r="D252" s="2">
        <f>YEAR(Table1[[#This Row],[PurchaseDate]])</f>
        <v>2024</v>
      </c>
      <c r="E252" s="2" t="str">
        <f>"Q"&amp;ROUNDUP(MONTH(Table1[[#This Row],[PurchaseDate]])/3,0)</f>
        <v>Q1</v>
      </c>
      <c r="F252" s="2">
        <f>MONTH(Table1[[#This Row],[PurchaseDate]])</f>
        <v>1</v>
      </c>
      <c r="G252" s="2" t="str">
        <f>TEXT(Table1[[#This Row],[PurchaseDate]],"MMM")</f>
        <v>Jan</v>
      </c>
      <c r="H252">
        <v>4</v>
      </c>
      <c r="I252">
        <v>245.19</v>
      </c>
      <c r="J252" t="s">
        <v>518</v>
      </c>
      <c r="K252" t="s">
        <v>18</v>
      </c>
      <c r="L252" t="s">
        <v>19</v>
      </c>
      <c r="M252">
        <v>4</v>
      </c>
      <c r="N252">
        <v>980.76</v>
      </c>
    </row>
    <row r="253" spans="1:14" x14ac:dyDescent="0.3">
      <c r="A253" t="s">
        <v>519</v>
      </c>
      <c r="B253" t="s">
        <v>21</v>
      </c>
      <c r="C253" s="1">
        <v>45077</v>
      </c>
      <c r="D253" s="2">
        <f>YEAR(Table1[[#This Row],[PurchaseDate]])</f>
        <v>2023</v>
      </c>
      <c r="E253" s="2" t="str">
        <f>"Q"&amp;ROUNDUP(MONTH(Table1[[#This Row],[PurchaseDate]])/3,0)</f>
        <v>Q2</v>
      </c>
      <c r="F253" s="2">
        <f>MONTH(Table1[[#This Row],[PurchaseDate]])</f>
        <v>5</v>
      </c>
      <c r="G253" s="2" t="str">
        <f>TEXT(Table1[[#This Row],[PurchaseDate]],"MMM")</f>
        <v>May</v>
      </c>
      <c r="H253">
        <v>4</v>
      </c>
      <c r="I253">
        <v>254.64</v>
      </c>
      <c r="J253" t="s">
        <v>520</v>
      </c>
      <c r="K253" t="s">
        <v>13</v>
      </c>
      <c r="L253" t="s">
        <v>58</v>
      </c>
      <c r="M253">
        <v>5</v>
      </c>
      <c r="N253">
        <v>1018.56</v>
      </c>
    </row>
    <row r="254" spans="1:14" x14ac:dyDescent="0.3">
      <c r="A254" t="s">
        <v>521</v>
      </c>
      <c r="B254" t="s">
        <v>16</v>
      </c>
      <c r="C254" s="1">
        <v>45720</v>
      </c>
      <c r="D254" s="2">
        <f>YEAR(Table1[[#This Row],[PurchaseDate]])</f>
        <v>2025</v>
      </c>
      <c r="E254" s="2" t="str">
        <f>"Q"&amp;ROUNDUP(MONTH(Table1[[#This Row],[PurchaseDate]])/3,0)</f>
        <v>Q1</v>
      </c>
      <c r="F254" s="2">
        <f>MONTH(Table1[[#This Row],[PurchaseDate]])</f>
        <v>3</v>
      </c>
      <c r="G254" s="2" t="str">
        <f>TEXT(Table1[[#This Row],[PurchaseDate]],"MMM")</f>
        <v>Mar</v>
      </c>
      <c r="H254">
        <v>5</v>
      </c>
      <c r="I254">
        <v>416.21</v>
      </c>
      <c r="J254" t="s">
        <v>522</v>
      </c>
      <c r="K254" t="s">
        <v>18</v>
      </c>
      <c r="L254" t="s">
        <v>58</v>
      </c>
      <c r="M254">
        <v>1</v>
      </c>
      <c r="N254">
        <v>2081.0500000000002</v>
      </c>
    </row>
    <row r="255" spans="1:14" x14ac:dyDescent="0.3">
      <c r="A255" t="s">
        <v>523</v>
      </c>
      <c r="B255" t="s">
        <v>11</v>
      </c>
      <c r="C255" s="1">
        <v>45766</v>
      </c>
      <c r="D255" s="2">
        <f>YEAR(Table1[[#This Row],[PurchaseDate]])</f>
        <v>2025</v>
      </c>
      <c r="E255" s="2" t="str">
        <f>"Q"&amp;ROUNDUP(MONTH(Table1[[#This Row],[PurchaseDate]])/3,0)</f>
        <v>Q2</v>
      </c>
      <c r="F255" s="2">
        <f>MONTH(Table1[[#This Row],[PurchaseDate]])</f>
        <v>4</v>
      </c>
      <c r="G255" s="2" t="str">
        <f>TEXT(Table1[[#This Row],[PurchaseDate]],"MMM")</f>
        <v>Apr</v>
      </c>
      <c r="H255">
        <v>2</v>
      </c>
      <c r="I255">
        <v>472</v>
      </c>
      <c r="J255" t="s">
        <v>524</v>
      </c>
      <c r="K255" t="s">
        <v>38</v>
      </c>
      <c r="L255" t="s">
        <v>14</v>
      </c>
      <c r="M255">
        <v>2</v>
      </c>
      <c r="N255">
        <v>944</v>
      </c>
    </row>
    <row r="256" spans="1:14" x14ac:dyDescent="0.3">
      <c r="A256" t="s">
        <v>525</v>
      </c>
      <c r="B256" t="s">
        <v>34</v>
      </c>
      <c r="C256" s="1">
        <v>45205</v>
      </c>
      <c r="D256" s="2">
        <f>YEAR(Table1[[#This Row],[PurchaseDate]])</f>
        <v>2023</v>
      </c>
      <c r="E256" s="2" t="str">
        <f>"Q"&amp;ROUNDUP(MONTH(Table1[[#This Row],[PurchaseDate]])/3,0)</f>
        <v>Q4</v>
      </c>
      <c r="F256" s="2">
        <f>MONTH(Table1[[#This Row],[PurchaseDate]])</f>
        <v>10</v>
      </c>
      <c r="G256" s="2" t="str">
        <f>TEXT(Table1[[#This Row],[PurchaseDate]],"MMM")</f>
        <v>Oct</v>
      </c>
      <c r="H256">
        <v>1</v>
      </c>
      <c r="I256">
        <v>20.53</v>
      </c>
      <c r="J256" t="s">
        <v>526</v>
      </c>
      <c r="K256" t="s">
        <v>38</v>
      </c>
      <c r="L256" t="s">
        <v>19</v>
      </c>
      <c r="M256">
        <v>3</v>
      </c>
      <c r="N256">
        <v>20.53</v>
      </c>
    </row>
    <row r="257" spans="1:14" x14ac:dyDescent="0.3">
      <c r="A257" t="s">
        <v>527</v>
      </c>
      <c r="B257" t="s">
        <v>29</v>
      </c>
      <c r="C257" s="1">
        <v>44983</v>
      </c>
      <c r="D257" s="2">
        <f>YEAR(Table1[[#This Row],[PurchaseDate]])</f>
        <v>2023</v>
      </c>
      <c r="E257" s="2" t="str">
        <f>"Q"&amp;ROUNDUP(MONTH(Table1[[#This Row],[PurchaseDate]])/3,0)</f>
        <v>Q1</v>
      </c>
      <c r="F257" s="2">
        <f>MONTH(Table1[[#This Row],[PurchaseDate]])</f>
        <v>2</v>
      </c>
      <c r="G257" s="2" t="str">
        <f>TEXT(Table1[[#This Row],[PurchaseDate]],"MMM")</f>
        <v>Feb</v>
      </c>
      <c r="H257">
        <v>8</v>
      </c>
      <c r="I257">
        <v>152.88</v>
      </c>
      <c r="J257" t="s">
        <v>528</v>
      </c>
      <c r="K257" t="s">
        <v>38</v>
      </c>
      <c r="L257" t="s">
        <v>27</v>
      </c>
      <c r="M257">
        <v>3</v>
      </c>
      <c r="N257">
        <v>1223.04</v>
      </c>
    </row>
    <row r="258" spans="1:14" x14ac:dyDescent="0.3">
      <c r="A258" t="s">
        <v>529</v>
      </c>
      <c r="B258" t="s">
        <v>16</v>
      </c>
      <c r="C258" s="1">
        <v>45760</v>
      </c>
      <c r="D258" s="2">
        <f>YEAR(Table1[[#This Row],[PurchaseDate]])</f>
        <v>2025</v>
      </c>
      <c r="E258" s="2" t="str">
        <f>"Q"&amp;ROUNDUP(MONTH(Table1[[#This Row],[PurchaseDate]])/3,0)</f>
        <v>Q2</v>
      </c>
      <c r="F258" s="2">
        <f>MONTH(Table1[[#This Row],[PurchaseDate]])</f>
        <v>4</v>
      </c>
      <c r="G258" s="2" t="str">
        <f>TEXT(Table1[[#This Row],[PurchaseDate]],"MMM")</f>
        <v>Apr</v>
      </c>
      <c r="H258">
        <v>6</v>
      </c>
      <c r="I258">
        <v>203.83</v>
      </c>
      <c r="J258" t="s">
        <v>530</v>
      </c>
      <c r="K258" t="s">
        <v>18</v>
      </c>
      <c r="L258" t="s">
        <v>19</v>
      </c>
      <c r="M258">
        <v>4</v>
      </c>
      <c r="N258">
        <v>1222.98</v>
      </c>
    </row>
    <row r="259" spans="1:14" x14ac:dyDescent="0.3">
      <c r="A259" t="s">
        <v>531</v>
      </c>
      <c r="B259" t="s">
        <v>42</v>
      </c>
      <c r="C259" s="1">
        <v>45569</v>
      </c>
      <c r="D259" s="2">
        <f>YEAR(Table1[[#This Row],[PurchaseDate]])</f>
        <v>2024</v>
      </c>
      <c r="E259" s="2" t="str">
        <f>"Q"&amp;ROUNDUP(MONTH(Table1[[#This Row],[PurchaseDate]])/3,0)</f>
        <v>Q4</v>
      </c>
      <c r="F259" s="2">
        <f>MONTH(Table1[[#This Row],[PurchaseDate]])</f>
        <v>10</v>
      </c>
      <c r="G259" s="2" t="str">
        <f>TEXT(Table1[[#This Row],[PurchaseDate]],"MMM")</f>
        <v>Oct</v>
      </c>
      <c r="H259">
        <v>2</v>
      </c>
      <c r="I259">
        <v>350.19</v>
      </c>
      <c r="J259" t="s">
        <v>532</v>
      </c>
      <c r="K259" t="s">
        <v>18</v>
      </c>
      <c r="L259" t="s">
        <v>14</v>
      </c>
      <c r="M259">
        <v>2</v>
      </c>
      <c r="N259">
        <v>700.38</v>
      </c>
    </row>
    <row r="260" spans="1:14" x14ac:dyDescent="0.3">
      <c r="A260" t="s">
        <v>533</v>
      </c>
      <c r="B260" t="s">
        <v>34</v>
      </c>
      <c r="C260" s="1">
        <v>45643</v>
      </c>
      <c r="D260" s="2">
        <f>YEAR(Table1[[#This Row],[PurchaseDate]])</f>
        <v>2024</v>
      </c>
      <c r="E260" s="2" t="str">
        <f>"Q"&amp;ROUNDUP(MONTH(Table1[[#This Row],[PurchaseDate]])/3,0)</f>
        <v>Q4</v>
      </c>
      <c r="F260" s="2">
        <f>MONTH(Table1[[#This Row],[PurchaseDate]])</f>
        <v>12</v>
      </c>
      <c r="G260" s="2" t="str">
        <f>TEXT(Table1[[#This Row],[PurchaseDate]],"MMM")</f>
        <v>Dec</v>
      </c>
      <c r="H260">
        <v>6</v>
      </c>
      <c r="I260">
        <v>492.01</v>
      </c>
      <c r="J260" t="s">
        <v>534</v>
      </c>
      <c r="K260" t="s">
        <v>18</v>
      </c>
      <c r="L260" t="s">
        <v>14</v>
      </c>
      <c r="M260">
        <v>3</v>
      </c>
      <c r="N260">
        <v>2952.06</v>
      </c>
    </row>
    <row r="261" spans="1:14" x14ac:dyDescent="0.3">
      <c r="A261" t="s">
        <v>535</v>
      </c>
      <c r="B261" t="s">
        <v>21</v>
      </c>
      <c r="C261" s="1">
        <v>45091</v>
      </c>
      <c r="D261" s="2">
        <f>YEAR(Table1[[#This Row],[PurchaseDate]])</f>
        <v>2023</v>
      </c>
      <c r="E261" s="2" t="str">
        <f>"Q"&amp;ROUNDUP(MONTH(Table1[[#This Row],[PurchaseDate]])/3,0)</f>
        <v>Q2</v>
      </c>
      <c r="F261" s="2">
        <f>MONTH(Table1[[#This Row],[PurchaseDate]])</f>
        <v>6</v>
      </c>
      <c r="G261" s="2" t="str">
        <f>TEXT(Table1[[#This Row],[PurchaseDate]],"MMM")</f>
        <v>Jun</v>
      </c>
      <c r="H261">
        <v>5</v>
      </c>
      <c r="I261">
        <v>307.26</v>
      </c>
      <c r="J261" t="s">
        <v>536</v>
      </c>
      <c r="K261" t="s">
        <v>38</v>
      </c>
      <c r="L261" t="s">
        <v>23</v>
      </c>
      <c r="M261">
        <v>5</v>
      </c>
      <c r="N261">
        <v>1536.3</v>
      </c>
    </row>
    <row r="262" spans="1:14" x14ac:dyDescent="0.3">
      <c r="A262" t="s">
        <v>537</v>
      </c>
      <c r="B262" t="s">
        <v>16</v>
      </c>
      <c r="C262" s="1">
        <v>45811</v>
      </c>
      <c r="D262" s="2">
        <f>YEAR(Table1[[#This Row],[PurchaseDate]])</f>
        <v>2025</v>
      </c>
      <c r="E262" s="2" t="str">
        <f>"Q"&amp;ROUNDUP(MONTH(Table1[[#This Row],[PurchaseDate]])/3,0)</f>
        <v>Q2</v>
      </c>
      <c r="F262" s="2">
        <f>MONTH(Table1[[#This Row],[PurchaseDate]])</f>
        <v>6</v>
      </c>
      <c r="G262" s="2" t="str">
        <f>TEXT(Table1[[#This Row],[PurchaseDate]],"MMM")</f>
        <v>Jun</v>
      </c>
      <c r="H262">
        <v>3</v>
      </c>
      <c r="I262">
        <v>392.68</v>
      </c>
      <c r="J262" t="s">
        <v>538</v>
      </c>
      <c r="K262" t="s">
        <v>18</v>
      </c>
      <c r="L262" t="s">
        <v>58</v>
      </c>
      <c r="M262">
        <v>1</v>
      </c>
      <c r="N262">
        <v>1178.04</v>
      </c>
    </row>
    <row r="263" spans="1:14" x14ac:dyDescent="0.3">
      <c r="A263" t="s">
        <v>539</v>
      </c>
      <c r="B263" t="s">
        <v>29</v>
      </c>
      <c r="C263" s="1">
        <v>45760</v>
      </c>
      <c r="D263" s="2">
        <f>YEAR(Table1[[#This Row],[PurchaseDate]])</f>
        <v>2025</v>
      </c>
      <c r="E263" s="2" t="str">
        <f>"Q"&amp;ROUNDUP(MONTH(Table1[[#This Row],[PurchaseDate]])/3,0)</f>
        <v>Q2</v>
      </c>
      <c r="F263" s="2">
        <f>MONTH(Table1[[#This Row],[PurchaseDate]])</f>
        <v>4</v>
      </c>
      <c r="G263" s="2" t="str">
        <f>TEXT(Table1[[#This Row],[PurchaseDate]],"MMM")</f>
        <v>Apr</v>
      </c>
      <c r="H263">
        <v>6</v>
      </c>
      <c r="I263">
        <v>776.63</v>
      </c>
      <c r="J263" t="s">
        <v>540</v>
      </c>
      <c r="K263" t="s">
        <v>38</v>
      </c>
      <c r="L263" t="s">
        <v>58</v>
      </c>
      <c r="M263">
        <v>2</v>
      </c>
      <c r="N263">
        <v>4659.78</v>
      </c>
    </row>
    <row r="264" spans="1:14" x14ac:dyDescent="0.3">
      <c r="A264" t="s">
        <v>541</v>
      </c>
      <c r="B264" t="s">
        <v>21</v>
      </c>
      <c r="C264" s="1">
        <v>45798</v>
      </c>
      <c r="D264" s="2">
        <f>YEAR(Table1[[#This Row],[PurchaseDate]])</f>
        <v>2025</v>
      </c>
      <c r="E264" s="2" t="str">
        <f>"Q"&amp;ROUNDUP(MONTH(Table1[[#This Row],[PurchaseDate]])/3,0)</f>
        <v>Q2</v>
      </c>
      <c r="F264" s="2">
        <f>MONTH(Table1[[#This Row],[PurchaseDate]])</f>
        <v>5</v>
      </c>
      <c r="G264" s="2" t="str">
        <f>TEXT(Table1[[#This Row],[PurchaseDate]],"MMM")</f>
        <v>May</v>
      </c>
      <c r="H264">
        <v>4</v>
      </c>
      <c r="I264">
        <v>465.97</v>
      </c>
      <c r="J264" t="s">
        <v>542</v>
      </c>
      <c r="K264" t="s">
        <v>13</v>
      </c>
      <c r="L264" t="s">
        <v>23</v>
      </c>
      <c r="M264">
        <v>5</v>
      </c>
      <c r="N264">
        <v>1863.88</v>
      </c>
    </row>
    <row r="265" spans="1:14" x14ac:dyDescent="0.3">
      <c r="A265" t="s">
        <v>543</v>
      </c>
      <c r="B265" t="s">
        <v>42</v>
      </c>
      <c r="C265" s="1">
        <v>45676</v>
      </c>
      <c r="D265" s="2">
        <f>YEAR(Table1[[#This Row],[PurchaseDate]])</f>
        <v>2025</v>
      </c>
      <c r="E265" s="2" t="str">
        <f>"Q"&amp;ROUNDUP(MONTH(Table1[[#This Row],[PurchaseDate]])/3,0)</f>
        <v>Q1</v>
      </c>
      <c r="F265" s="2">
        <f>MONTH(Table1[[#This Row],[PurchaseDate]])</f>
        <v>1</v>
      </c>
      <c r="G265" s="2" t="str">
        <f>TEXT(Table1[[#This Row],[PurchaseDate]],"MMM")</f>
        <v>Jan</v>
      </c>
      <c r="H265">
        <v>6</v>
      </c>
      <c r="I265">
        <v>336.38</v>
      </c>
      <c r="J265" t="s">
        <v>544</v>
      </c>
      <c r="K265" t="s">
        <v>38</v>
      </c>
      <c r="L265" t="s">
        <v>19</v>
      </c>
      <c r="M265">
        <v>5</v>
      </c>
      <c r="N265">
        <v>2018.28</v>
      </c>
    </row>
    <row r="266" spans="1:14" x14ac:dyDescent="0.3">
      <c r="A266" t="s">
        <v>545</v>
      </c>
      <c r="B266" t="s">
        <v>29</v>
      </c>
      <c r="C266" s="1">
        <v>45826</v>
      </c>
      <c r="D266" s="2">
        <f>YEAR(Table1[[#This Row],[PurchaseDate]])</f>
        <v>2025</v>
      </c>
      <c r="E266" s="2" t="str">
        <f>"Q"&amp;ROUNDUP(MONTH(Table1[[#This Row],[PurchaseDate]])/3,0)</f>
        <v>Q2</v>
      </c>
      <c r="F266" s="2">
        <f>MONTH(Table1[[#This Row],[PurchaseDate]])</f>
        <v>6</v>
      </c>
      <c r="G266" s="2" t="str">
        <f>TEXT(Table1[[#This Row],[PurchaseDate]],"MMM")</f>
        <v>Jun</v>
      </c>
      <c r="H266">
        <v>7</v>
      </c>
      <c r="I266">
        <v>483.57</v>
      </c>
      <c r="J266" t="s">
        <v>546</v>
      </c>
      <c r="K266" t="s">
        <v>38</v>
      </c>
      <c r="L266" t="s">
        <v>27</v>
      </c>
      <c r="M266">
        <v>5</v>
      </c>
      <c r="N266">
        <v>3384.99</v>
      </c>
    </row>
    <row r="267" spans="1:14" x14ac:dyDescent="0.3">
      <c r="A267" t="s">
        <v>547</v>
      </c>
      <c r="B267" t="s">
        <v>29</v>
      </c>
      <c r="C267" s="1">
        <v>45703</v>
      </c>
      <c r="D267" s="2">
        <f>YEAR(Table1[[#This Row],[PurchaseDate]])</f>
        <v>2025</v>
      </c>
      <c r="E267" s="2" t="str">
        <f>"Q"&amp;ROUNDUP(MONTH(Table1[[#This Row],[PurchaseDate]])/3,0)</f>
        <v>Q1</v>
      </c>
      <c r="F267" s="2">
        <f>MONTH(Table1[[#This Row],[PurchaseDate]])</f>
        <v>2</v>
      </c>
      <c r="G267" s="2" t="str">
        <f>TEXT(Table1[[#This Row],[PurchaseDate]],"MMM")</f>
        <v>Feb</v>
      </c>
      <c r="H267">
        <v>4</v>
      </c>
      <c r="I267">
        <v>111.52</v>
      </c>
      <c r="J267" t="s">
        <v>548</v>
      </c>
      <c r="K267" t="s">
        <v>18</v>
      </c>
      <c r="L267" t="s">
        <v>19</v>
      </c>
      <c r="M267">
        <v>2</v>
      </c>
      <c r="N267">
        <v>446.08</v>
      </c>
    </row>
    <row r="268" spans="1:14" x14ac:dyDescent="0.3">
      <c r="A268" t="s">
        <v>549</v>
      </c>
      <c r="B268" t="s">
        <v>11</v>
      </c>
      <c r="C268" s="1">
        <v>45116</v>
      </c>
      <c r="D268" s="2">
        <f>YEAR(Table1[[#This Row],[PurchaseDate]])</f>
        <v>2023</v>
      </c>
      <c r="E268" s="2" t="str">
        <f>"Q"&amp;ROUNDUP(MONTH(Table1[[#This Row],[PurchaseDate]])/3,0)</f>
        <v>Q3</v>
      </c>
      <c r="F268" s="2">
        <f>MONTH(Table1[[#This Row],[PurchaseDate]])</f>
        <v>7</v>
      </c>
      <c r="G268" s="2" t="str">
        <f>TEXT(Table1[[#This Row],[PurchaseDate]],"MMM")</f>
        <v>Jul</v>
      </c>
      <c r="H268">
        <v>3</v>
      </c>
      <c r="I268">
        <v>234.3</v>
      </c>
      <c r="J268" t="s">
        <v>550</v>
      </c>
      <c r="K268" t="s">
        <v>13</v>
      </c>
      <c r="L268" t="s">
        <v>19</v>
      </c>
      <c r="M268">
        <v>2</v>
      </c>
      <c r="N268">
        <v>702.9</v>
      </c>
    </row>
    <row r="269" spans="1:14" x14ac:dyDescent="0.3">
      <c r="A269" t="s">
        <v>551</v>
      </c>
      <c r="B269" t="s">
        <v>25</v>
      </c>
      <c r="C269" s="1">
        <v>45423</v>
      </c>
      <c r="D269" s="2">
        <f>YEAR(Table1[[#This Row],[PurchaseDate]])</f>
        <v>2024</v>
      </c>
      <c r="E269" s="2" t="str">
        <f>"Q"&amp;ROUNDUP(MONTH(Table1[[#This Row],[PurchaseDate]])/3,0)</f>
        <v>Q2</v>
      </c>
      <c r="F269" s="2">
        <f>MONTH(Table1[[#This Row],[PurchaseDate]])</f>
        <v>5</v>
      </c>
      <c r="G269" s="2" t="str">
        <f>TEXT(Table1[[#This Row],[PurchaseDate]],"MMM")</f>
        <v>May</v>
      </c>
      <c r="H269">
        <v>3</v>
      </c>
      <c r="I269">
        <v>754.71</v>
      </c>
      <c r="J269" t="s">
        <v>552</v>
      </c>
      <c r="K269" t="s">
        <v>18</v>
      </c>
      <c r="L269" t="s">
        <v>23</v>
      </c>
      <c r="M269">
        <v>4</v>
      </c>
      <c r="N269">
        <v>2264.13</v>
      </c>
    </row>
    <row r="270" spans="1:14" x14ac:dyDescent="0.3">
      <c r="A270" t="s">
        <v>553</v>
      </c>
      <c r="B270" t="s">
        <v>16</v>
      </c>
      <c r="C270" s="1">
        <v>45361</v>
      </c>
      <c r="D270" s="2">
        <f>YEAR(Table1[[#This Row],[PurchaseDate]])</f>
        <v>2024</v>
      </c>
      <c r="E270" s="2" t="str">
        <f>"Q"&amp;ROUNDUP(MONTH(Table1[[#This Row],[PurchaseDate]])/3,0)</f>
        <v>Q1</v>
      </c>
      <c r="F270" s="2">
        <f>MONTH(Table1[[#This Row],[PurchaseDate]])</f>
        <v>3</v>
      </c>
      <c r="G270" s="2" t="str">
        <f>TEXT(Table1[[#This Row],[PurchaseDate]],"MMM")</f>
        <v>Mar</v>
      </c>
      <c r="H270">
        <v>1</v>
      </c>
      <c r="I270">
        <v>781.85</v>
      </c>
      <c r="J270" t="s">
        <v>554</v>
      </c>
      <c r="K270" t="s">
        <v>38</v>
      </c>
      <c r="L270" t="s">
        <v>58</v>
      </c>
      <c r="M270">
        <v>5</v>
      </c>
      <c r="N270">
        <v>781.85</v>
      </c>
    </row>
    <row r="271" spans="1:14" x14ac:dyDescent="0.3">
      <c r="A271" t="s">
        <v>555</v>
      </c>
      <c r="B271" t="s">
        <v>16</v>
      </c>
      <c r="C271" s="1">
        <v>45084</v>
      </c>
      <c r="D271" s="2">
        <f>YEAR(Table1[[#This Row],[PurchaseDate]])</f>
        <v>2023</v>
      </c>
      <c r="E271" s="2" t="str">
        <f>"Q"&amp;ROUNDUP(MONTH(Table1[[#This Row],[PurchaseDate]])/3,0)</f>
        <v>Q2</v>
      </c>
      <c r="F271" s="2">
        <f>MONTH(Table1[[#This Row],[PurchaseDate]])</f>
        <v>6</v>
      </c>
      <c r="G271" s="2" t="str">
        <f>TEXT(Table1[[#This Row],[PurchaseDate]],"MMM")</f>
        <v>Jun</v>
      </c>
      <c r="H271">
        <v>7</v>
      </c>
      <c r="I271">
        <v>34.85</v>
      </c>
      <c r="J271" t="s">
        <v>556</v>
      </c>
      <c r="K271" t="s">
        <v>13</v>
      </c>
      <c r="L271" t="s">
        <v>19</v>
      </c>
      <c r="M271">
        <v>3</v>
      </c>
      <c r="N271">
        <v>243.95</v>
      </c>
    </row>
    <row r="272" spans="1:14" x14ac:dyDescent="0.3">
      <c r="A272" t="s">
        <v>557</v>
      </c>
      <c r="B272" t="s">
        <v>34</v>
      </c>
      <c r="C272" s="1">
        <v>45220</v>
      </c>
      <c r="D272" s="2">
        <f>YEAR(Table1[[#This Row],[PurchaseDate]])</f>
        <v>2023</v>
      </c>
      <c r="E272" s="2" t="str">
        <f>"Q"&amp;ROUNDUP(MONTH(Table1[[#This Row],[PurchaseDate]])/3,0)</f>
        <v>Q4</v>
      </c>
      <c r="F272" s="2">
        <f>MONTH(Table1[[#This Row],[PurchaseDate]])</f>
        <v>10</v>
      </c>
      <c r="G272" s="2" t="str">
        <f>TEXT(Table1[[#This Row],[PurchaseDate]],"MMM")</f>
        <v>Oct</v>
      </c>
      <c r="H272">
        <v>4</v>
      </c>
      <c r="I272">
        <v>659.47</v>
      </c>
      <c r="J272" t="s">
        <v>558</v>
      </c>
      <c r="K272" t="s">
        <v>13</v>
      </c>
      <c r="L272" t="s">
        <v>27</v>
      </c>
      <c r="M272">
        <v>2</v>
      </c>
      <c r="N272">
        <v>2637.88</v>
      </c>
    </row>
    <row r="273" spans="1:14" x14ac:dyDescent="0.3">
      <c r="A273" t="s">
        <v>559</v>
      </c>
      <c r="B273" t="s">
        <v>21</v>
      </c>
      <c r="C273" s="1">
        <v>45019</v>
      </c>
      <c r="D273" s="2">
        <f>YEAR(Table1[[#This Row],[PurchaseDate]])</f>
        <v>2023</v>
      </c>
      <c r="E273" s="2" t="str">
        <f>"Q"&amp;ROUNDUP(MONTH(Table1[[#This Row],[PurchaseDate]])/3,0)</f>
        <v>Q2</v>
      </c>
      <c r="F273" s="2">
        <f>MONTH(Table1[[#This Row],[PurchaseDate]])</f>
        <v>4</v>
      </c>
      <c r="G273" s="2" t="str">
        <f>TEXT(Table1[[#This Row],[PurchaseDate]],"MMM")</f>
        <v>Apr</v>
      </c>
      <c r="H273">
        <v>5</v>
      </c>
      <c r="I273">
        <v>384.78</v>
      </c>
      <c r="J273" t="s">
        <v>560</v>
      </c>
      <c r="K273" t="s">
        <v>38</v>
      </c>
      <c r="L273" t="s">
        <v>58</v>
      </c>
      <c r="M273">
        <v>4</v>
      </c>
      <c r="N273">
        <v>1923.9</v>
      </c>
    </row>
    <row r="274" spans="1:14" x14ac:dyDescent="0.3">
      <c r="A274" t="s">
        <v>561</v>
      </c>
      <c r="B274" t="s">
        <v>21</v>
      </c>
      <c r="C274" s="1">
        <v>45661</v>
      </c>
      <c r="D274" s="2">
        <f>YEAR(Table1[[#This Row],[PurchaseDate]])</f>
        <v>2025</v>
      </c>
      <c r="E274" s="2" t="str">
        <f>"Q"&amp;ROUNDUP(MONTH(Table1[[#This Row],[PurchaseDate]])/3,0)</f>
        <v>Q1</v>
      </c>
      <c r="F274" s="2">
        <f>MONTH(Table1[[#This Row],[PurchaseDate]])</f>
        <v>1</v>
      </c>
      <c r="G274" s="2" t="str">
        <f>TEXT(Table1[[#This Row],[PurchaseDate]],"MMM")</f>
        <v>Jan</v>
      </c>
      <c r="H274">
        <v>3</v>
      </c>
      <c r="I274">
        <v>629.78</v>
      </c>
      <c r="J274" t="s">
        <v>562</v>
      </c>
      <c r="K274" t="s">
        <v>18</v>
      </c>
      <c r="L274" t="s">
        <v>14</v>
      </c>
      <c r="M274">
        <v>4</v>
      </c>
      <c r="N274">
        <v>1889.34</v>
      </c>
    </row>
    <row r="275" spans="1:14" x14ac:dyDescent="0.3">
      <c r="A275" t="s">
        <v>563</v>
      </c>
      <c r="B275" t="s">
        <v>21</v>
      </c>
      <c r="C275" s="1">
        <v>45282</v>
      </c>
      <c r="D275" s="2">
        <f>YEAR(Table1[[#This Row],[PurchaseDate]])</f>
        <v>2023</v>
      </c>
      <c r="E275" s="2" t="str">
        <f>"Q"&amp;ROUNDUP(MONTH(Table1[[#This Row],[PurchaseDate]])/3,0)</f>
        <v>Q4</v>
      </c>
      <c r="F275" s="2">
        <f>MONTH(Table1[[#This Row],[PurchaseDate]])</f>
        <v>12</v>
      </c>
      <c r="G275" s="2" t="str">
        <f>TEXT(Table1[[#This Row],[PurchaseDate]],"MMM")</f>
        <v>Dec</v>
      </c>
      <c r="H275">
        <v>7</v>
      </c>
      <c r="I275">
        <v>655.23</v>
      </c>
      <c r="J275" t="s">
        <v>564</v>
      </c>
      <c r="K275" t="s">
        <v>13</v>
      </c>
      <c r="L275" t="s">
        <v>58</v>
      </c>
      <c r="M275">
        <v>2</v>
      </c>
      <c r="N275">
        <v>4586.6099999999997</v>
      </c>
    </row>
    <row r="276" spans="1:14" x14ac:dyDescent="0.3">
      <c r="A276" t="s">
        <v>565</v>
      </c>
      <c r="B276" t="s">
        <v>21</v>
      </c>
      <c r="C276" s="1">
        <v>44971</v>
      </c>
      <c r="D276" s="2">
        <f>YEAR(Table1[[#This Row],[PurchaseDate]])</f>
        <v>2023</v>
      </c>
      <c r="E276" s="2" t="str">
        <f>"Q"&amp;ROUNDUP(MONTH(Table1[[#This Row],[PurchaseDate]])/3,0)</f>
        <v>Q1</v>
      </c>
      <c r="F276" s="2">
        <f>MONTH(Table1[[#This Row],[PurchaseDate]])</f>
        <v>2</v>
      </c>
      <c r="G276" s="2" t="str">
        <f>TEXT(Table1[[#This Row],[PurchaseDate]],"MMM")</f>
        <v>Feb</v>
      </c>
      <c r="H276">
        <v>6</v>
      </c>
      <c r="I276">
        <v>610.36</v>
      </c>
      <c r="J276" t="s">
        <v>566</v>
      </c>
      <c r="K276" t="s">
        <v>18</v>
      </c>
      <c r="L276" t="s">
        <v>23</v>
      </c>
      <c r="M276">
        <v>2</v>
      </c>
      <c r="N276">
        <v>3662.16</v>
      </c>
    </row>
    <row r="277" spans="1:14" x14ac:dyDescent="0.3">
      <c r="A277" t="s">
        <v>567</v>
      </c>
      <c r="B277" t="s">
        <v>11</v>
      </c>
      <c r="C277" s="1">
        <v>45141</v>
      </c>
      <c r="D277" s="2">
        <f>YEAR(Table1[[#This Row],[PurchaseDate]])</f>
        <v>2023</v>
      </c>
      <c r="E277" s="2" t="str">
        <f>"Q"&amp;ROUNDUP(MONTH(Table1[[#This Row],[PurchaseDate]])/3,0)</f>
        <v>Q3</v>
      </c>
      <c r="F277" s="2">
        <f>MONTH(Table1[[#This Row],[PurchaseDate]])</f>
        <v>8</v>
      </c>
      <c r="G277" s="2" t="str">
        <f>TEXT(Table1[[#This Row],[PurchaseDate]],"MMM")</f>
        <v>Aug</v>
      </c>
      <c r="H277">
        <v>4</v>
      </c>
      <c r="I277">
        <v>215.61</v>
      </c>
      <c r="J277" t="s">
        <v>568</v>
      </c>
      <c r="K277" t="s">
        <v>13</v>
      </c>
      <c r="L277" t="s">
        <v>27</v>
      </c>
      <c r="M277">
        <v>1</v>
      </c>
      <c r="N277">
        <v>862.44</v>
      </c>
    </row>
    <row r="278" spans="1:14" x14ac:dyDescent="0.3">
      <c r="A278" t="s">
        <v>569</v>
      </c>
      <c r="B278" t="s">
        <v>11</v>
      </c>
      <c r="C278" s="1">
        <v>45627</v>
      </c>
      <c r="D278" s="2">
        <f>YEAR(Table1[[#This Row],[PurchaseDate]])</f>
        <v>2024</v>
      </c>
      <c r="E278" s="2" t="str">
        <f>"Q"&amp;ROUNDUP(MONTH(Table1[[#This Row],[PurchaseDate]])/3,0)</f>
        <v>Q4</v>
      </c>
      <c r="F278" s="2">
        <f>MONTH(Table1[[#This Row],[PurchaseDate]])</f>
        <v>12</v>
      </c>
      <c r="G278" s="2" t="str">
        <f>TEXT(Table1[[#This Row],[PurchaseDate]],"MMM")</f>
        <v>Dec</v>
      </c>
      <c r="H278">
        <v>2</v>
      </c>
      <c r="I278">
        <v>311.39</v>
      </c>
      <c r="J278" t="s">
        <v>570</v>
      </c>
      <c r="K278" t="s">
        <v>38</v>
      </c>
      <c r="L278" t="s">
        <v>19</v>
      </c>
      <c r="M278">
        <v>3</v>
      </c>
      <c r="N278">
        <v>622.78</v>
      </c>
    </row>
    <row r="279" spans="1:14" x14ac:dyDescent="0.3">
      <c r="A279" t="s">
        <v>571</v>
      </c>
      <c r="B279" t="s">
        <v>16</v>
      </c>
      <c r="C279" s="1">
        <v>45486</v>
      </c>
      <c r="D279" s="2">
        <f>YEAR(Table1[[#This Row],[PurchaseDate]])</f>
        <v>2024</v>
      </c>
      <c r="E279" s="2" t="str">
        <f>"Q"&amp;ROUNDUP(MONTH(Table1[[#This Row],[PurchaseDate]])/3,0)</f>
        <v>Q3</v>
      </c>
      <c r="F279" s="2">
        <f>MONTH(Table1[[#This Row],[PurchaseDate]])</f>
        <v>7</v>
      </c>
      <c r="G279" s="2" t="str">
        <f>TEXT(Table1[[#This Row],[PurchaseDate]],"MMM")</f>
        <v>Jul</v>
      </c>
      <c r="H279">
        <v>2</v>
      </c>
      <c r="I279">
        <v>166.62</v>
      </c>
      <c r="J279" t="s">
        <v>572</v>
      </c>
      <c r="K279" t="s">
        <v>13</v>
      </c>
      <c r="L279" t="s">
        <v>19</v>
      </c>
      <c r="M279">
        <v>1</v>
      </c>
      <c r="N279">
        <v>333.24</v>
      </c>
    </row>
    <row r="280" spans="1:14" x14ac:dyDescent="0.3">
      <c r="A280" t="s">
        <v>573</v>
      </c>
      <c r="B280" t="s">
        <v>29</v>
      </c>
      <c r="C280" s="1">
        <v>45832</v>
      </c>
      <c r="D280" s="2">
        <f>YEAR(Table1[[#This Row],[PurchaseDate]])</f>
        <v>2025</v>
      </c>
      <c r="E280" s="2" t="str">
        <f>"Q"&amp;ROUNDUP(MONTH(Table1[[#This Row],[PurchaseDate]])/3,0)</f>
        <v>Q2</v>
      </c>
      <c r="F280" s="2">
        <f>MONTH(Table1[[#This Row],[PurchaseDate]])</f>
        <v>6</v>
      </c>
      <c r="G280" s="2" t="str">
        <f>TEXT(Table1[[#This Row],[PurchaseDate]],"MMM")</f>
        <v>Jun</v>
      </c>
      <c r="H280">
        <v>2</v>
      </c>
      <c r="I280">
        <v>330</v>
      </c>
      <c r="J280" t="s">
        <v>574</v>
      </c>
      <c r="K280" t="s">
        <v>13</v>
      </c>
      <c r="L280" t="s">
        <v>19</v>
      </c>
      <c r="M280">
        <v>2</v>
      </c>
      <c r="N280">
        <v>660</v>
      </c>
    </row>
    <row r="281" spans="1:14" x14ac:dyDescent="0.3">
      <c r="A281" t="s">
        <v>575</v>
      </c>
      <c r="B281" t="s">
        <v>42</v>
      </c>
      <c r="C281" s="1">
        <v>45742</v>
      </c>
      <c r="D281" s="2">
        <f>YEAR(Table1[[#This Row],[PurchaseDate]])</f>
        <v>2025</v>
      </c>
      <c r="E281" s="2" t="str">
        <f>"Q"&amp;ROUNDUP(MONTH(Table1[[#This Row],[PurchaseDate]])/3,0)</f>
        <v>Q1</v>
      </c>
      <c r="F281" s="2">
        <f>MONTH(Table1[[#This Row],[PurchaseDate]])</f>
        <v>3</v>
      </c>
      <c r="G281" s="2" t="str">
        <f>TEXT(Table1[[#This Row],[PurchaseDate]],"MMM")</f>
        <v>Mar</v>
      </c>
      <c r="H281">
        <v>5</v>
      </c>
      <c r="I281">
        <v>314.69</v>
      </c>
      <c r="J281" t="s">
        <v>576</v>
      </c>
      <c r="K281" t="s">
        <v>18</v>
      </c>
      <c r="L281" t="s">
        <v>19</v>
      </c>
      <c r="M281">
        <v>4</v>
      </c>
      <c r="N281">
        <v>1573.45</v>
      </c>
    </row>
    <row r="282" spans="1:14" x14ac:dyDescent="0.3">
      <c r="A282" t="s">
        <v>577</v>
      </c>
      <c r="B282" t="s">
        <v>21</v>
      </c>
      <c r="C282" s="1">
        <v>45500</v>
      </c>
      <c r="D282" s="2">
        <f>YEAR(Table1[[#This Row],[PurchaseDate]])</f>
        <v>2024</v>
      </c>
      <c r="E282" s="2" t="str">
        <f>"Q"&amp;ROUNDUP(MONTH(Table1[[#This Row],[PurchaseDate]])/3,0)</f>
        <v>Q3</v>
      </c>
      <c r="F282" s="2">
        <f>MONTH(Table1[[#This Row],[PurchaseDate]])</f>
        <v>7</v>
      </c>
      <c r="G282" s="2" t="str">
        <f>TEXT(Table1[[#This Row],[PurchaseDate]],"MMM")</f>
        <v>Jul</v>
      </c>
      <c r="H282">
        <v>2</v>
      </c>
      <c r="I282">
        <v>677.5</v>
      </c>
      <c r="J282" t="s">
        <v>578</v>
      </c>
      <c r="K282" t="s">
        <v>18</v>
      </c>
      <c r="L282" t="s">
        <v>23</v>
      </c>
      <c r="M282">
        <v>3</v>
      </c>
      <c r="N282">
        <v>1355</v>
      </c>
    </row>
    <row r="283" spans="1:14" x14ac:dyDescent="0.3">
      <c r="A283" t="s">
        <v>579</v>
      </c>
      <c r="B283" t="s">
        <v>11</v>
      </c>
      <c r="C283" s="1">
        <v>45625</v>
      </c>
      <c r="D283" s="2">
        <f>YEAR(Table1[[#This Row],[PurchaseDate]])</f>
        <v>2024</v>
      </c>
      <c r="E283" s="2" t="str">
        <f>"Q"&amp;ROUNDUP(MONTH(Table1[[#This Row],[PurchaseDate]])/3,0)</f>
        <v>Q4</v>
      </c>
      <c r="F283" s="2">
        <f>MONTH(Table1[[#This Row],[PurchaseDate]])</f>
        <v>11</v>
      </c>
      <c r="G283" s="2" t="str">
        <f>TEXT(Table1[[#This Row],[PurchaseDate]],"MMM")</f>
        <v>Nov</v>
      </c>
      <c r="H283">
        <v>6</v>
      </c>
      <c r="I283">
        <v>5.18</v>
      </c>
      <c r="J283" t="s">
        <v>580</v>
      </c>
      <c r="K283" t="s">
        <v>38</v>
      </c>
      <c r="L283" t="s">
        <v>14</v>
      </c>
      <c r="M283">
        <v>5</v>
      </c>
      <c r="N283">
        <v>31.08</v>
      </c>
    </row>
    <row r="284" spans="1:14" x14ac:dyDescent="0.3">
      <c r="A284" t="s">
        <v>581</v>
      </c>
      <c r="B284" t="s">
        <v>16</v>
      </c>
      <c r="C284" s="1">
        <v>45781</v>
      </c>
      <c r="D284" s="2">
        <f>YEAR(Table1[[#This Row],[PurchaseDate]])</f>
        <v>2025</v>
      </c>
      <c r="E284" s="2" t="str">
        <f>"Q"&amp;ROUNDUP(MONTH(Table1[[#This Row],[PurchaseDate]])/3,0)</f>
        <v>Q2</v>
      </c>
      <c r="F284" s="2">
        <f>MONTH(Table1[[#This Row],[PurchaseDate]])</f>
        <v>5</v>
      </c>
      <c r="G284" s="2" t="str">
        <f>TEXT(Table1[[#This Row],[PurchaseDate]],"MMM")</f>
        <v>May</v>
      </c>
      <c r="H284">
        <v>3</v>
      </c>
      <c r="I284">
        <v>671.86</v>
      </c>
      <c r="J284" t="s">
        <v>582</v>
      </c>
      <c r="K284" t="s">
        <v>18</v>
      </c>
      <c r="L284" t="s">
        <v>58</v>
      </c>
      <c r="M284">
        <v>1</v>
      </c>
      <c r="N284">
        <v>2015.58</v>
      </c>
    </row>
    <row r="285" spans="1:14" x14ac:dyDescent="0.3">
      <c r="A285" t="s">
        <v>583</v>
      </c>
      <c r="B285" t="s">
        <v>29</v>
      </c>
      <c r="C285" s="1">
        <v>45221</v>
      </c>
      <c r="D285" s="2">
        <f>YEAR(Table1[[#This Row],[PurchaseDate]])</f>
        <v>2023</v>
      </c>
      <c r="E285" s="2" t="str">
        <f>"Q"&amp;ROUNDUP(MONTH(Table1[[#This Row],[PurchaseDate]])/3,0)</f>
        <v>Q4</v>
      </c>
      <c r="F285" s="2">
        <f>MONTH(Table1[[#This Row],[PurchaseDate]])</f>
        <v>10</v>
      </c>
      <c r="G285" s="2" t="str">
        <f>TEXT(Table1[[#This Row],[PurchaseDate]],"MMM")</f>
        <v>Oct</v>
      </c>
      <c r="H285">
        <v>8</v>
      </c>
      <c r="I285">
        <v>209.16</v>
      </c>
      <c r="J285" t="s">
        <v>584</v>
      </c>
      <c r="K285" t="s">
        <v>13</v>
      </c>
      <c r="L285" t="s">
        <v>19</v>
      </c>
      <c r="M285">
        <v>3</v>
      </c>
      <c r="N285">
        <v>1673.28</v>
      </c>
    </row>
    <row r="286" spans="1:14" x14ac:dyDescent="0.3">
      <c r="A286" t="s">
        <v>585</v>
      </c>
      <c r="B286" t="s">
        <v>34</v>
      </c>
      <c r="C286" s="1">
        <v>44931</v>
      </c>
      <c r="D286" s="2">
        <f>YEAR(Table1[[#This Row],[PurchaseDate]])</f>
        <v>2023</v>
      </c>
      <c r="E286" s="2" t="str">
        <f>"Q"&amp;ROUNDUP(MONTH(Table1[[#This Row],[PurchaseDate]])/3,0)</f>
        <v>Q1</v>
      </c>
      <c r="F286" s="2">
        <f>MONTH(Table1[[#This Row],[PurchaseDate]])</f>
        <v>1</v>
      </c>
      <c r="G286" s="2" t="str">
        <f>TEXT(Table1[[#This Row],[PurchaseDate]],"MMM")</f>
        <v>Jan</v>
      </c>
      <c r="H286">
        <v>7</v>
      </c>
      <c r="I286">
        <v>128.59</v>
      </c>
      <c r="J286" t="s">
        <v>586</v>
      </c>
      <c r="K286" t="s">
        <v>38</v>
      </c>
      <c r="L286" t="s">
        <v>23</v>
      </c>
      <c r="M286">
        <v>3</v>
      </c>
      <c r="N286">
        <v>900.13</v>
      </c>
    </row>
    <row r="287" spans="1:14" x14ac:dyDescent="0.3">
      <c r="A287" t="s">
        <v>587</v>
      </c>
      <c r="B287" t="s">
        <v>11</v>
      </c>
      <c r="C287" s="1">
        <v>45086</v>
      </c>
      <c r="D287" s="2">
        <f>YEAR(Table1[[#This Row],[PurchaseDate]])</f>
        <v>2023</v>
      </c>
      <c r="E287" s="2" t="str">
        <f>"Q"&amp;ROUNDUP(MONTH(Table1[[#This Row],[PurchaseDate]])/3,0)</f>
        <v>Q2</v>
      </c>
      <c r="F287" s="2">
        <f>MONTH(Table1[[#This Row],[PurchaseDate]])</f>
        <v>6</v>
      </c>
      <c r="G287" s="2" t="str">
        <f>TEXT(Table1[[#This Row],[PurchaseDate]],"MMM")</f>
        <v>Jun</v>
      </c>
      <c r="H287">
        <v>4</v>
      </c>
      <c r="I287">
        <v>774.66</v>
      </c>
      <c r="J287" t="s">
        <v>588</v>
      </c>
      <c r="K287" t="s">
        <v>18</v>
      </c>
      <c r="L287" t="s">
        <v>58</v>
      </c>
      <c r="M287">
        <v>3</v>
      </c>
      <c r="N287">
        <v>3098.64</v>
      </c>
    </row>
    <row r="288" spans="1:14" x14ac:dyDescent="0.3">
      <c r="A288" t="s">
        <v>589</v>
      </c>
      <c r="B288" t="s">
        <v>42</v>
      </c>
      <c r="C288" s="1">
        <v>45337</v>
      </c>
      <c r="D288" s="2">
        <f>YEAR(Table1[[#This Row],[PurchaseDate]])</f>
        <v>2024</v>
      </c>
      <c r="E288" s="2" t="str">
        <f>"Q"&amp;ROUNDUP(MONTH(Table1[[#This Row],[PurchaseDate]])/3,0)</f>
        <v>Q1</v>
      </c>
      <c r="F288" s="2">
        <f>MONTH(Table1[[#This Row],[PurchaseDate]])</f>
        <v>2</v>
      </c>
      <c r="G288" s="2" t="str">
        <f>TEXT(Table1[[#This Row],[PurchaseDate]],"MMM")</f>
        <v>Feb</v>
      </c>
      <c r="H288">
        <v>7</v>
      </c>
      <c r="I288">
        <v>427.25</v>
      </c>
      <c r="J288" t="s">
        <v>590</v>
      </c>
      <c r="K288" t="s">
        <v>18</v>
      </c>
      <c r="L288" t="s">
        <v>14</v>
      </c>
      <c r="M288">
        <v>5</v>
      </c>
      <c r="N288">
        <v>2990.75</v>
      </c>
    </row>
    <row r="289" spans="1:14" x14ac:dyDescent="0.3">
      <c r="A289" t="s">
        <v>591</v>
      </c>
      <c r="B289" t="s">
        <v>34</v>
      </c>
      <c r="C289" s="1">
        <v>45388</v>
      </c>
      <c r="D289" s="2">
        <f>YEAR(Table1[[#This Row],[PurchaseDate]])</f>
        <v>2024</v>
      </c>
      <c r="E289" s="2" t="str">
        <f>"Q"&amp;ROUNDUP(MONTH(Table1[[#This Row],[PurchaseDate]])/3,0)</f>
        <v>Q2</v>
      </c>
      <c r="F289" s="2">
        <f>MONTH(Table1[[#This Row],[PurchaseDate]])</f>
        <v>4</v>
      </c>
      <c r="G289" s="2" t="str">
        <f>TEXT(Table1[[#This Row],[PurchaseDate]],"MMM")</f>
        <v>Apr</v>
      </c>
      <c r="H289">
        <v>3</v>
      </c>
      <c r="I289">
        <v>93.76</v>
      </c>
      <c r="J289" t="s">
        <v>592</v>
      </c>
      <c r="K289" t="s">
        <v>18</v>
      </c>
      <c r="L289" t="s">
        <v>19</v>
      </c>
      <c r="M289">
        <v>1</v>
      </c>
      <c r="N289">
        <v>281.27999999999997</v>
      </c>
    </row>
    <row r="290" spans="1:14" x14ac:dyDescent="0.3">
      <c r="A290" t="s">
        <v>593</v>
      </c>
      <c r="B290" t="s">
        <v>34</v>
      </c>
      <c r="C290" s="1">
        <v>45019</v>
      </c>
      <c r="D290" s="2">
        <f>YEAR(Table1[[#This Row],[PurchaseDate]])</f>
        <v>2023</v>
      </c>
      <c r="E290" s="2" t="str">
        <f>"Q"&amp;ROUNDUP(MONTH(Table1[[#This Row],[PurchaseDate]])/3,0)</f>
        <v>Q2</v>
      </c>
      <c r="F290" s="2">
        <f>MONTH(Table1[[#This Row],[PurchaseDate]])</f>
        <v>4</v>
      </c>
      <c r="G290" s="2" t="str">
        <f>TEXT(Table1[[#This Row],[PurchaseDate]],"MMM")</f>
        <v>Apr</v>
      </c>
      <c r="H290">
        <v>6</v>
      </c>
      <c r="I290">
        <v>295.93</v>
      </c>
      <c r="J290" t="s">
        <v>594</v>
      </c>
      <c r="K290" t="s">
        <v>13</v>
      </c>
      <c r="L290" t="s">
        <v>58</v>
      </c>
      <c r="M290">
        <v>2</v>
      </c>
      <c r="N290">
        <v>1775.58</v>
      </c>
    </row>
    <row r="291" spans="1:14" x14ac:dyDescent="0.3">
      <c r="A291" t="s">
        <v>595</v>
      </c>
      <c r="B291" t="s">
        <v>42</v>
      </c>
      <c r="C291" s="1">
        <v>45003</v>
      </c>
      <c r="D291" s="2">
        <f>YEAR(Table1[[#This Row],[PurchaseDate]])</f>
        <v>2023</v>
      </c>
      <c r="E291" s="2" t="str">
        <f>"Q"&amp;ROUNDUP(MONTH(Table1[[#This Row],[PurchaseDate]])/3,0)</f>
        <v>Q1</v>
      </c>
      <c r="F291" s="2">
        <f>MONTH(Table1[[#This Row],[PurchaseDate]])</f>
        <v>3</v>
      </c>
      <c r="G291" s="2" t="str">
        <f>TEXT(Table1[[#This Row],[PurchaseDate]],"MMM")</f>
        <v>Mar</v>
      </c>
      <c r="H291">
        <v>7</v>
      </c>
      <c r="I291">
        <v>253.64</v>
      </c>
      <c r="J291" t="s">
        <v>596</v>
      </c>
      <c r="K291" t="s">
        <v>13</v>
      </c>
      <c r="L291" t="s">
        <v>23</v>
      </c>
      <c r="M291">
        <v>1</v>
      </c>
      <c r="N291">
        <v>1775.48</v>
      </c>
    </row>
    <row r="292" spans="1:14" x14ac:dyDescent="0.3">
      <c r="A292" t="s">
        <v>597</v>
      </c>
      <c r="B292" t="s">
        <v>42</v>
      </c>
      <c r="C292" s="1">
        <v>45598</v>
      </c>
      <c r="D292" s="2">
        <f>YEAR(Table1[[#This Row],[PurchaseDate]])</f>
        <v>2024</v>
      </c>
      <c r="E292" s="2" t="str">
        <f>"Q"&amp;ROUNDUP(MONTH(Table1[[#This Row],[PurchaseDate]])/3,0)</f>
        <v>Q4</v>
      </c>
      <c r="F292" s="2">
        <f>MONTH(Table1[[#This Row],[PurchaseDate]])</f>
        <v>11</v>
      </c>
      <c r="G292" s="2" t="str">
        <f>TEXT(Table1[[#This Row],[PurchaseDate]],"MMM")</f>
        <v>Nov</v>
      </c>
      <c r="H292">
        <v>7</v>
      </c>
      <c r="I292">
        <v>89.56</v>
      </c>
      <c r="J292" t="s">
        <v>598</v>
      </c>
      <c r="K292" t="s">
        <v>38</v>
      </c>
      <c r="L292" t="s">
        <v>14</v>
      </c>
      <c r="M292">
        <v>3</v>
      </c>
      <c r="N292">
        <v>626.91999999999996</v>
      </c>
    </row>
    <row r="293" spans="1:14" x14ac:dyDescent="0.3">
      <c r="A293" t="s">
        <v>599</v>
      </c>
      <c r="B293" t="s">
        <v>16</v>
      </c>
      <c r="C293" s="1">
        <v>45648</v>
      </c>
      <c r="D293" s="2">
        <f>YEAR(Table1[[#This Row],[PurchaseDate]])</f>
        <v>2024</v>
      </c>
      <c r="E293" s="2" t="str">
        <f>"Q"&amp;ROUNDUP(MONTH(Table1[[#This Row],[PurchaseDate]])/3,0)</f>
        <v>Q4</v>
      </c>
      <c r="F293" s="2">
        <f>MONTH(Table1[[#This Row],[PurchaseDate]])</f>
        <v>12</v>
      </c>
      <c r="G293" s="2" t="str">
        <f>TEXT(Table1[[#This Row],[PurchaseDate]],"MMM")</f>
        <v>Dec</v>
      </c>
      <c r="H293">
        <v>7</v>
      </c>
      <c r="I293">
        <v>247.21</v>
      </c>
      <c r="J293" t="s">
        <v>600</v>
      </c>
      <c r="K293" t="s">
        <v>18</v>
      </c>
      <c r="L293" t="s">
        <v>58</v>
      </c>
      <c r="M293">
        <v>2</v>
      </c>
      <c r="N293">
        <v>1730.47</v>
      </c>
    </row>
    <row r="294" spans="1:14" x14ac:dyDescent="0.3">
      <c r="A294" t="s">
        <v>601</v>
      </c>
      <c r="B294" t="s">
        <v>29</v>
      </c>
      <c r="C294" s="1">
        <v>45666</v>
      </c>
      <c r="D294" s="2">
        <f>YEAR(Table1[[#This Row],[PurchaseDate]])</f>
        <v>2025</v>
      </c>
      <c r="E294" s="2" t="str">
        <f>"Q"&amp;ROUNDUP(MONTH(Table1[[#This Row],[PurchaseDate]])/3,0)</f>
        <v>Q1</v>
      </c>
      <c r="F294" s="2">
        <f>MONTH(Table1[[#This Row],[PurchaseDate]])</f>
        <v>1</v>
      </c>
      <c r="G294" s="2" t="str">
        <f>TEXT(Table1[[#This Row],[PurchaseDate]],"MMM")</f>
        <v>Jan</v>
      </c>
      <c r="H294">
        <v>6</v>
      </c>
      <c r="I294">
        <v>137.78</v>
      </c>
      <c r="J294" t="s">
        <v>602</v>
      </c>
      <c r="K294" t="s">
        <v>13</v>
      </c>
      <c r="L294" t="s">
        <v>27</v>
      </c>
      <c r="M294">
        <v>3</v>
      </c>
      <c r="N294">
        <v>826.68</v>
      </c>
    </row>
    <row r="295" spans="1:14" x14ac:dyDescent="0.3">
      <c r="A295" t="s">
        <v>603</v>
      </c>
      <c r="B295" t="s">
        <v>16</v>
      </c>
      <c r="C295" s="1">
        <v>45598</v>
      </c>
      <c r="D295" s="2">
        <f>YEAR(Table1[[#This Row],[PurchaseDate]])</f>
        <v>2024</v>
      </c>
      <c r="E295" s="2" t="str">
        <f>"Q"&amp;ROUNDUP(MONTH(Table1[[#This Row],[PurchaseDate]])/3,0)</f>
        <v>Q4</v>
      </c>
      <c r="F295" s="2">
        <f>MONTH(Table1[[#This Row],[PurchaseDate]])</f>
        <v>11</v>
      </c>
      <c r="G295" s="2" t="str">
        <f>TEXT(Table1[[#This Row],[PurchaseDate]],"MMM")</f>
        <v>Nov</v>
      </c>
      <c r="H295">
        <v>3</v>
      </c>
      <c r="I295">
        <v>639.79</v>
      </c>
      <c r="J295" t="s">
        <v>604</v>
      </c>
      <c r="K295" t="s">
        <v>13</v>
      </c>
      <c r="L295" t="s">
        <v>58</v>
      </c>
      <c r="M295">
        <v>4</v>
      </c>
      <c r="N295">
        <v>1919.37</v>
      </c>
    </row>
    <row r="296" spans="1:14" x14ac:dyDescent="0.3">
      <c r="A296" t="s">
        <v>605</v>
      </c>
      <c r="B296" t="s">
        <v>11</v>
      </c>
      <c r="C296" s="1">
        <v>45672</v>
      </c>
      <c r="D296" s="2">
        <f>YEAR(Table1[[#This Row],[PurchaseDate]])</f>
        <v>2025</v>
      </c>
      <c r="E296" s="2" t="str">
        <f>"Q"&amp;ROUNDUP(MONTH(Table1[[#This Row],[PurchaseDate]])/3,0)</f>
        <v>Q1</v>
      </c>
      <c r="F296" s="2">
        <f>MONTH(Table1[[#This Row],[PurchaseDate]])</f>
        <v>1</v>
      </c>
      <c r="G296" s="2" t="str">
        <f>TEXT(Table1[[#This Row],[PurchaseDate]],"MMM")</f>
        <v>Jan</v>
      </c>
      <c r="H296">
        <v>4</v>
      </c>
      <c r="I296">
        <v>174.83</v>
      </c>
      <c r="J296" t="s">
        <v>606</v>
      </c>
      <c r="K296" t="s">
        <v>38</v>
      </c>
      <c r="L296" t="s">
        <v>27</v>
      </c>
      <c r="M296">
        <v>1</v>
      </c>
      <c r="N296">
        <v>699.32</v>
      </c>
    </row>
    <row r="297" spans="1:14" x14ac:dyDescent="0.3">
      <c r="A297" t="s">
        <v>607</v>
      </c>
      <c r="B297" t="s">
        <v>29</v>
      </c>
      <c r="C297" s="1">
        <v>45380</v>
      </c>
      <c r="D297" s="2">
        <f>YEAR(Table1[[#This Row],[PurchaseDate]])</f>
        <v>2024</v>
      </c>
      <c r="E297" s="2" t="str">
        <f>"Q"&amp;ROUNDUP(MONTH(Table1[[#This Row],[PurchaseDate]])/3,0)</f>
        <v>Q1</v>
      </c>
      <c r="F297" s="2">
        <f>MONTH(Table1[[#This Row],[PurchaseDate]])</f>
        <v>3</v>
      </c>
      <c r="G297" s="2" t="str">
        <f>TEXT(Table1[[#This Row],[PurchaseDate]],"MMM")</f>
        <v>Mar</v>
      </c>
      <c r="H297">
        <v>4</v>
      </c>
      <c r="I297">
        <v>202.97</v>
      </c>
      <c r="J297" t="s">
        <v>608</v>
      </c>
      <c r="K297" t="s">
        <v>13</v>
      </c>
      <c r="L297" t="s">
        <v>58</v>
      </c>
      <c r="M297">
        <v>2</v>
      </c>
      <c r="N297">
        <v>811.88</v>
      </c>
    </row>
    <row r="298" spans="1:14" x14ac:dyDescent="0.3">
      <c r="A298" t="s">
        <v>609</v>
      </c>
      <c r="B298" t="s">
        <v>25</v>
      </c>
      <c r="C298" s="1">
        <v>45287</v>
      </c>
      <c r="D298" s="2">
        <f>YEAR(Table1[[#This Row],[PurchaseDate]])</f>
        <v>2023</v>
      </c>
      <c r="E298" s="2" t="str">
        <f>"Q"&amp;ROUNDUP(MONTH(Table1[[#This Row],[PurchaseDate]])/3,0)</f>
        <v>Q4</v>
      </c>
      <c r="F298" s="2">
        <f>MONTH(Table1[[#This Row],[PurchaseDate]])</f>
        <v>12</v>
      </c>
      <c r="G298" s="2" t="str">
        <f>TEXT(Table1[[#This Row],[PurchaseDate]],"MMM")</f>
        <v>Dec</v>
      </c>
      <c r="H298">
        <v>4</v>
      </c>
      <c r="I298">
        <v>384.27</v>
      </c>
      <c r="J298" t="s">
        <v>610</v>
      </c>
      <c r="K298" t="s">
        <v>13</v>
      </c>
      <c r="L298" t="s">
        <v>27</v>
      </c>
      <c r="M298">
        <v>1</v>
      </c>
      <c r="N298">
        <v>1537.08</v>
      </c>
    </row>
    <row r="299" spans="1:14" x14ac:dyDescent="0.3">
      <c r="A299" t="s">
        <v>611</v>
      </c>
      <c r="B299" t="s">
        <v>29</v>
      </c>
      <c r="C299" s="1">
        <v>45028</v>
      </c>
      <c r="D299" s="2">
        <f>YEAR(Table1[[#This Row],[PurchaseDate]])</f>
        <v>2023</v>
      </c>
      <c r="E299" s="2" t="str">
        <f>"Q"&amp;ROUNDUP(MONTH(Table1[[#This Row],[PurchaseDate]])/3,0)</f>
        <v>Q2</v>
      </c>
      <c r="F299" s="2">
        <f>MONTH(Table1[[#This Row],[PurchaseDate]])</f>
        <v>4</v>
      </c>
      <c r="G299" s="2" t="str">
        <f>TEXT(Table1[[#This Row],[PurchaseDate]],"MMM")</f>
        <v>Apr</v>
      </c>
      <c r="H299">
        <v>5</v>
      </c>
      <c r="I299">
        <v>62.8</v>
      </c>
      <c r="J299" t="s">
        <v>612</v>
      </c>
      <c r="K299" t="s">
        <v>13</v>
      </c>
      <c r="L299" t="s">
        <v>14</v>
      </c>
      <c r="M299">
        <v>2</v>
      </c>
      <c r="N299">
        <v>314</v>
      </c>
    </row>
    <row r="300" spans="1:14" x14ac:dyDescent="0.3">
      <c r="A300" t="s">
        <v>613</v>
      </c>
      <c r="B300" t="s">
        <v>16</v>
      </c>
      <c r="C300" s="1">
        <v>45083</v>
      </c>
      <c r="D300" s="2">
        <f>YEAR(Table1[[#This Row],[PurchaseDate]])</f>
        <v>2023</v>
      </c>
      <c r="E300" s="2" t="str">
        <f>"Q"&amp;ROUNDUP(MONTH(Table1[[#This Row],[PurchaseDate]])/3,0)</f>
        <v>Q2</v>
      </c>
      <c r="F300" s="2">
        <f>MONTH(Table1[[#This Row],[PurchaseDate]])</f>
        <v>6</v>
      </c>
      <c r="G300" s="2" t="str">
        <f>TEXT(Table1[[#This Row],[PurchaseDate]],"MMM")</f>
        <v>Jun</v>
      </c>
      <c r="H300">
        <v>8</v>
      </c>
      <c r="I300">
        <v>39.49</v>
      </c>
      <c r="J300" t="s">
        <v>614</v>
      </c>
      <c r="K300" t="s">
        <v>38</v>
      </c>
      <c r="L300" t="s">
        <v>58</v>
      </c>
      <c r="M300">
        <v>2</v>
      </c>
      <c r="N300">
        <v>315.92</v>
      </c>
    </row>
    <row r="301" spans="1:14" x14ac:dyDescent="0.3">
      <c r="A301" t="s">
        <v>615</v>
      </c>
      <c r="B301" t="s">
        <v>34</v>
      </c>
      <c r="C301" s="1">
        <v>45390</v>
      </c>
      <c r="D301" s="2">
        <f>YEAR(Table1[[#This Row],[PurchaseDate]])</f>
        <v>2024</v>
      </c>
      <c r="E301" s="2" t="str">
        <f>"Q"&amp;ROUNDUP(MONTH(Table1[[#This Row],[PurchaseDate]])/3,0)</f>
        <v>Q2</v>
      </c>
      <c r="F301" s="2">
        <f>MONTH(Table1[[#This Row],[PurchaseDate]])</f>
        <v>4</v>
      </c>
      <c r="G301" s="2" t="str">
        <f>TEXT(Table1[[#This Row],[PurchaseDate]],"MMM")</f>
        <v>Apr</v>
      </c>
      <c r="H301">
        <v>2</v>
      </c>
      <c r="I301">
        <v>775.78</v>
      </c>
      <c r="J301" t="s">
        <v>616</v>
      </c>
      <c r="K301" t="s">
        <v>18</v>
      </c>
      <c r="L301" t="s">
        <v>19</v>
      </c>
      <c r="M301">
        <v>2</v>
      </c>
      <c r="N301">
        <v>1551.56</v>
      </c>
    </row>
    <row r="302" spans="1:14" x14ac:dyDescent="0.3">
      <c r="A302" t="s">
        <v>617</v>
      </c>
      <c r="B302" t="s">
        <v>34</v>
      </c>
      <c r="C302" s="1">
        <v>45577</v>
      </c>
      <c r="D302" s="2">
        <f>YEAR(Table1[[#This Row],[PurchaseDate]])</f>
        <v>2024</v>
      </c>
      <c r="E302" s="2" t="str">
        <f>"Q"&amp;ROUNDUP(MONTH(Table1[[#This Row],[PurchaseDate]])/3,0)</f>
        <v>Q4</v>
      </c>
      <c r="F302" s="2">
        <f>MONTH(Table1[[#This Row],[PurchaseDate]])</f>
        <v>10</v>
      </c>
      <c r="G302" s="2" t="str">
        <f>TEXT(Table1[[#This Row],[PurchaseDate]],"MMM")</f>
        <v>Oct</v>
      </c>
      <c r="H302">
        <v>4</v>
      </c>
      <c r="I302">
        <v>609.05999999999995</v>
      </c>
      <c r="J302" t="s">
        <v>618</v>
      </c>
      <c r="K302" t="s">
        <v>38</v>
      </c>
      <c r="L302" t="s">
        <v>23</v>
      </c>
      <c r="M302">
        <v>1</v>
      </c>
      <c r="N302">
        <v>2436.2399999999998</v>
      </c>
    </row>
    <row r="303" spans="1:14" x14ac:dyDescent="0.3">
      <c r="A303" t="s">
        <v>46</v>
      </c>
      <c r="B303" t="s">
        <v>42</v>
      </c>
      <c r="C303" s="1">
        <v>45323</v>
      </c>
      <c r="D303" s="2">
        <f>YEAR(Table1[[#This Row],[PurchaseDate]])</f>
        <v>2024</v>
      </c>
      <c r="E303" s="2" t="str">
        <f>"Q"&amp;ROUNDUP(MONTH(Table1[[#This Row],[PurchaseDate]])/3,0)</f>
        <v>Q1</v>
      </c>
      <c r="F303" s="2">
        <f>MONTH(Table1[[#This Row],[PurchaseDate]])</f>
        <v>2</v>
      </c>
      <c r="G303" s="2" t="str">
        <f>TEXT(Table1[[#This Row],[PurchaseDate]],"MMM")</f>
        <v>Feb</v>
      </c>
      <c r="H303">
        <v>6</v>
      </c>
      <c r="I303">
        <v>562.65</v>
      </c>
      <c r="J303" t="s">
        <v>47</v>
      </c>
      <c r="K303" t="s">
        <v>38</v>
      </c>
      <c r="L303" t="s">
        <v>19</v>
      </c>
      <c r="M303">
        <v>5</v>
      </c>
      <c r="N303">
        <v>3375.9</v>
      </c>
    </row>
    <row r="304" spans="1:14" x14ac:dyDescent="0.3">
      <c r="A304" t="s">
        <v>619</v>
      </c>
      <c r="B304" t="s">
        <v>29</v>
      </c>
      <c r="C304" s="1">
        <v>45264</v>
      </c>
      <c r="D304" s="2">
        <f>YEAR(Table1[[#This Row],[PurchaseDate]])</f>
        <v>2023</v>
      </c>
      <c r="E304" s="2" t="str">
        <f>"Q"&amp;ROUNDUP(MONTH(Table1[[#This Row],[PurchaseDate]])/3,0)</f>
        <v>Q4</v>
      </c>
      <c r="F304" s="2">
        <f>MONTH(Table1[[#This Row],[PurchaseDate]])</f>
        <v>12</v>
      </c>
      <c r="G304" s="2" t="str">
        <f>TEXT(Table1[[#This Row],[PurchaseDate]],"MMM")</f>
        <v>Dec</v>
      </c>
      <c r="H304">
        <v>6</v>
      </c>
      <c r="I304">
        <v>462</v>
      </c>
      <c r="J304" t="s">
        <v>620</v>
      </c>
      <c r="K304" t="s">
        <v>38</v>
      </c>
      <c r="L304" t="s">
        <v>14</v>
      </c>
      <c r="M304">
        <v>3</v>
      </c>
      <c r="N304">
        <v>2772</v>
      </c>
    </row>
    <row r="305" spans="1:14" x14ac:dyDescent="0.3">
      <c r="A305" t="s">
        <v>621</v>
      </c>
      <c r="B305" t="s">
        <v>21</v>
      </c>
      <c r="C305" s="1">
        <v>45438</v>
      </c>
      <c r="D305" s="2">
        <f>YEAR(Table1[[#This Row],[PurchaseDate]])</f>
        <v>2024</v>
      </c>
      <c r="E305" s="2" t="str">
        <f>"Q"&amp;ROUNDUP(MONTH(Table1[[#This Row],[PurchaseDate]])/3,0)</f>
        <v>Q2</v>
      </c>
      <c r="F305" s="2">
        <f>MONTH(Table1[[#This Row],[PurchaseDate]])</f>
        <v>5</v>
      </c>
      <c r="G305" s="2" t="str">
        <f>TEXT(Table1[[#This Row],[PurchaseDate]],"MMM")</f>
        <v>May</v>
      </c>
      <c r="H305">
        <v>5</v>
      </c>
      <c r="I305">
        <v>84.16</v>
      </c>
      <c r="J305" t="s">
        <v>622</v>
      </c>
      <c r="K305" t="s">
        <v>13</v>
      </c>
      <c r="L305" t="s">
        <v>19</v>
      </c>
      <c r="M305">
        <v>2</v>
      </c>
      <c r="N305">
        <v>420.8</v>
      </c>
    </row>
    <row r="306" spans="1:14" x14ac:dyDescent="0.3">
      <c r="A306" t="s">
        <v>623</v>
      </c>
      <c r="B306" t="s">
        <v>34</v>
      </c>
      <c r="C306" s="1">
        <v>45761</v>
      </c>
      <c r="D306" s="2">
        <f>YEAR(Table1[[#This Row],[PurchaseDate]])</f>
        <v>2025</v>
      </c>
      <c r="E306" s="2" t="str">
        <f>"Q"&amp;ROUNDUP(MONTH(Table1[[#This Row],[PurchaseDate]])/3,0)</f>
        <v>Q2</v>
      </c>
      <c r="F306" s="2">
        <f>MONTH(Table1[[#This Row],[PurchaseDate]])</f>
        <v>4</v>
      </c>
      <c r="G306" s="2" t="str">
        <f>TEXT(Table1[[#This Row],[PurchaseDate]],"MMM")</f>
        <v>Apr</v>
      </c>
      <c r="H306">
        <v>8</v>
      </c>
      <c r="I306">
        <v>505.48</v>
      </c>
      <c r="J306" t="s">
        <v>624</v>
      </c>
      <c r="K306" t="s">
        <v>13</v>
      </c>
      <c r="L306" t="s">
        <v>14</v>
      </c>
      <c r="M306">
        <v>4</v>
      </c>
      <c r="N306">
        <v>4043.84</v>
      </c>
    </row>
    <row r="307" spans="1:14" x14ac:dyDescent="0.3">
      <c r="A307" t="s">
        <v>625</v>
      </c>
      <c r="B307" t="s">
        <v>25</v>
      </c>
      <c r="C307" s="1">
        <v>45566</v>
      </c>
      <c r="D307" s="2">
        <f>YEAR(Table1[[#This Row],[PurchaseDate]])</f>
        <v>2024</v>
      </c>
      <c r="E307" s="2" t="str">
        <f>"Q"&amp;ROUNDUP(MONTH(Table1[[#This Row],[PurchaseDate]])/3,0)</f>
        <v>Q4</v>
      </c>
      <c r="F307" s="2">
        <f>MONTH(Table1[[#This Row],[PurchaseDate]])</f>
        <v>10</v>
      </c>
      <c r="G307" s="2" t="str">
        <f>TEXT(Table1[[#This Row],[PurchaseDate]],"MMM")</f>
        <v>Oct</v>
      </c>
      <c r="H307">
        <v>1</v>
      </c>
      <c r="I307">
        <v>559.53</v>
      </c>
      <c r="J307" t="s">
        <v>626</v>
      </c>
      <c r="K307" t="s">
        <v>38</v>
      </c>
      <c r="L307" t="s">
        <v>23</v>
      </c>
      <c r="M307">
        <v>3</v>
      </c>
      <c r="N307">
        <v>559.53</v>
      </c>
    </row>
    <row r="308" spans="1:14" x14ac:dyDescent="0.3">
      <c r="A308" t="s">
        <v>627</v>
      </c>
      <c r="B308" t="s">
        <v>16</v>
      </c>
      <c r="C308" s="1">
        <v>44984</v>
      </c>
      <c r="D308" s="2">
        <f>YEAR(Table1[[#This Row],[PurchaseDate]])</f>
        <v>2023</v>
      </c>
      <c r="E308" s="2" t="str">
        <f>"Q"&amp;ROUNDUP(MONTH(Table1[[#This Row],[PurchaseDate]])/3,0)</f>
        <v>Q1</v>
      </c>
      <c r="F308" s="2">
        <f>MONTH(Table1[[#This Row],[PurchaseDate]])</f>
        <v>2</v>
      </c>
      <c r="G308" s="2" t="str">
        <f>TEXT(Table1[[#This Row],[PurchaseDate]],"MMM")</f>
        <v>Feb</v>
      </c>
      <c r="H308">
        <v>2</v>
      </c>
      <c r="I308">
        <v>797.65</v>
      </c>
      <c r="J308" t="s">
        <v>628</v>
      </c>
      <c r="K308" t="s">
        <v>38</v>
      </c>
      <c r="L308" t="s">
        <v>19</v>
      </c>
      <c r="M308">
        <v>2</v>
      </c>
      <c r="N308">
        <v>1595.3</v>
      </c>
    </row>
    <row r="309" spans="1:14" x14ac:dyDescent="0.3">
      <c r="A309" t="s">
        <v>629</v>
      </c>
      <c r="B309" t="s">
        <v>42</v>
      </c>
      <c r="C309" s="1">
        <v>45141</v>
      </c>
      <c r="D309" s="2">
        <f>YEAR(Table1[[#This Row],[PurchaseDate]])</f>
        <v>2023</v>
      </c>
      <c r="E309" s="2" t="str">
        <f>"Q"&amp;ROUNDUP(MONTH(Table1[[#This Row],[PurchaseDate]])/3,0)</f>
        <v>Q3</v>
      </c>
      <c r="F309" s="2">
        <f>MONTH(Table1[[#This Row],[PurchaseDate]])</f>
        <v>8</v>
      </c>
      <c r="G309" s="2" t="str">
        <f>TEXT(Table1[[#This Row],[PurchaseDate]],"MMM")</f>
        <v>Aug</v>
      </c>
      <c r="H309">
        <v>2</v>
      </c>
      <c r="I309">
        <v>552.32000000000005</v>
      </c>
      <c r="J309" t="s">
        <v>630</v>
      </c>
      <c r="K309" t="s">
        <v>38</v>
      </c>
      <c r="L309" t="s">
        <v>27</v>
      </c>
      <c r="M309">
        <v>4</v>
      </c>
      <c r="N309">
        <v>1104.6400000000001</v>
      </c>
    </row>
    <row r="310" spans="1:14" x14ac:dyDescent="0.3">
      <c r="A310" t="s">
        <v>631</v>
      </c>
      <c r="B310" t="s">
        <v>11</v>
      </c>
      <c r="C310" s="1">
        <v>45302</v>
      </c>
      <c r="D310" s="2">
        <f>YEAR(Table1[[#This Row],[PurchaseDate]])</f>
        <v>2024</v>
      </c>
      <c r="E310" s="2" t="str">
        <f>"Q"&amp;ROUNDUP(MONTH(Table1[[#This Row],[PurchaseDate]])/3,0)</f>
        <v>Q1</v>
      </c>
      <c r="F310" s="2">
        <f>MONTH(Table1[[#This Row],[PurchaseDate]])</f>
        <v>1</v>
      </c>
      <c r="G310" s="2" t="str">
        <f>TEXT(Table1[[#This Row],[PurchaseDate]],"MMM")</f>
        <v>Jan</v>
      </c>
      <c r="H310">
        <v>5</v>
      </c>
      <c r="I310">
        <v>429.91</v>
      </c>
      <c r="J310" t="s">
        <v>632</v>
      </c>
      <c r="K310" t="s">
        <v>13</v>
      </c>
      <c r="L310" t="s">
        <v>19</v>
      </c>
      <c r="M310">
        <v>1</v>
      </c>
      <c r="N310">
        <v>2149.5500000000002</v>
      </c>
    </row>
    <row r="311" spans="1:14" x14ac:dyDescent="0.3">
      <c r="A311" t="s">
        <v>633</v>
      </c>
      <c r="B311" t="s">
        <v>11</v>
      </c>
      <c r="C311" s="1">
        <v>45432</v>
      </c>
      <c r="D311" s="2">
        <f>YEAR(Table1[[#This Row],[PurchaseDate]])</f>
        <v>2024</v>
      </c>
      <c r="E311" s="2" t="str">
        <f>"Q"&amp;ROUNDUP(MONTH(Table1[[#This Row],[PurchaseDate]])/3,0)</f>
        <v>Q2</v>
      </c>
      <c r="F311" s="2">
        <f>MONTH(Table1[[#This Row],[PurchaseDate]])</f>
        <v>5</v>
      </c>
      <c r="G311" s="2" t="str">
        <f>TEXT(Table1[[#This Row],[PurchaseDate]],"MMM")</f>
        <v>May</v>
      </c>
      <c r="H311">
        <v>8</v>
      </c>
      <c r="I311">
        <v>642.91</v>
      </c>
      <c r="J311" t="s">
        <v>634</v>
      </c>
      <c r="K311" t="s">
        <v>38</v>
      </c>
      <c r="L311" t="s">
        <v>58</v>
      </c>
      <c r="M311">
        <v>2</v>
      </c>
      <c r="N311">
        <v>5143.28</v>
      </c>
    </row>
    <row r="312" spans="1:14" x14ac:dyDescent="0.3">
      <c r="A312" t="s">
        <v>635</v>
      </c>
      <c r="B312" t="s">
        <v>11</v>
      </c>
      <c r="C312" s="1">
        <v>45643</v>
      </c>
      <c r="D312" s="2">
        <f>YEAR(Table1[[#This Row],[PurchaseDate]])</f>
        <v>2024</v>
      </c>
      <c r="E312" s="2" t="str">
        <f>"Q"&amp;ROUNDUP(MONTH(Table1[[#This Row],[PurchaseDate]])/3,0)</f>
        <v>Q4</v>
      </c>
      <c r="F312" s="2">
        <f>MONTH(Table1[[#This Row],[PurchaseDate]])</f>
        <v>12</v>
      </c>
      <c r="G312" s="2" t="str">
        <f>TEXT(Table1[[#This Row],[PurchaseDate]],"MMM")</f>
        <v>Dec</v>
      </c>
      <c r="H312">
        <v>4</v>
      </c>
      <c r="I312">
        <v>16.48</v>
      </c>
      <c r="J312" t="s">
        <v>636</v>
      </c>
      <c r="K312" t="s">
        <v>13</v>
      </c>
      <c r="L312" t="s">
        <v>27</v>
      </c>
      <c r="M312">
        <v>5</v>
      </c>
      <c r="N312">
        <v>65.92</v>
      </c>
    </row>
    <row r="313" spans="1:14" x14ac:dyDescent="0.3">
      <c r="A313" t="s">
        <v>637</v>
      </c>
      <c r="B313" t="s">
        <v>21</v>
      </c>
      <c r="C313" s="1">
        <v>45688</v>
      </c>
      <c r="D313" s="2">
        <f>YEAR(Table1[[#This Row],[PurchaseDate]])</f>
        <v>2025</v>
      </c>
      <c r="E313" s="2" t="str">
        <f>"Q"&amp;ROUNDUP(MONTH(Table1[[#This Row],[PurchaseDate]])/3,0)</f>
        <v>Q1</v>
      </c>
      <c r="F313" s="2">
        <f>MONTH(Table1[[#This Row],[PurchaseDate]])</f>
        <v>1</v>
      </c>
      <c r="G313" s="2" t="str">
        <f>TEXT(Table1[[#This Row],[PurchaseDate]],"MMM")</f>
        <v>Jan</v>
      </c>
      <c r="H313">
        <v>6</v>
      </c>
      <c r="I313">
        <v>354.17</v>
      </c>
      <c r="J313" t="s">
        <v>638</v>
      </c>
      <c r="K313" t="s">
        <v>18</v>
      </c>
      <c r="L313" t="s">
        <v>58</v>
      </c>
      <c r="M313">
        <v>2</v>
      </c>
      <c r="N313">
        <v>2125.02</v>
      </c>
    </row>
    <row r="314" spans="1:14" x14ac:dyDescent="0.3">
      <c r="A314" t="s">
        <v>639</v>
      </c>
      <c r="B314" t="s">
        <v>11</v>
      </c>
      <c r="C314" s="1">
        <v>45453</v>
      </c>
      <c r="D314" s="2">
        <f>YEAR(Table1[[#This Row],[PurchaseDate]])</f>
        <v>2024</v>
      </c>
      <c r="E314" s="2" t="str">
        <f>"Q"&amp;ROUNDUP(MONTH(Table1[[#This Row],[PurchaseDate]])/3,0)</f>
        <v>Q2</v>
      </c>
      <c r="F314" s="2">
        <f>MONTH(Table1[[#This Row],[PurchaseDate]])</f>
        <v>6</v>
      </c>
      <c r="G314" s="2" t="str">
        <f>TEXT(Table1[[#This Row],[PurchaseDate]],"MMM")</f>
        <v>Jun</v>
      </c>
      <c r="H314">
        <v>8</v>
      </c>
      <c r="I314">
        <v>389.9</v>
      </c>
      <c r="J314" t="s">
        <v>640</v>
      </c>
      <c r="K314" t="s">
        <v>13</v>
      </c>
      <c r="L314" t="s">
        <v>19</v>
      </c>
      <c r="M314">
        <v>4</v>
      </c>
      <c r="N314">
        <v>3119.2</v>
      </c>
    </row>
    <row r="315" spans="1:14" x14ac:dyDescent="0.3">
      <c r="A315" t="s">
        <v>641</v>
      </c>
      <c r="B315" t="s">
        <v>42</v>
      </c>
      <c r="C315" s="1">
        <v>45833</v>
      </c>
      <c r="D315" s="2">
        <f>YEAR(Table1[[#This Row],[PurchaseDate]])</f>
        <v>2025</v>
      </c>
      <c r="E315" s="2" t="str">
        <f>"Q"&amp;ROUNDUP(MONTH(Table1[[#This Row],[PurchaseDate]])/3,0)</f>
        <v>Q2</v>
      </c>
      <c r="F315" s="2">
        <f>MONTH(Table1[[#This Row],[PurchaseDate]])</f>
        <v>6</v>
      </c>
      <c r="G315" s="2" t="str">
        <f>TEXT(Table1[[#This Row],[PurchaseDate]],"MMM")</f>
        <v>Jun</v>
      </c>
      <c r="H315">
        <v>8</v>
      </c>
      <c r="I315">
        <v>293.06</v>
      </c>
      <c r="J315" t="s">
        <v>642</v>
      </c>
      <c r="K315" t="s">
        <v>38</v>
      </c>
      <c r="L315" t="s">
        <v>19</v>
      </c>
      <c r="M315">
        <v>1</v>
      </c>
      <c r="N315">
        <v>2344.48</v>
      </c>
    </row>
    <row r="316" spans="1:14" x14ac:dyDescent="0.3">
      <c r="A316" t="s">
        <v>643</v>
      </c>
      <c r="B316" t="s">
        <v>29</v>
      </c>
      <c r="C316" s="1">
        <v>45781</v>
      </c>
      <c r="D316" s="2">
        <f>YEAR(Table1[[#This Row],[PurchaseDate]])</f>
        <v>2025</v>
      </c>
      <c r="E316" s="2" t="str">
        <f>"Q"&amp;ROUNDUP(MONTH(Table1[[#This Row],[PurchaseDate]])/3,0)</f>
        <v>Q2</v>
      </c>
      <c r="F316" s="2">
        <f>MONTH(Table1[[#This Row],[PurchaseDate]])</f>
        <v>5</v>
      </c>
      <c r="G316" s="2" t="str">
        <f>TEXT(Table1[[#This Row],[PurchaseDate]],"MMM")</f>
        <v>May</v>
      </c>
      <c r="H316">
        <v>1</v>
      </c>
      <c r="I316">
        <v>572.53</v>
      </c>
      <c r="J316" t="s">
        <v>644</v>
      </c>
      <c r="K316" t="s">
        <v>13</v>
      </c>
      <c r="L316" t="s">
        <v>58</v>
      </c>
      <c r="M316">
        <v>1</v>
      </c>
      <c r="N316">
        <v>572.53</v>
      </c>
    </row>
    <row r="317" spans="1:14" x14ac:dyDescent="0.3">
      <c r="A317" t="s">
        <v>645</v>
      </c>
      <c r="B317" t="s">
        <v>42</v>
      </c>
      <c r="C317" s="1">
        <v>45791</v>
      </c>
      <c r="D317" s="2">
        <f>YEAR(Table1[[#This Row],[PurchaseDate]])</f>
        <v>2025</v>
      </c>
      <c r="E317" s="2" t="str">
        <f>"Q"&amp;ROUNDUP(MONTH(Table1[[#This Row],[PurchaseDate]])/3,0)</f>
        <v>Q2</v>
      </c>
      <c r="F317" s="2">
        <f>MONTH(Table1[[#This Row],[PurchaseDate]])</f>
        <v>5</v>
      </c>
      <c r="G317" s="2" t="str">
        <f>TEXT(Table1[[#This Row],[PurchaseDate]],"MMM")</f>
        <v>May</v>
      </c>
      <c r="H317">
        <v>1</v>
      </c>
      <c r="I317">
        <v>13.02</v>
      </c>
      <c r="J317" t="s">
        <v>646</v>
      </c>
      <c r="K317" t="s">
        <v>18</v>
      </c>
      <c r="L317" t="s">
        <v>23</v>
      </c>
      <c r="M317">
        <v>2</v>
      </c>
      <c r="N317">
        <v>13.02</v>
      </c>
    </row>
    <row r="318" spans="1:14" x14ac:dyDescent="0.3">
      <c r="A318" t="s">
        <v>647</v>
      </c>
      <c r="B318" t="s">
        <v>34</v>
      </c>
      <c r="C318" s="1">
        <v>45543</v>
      </c>
      <c r="D318" s="2">
        <f>YEAR(Table1[[#This Row],[PurchaseDate]])</f>
        <v>2024</v>
      </c>
      <c r="E318" s="2" t="str">
        <f>"Q"&amp;ROUNDUP(MONTH(Table1[[#This Row],[PurchaseDate]])/3,0)</f>
        <v>Q3</v>
      </c>
      <c r="F318" s="2">
        <f>MONTH(Table1[[#This Row],[PurchaseDate]])</f>
        <v>9</v>
      </c>
      <c r="G318" s="2" t="str">
        <f>TEXT(Table1[[#This Row],[PurchaseDate]],"MMM")</f>
        <v>Sep</v>
      </c>
      <c r="H318">
        <v>4</v>
      </c>
      <c r="I318">
        <v>621.19000000000005</v>
      </c>
      <c r="J318" t="s">
        <v>648</v>
      </c>
      <c r="K318" t="s">
        <v>18</v>
      </c>
      <c r="L318" t="s">
        <v>27</v>
      </c>
      <c r="M318">
        <v>1</v>
      </c>
      <c r="N318">
        <v>2484.7600000000002</v>
      </c>
    </row>
    <row r="319" spans="1:14" x14ac:dyDescent="0.3">
      <c r="A319" t="s">
        <v>649</v>
      </c>
      <c r="B319" t="s">
        <v>11</v>
      </c>
      <c r="C319" s="1">
        <v>45086</v>
      </c>
      <c r="D319" s="2">
        <f>YEAR(Table1[[#This Row],[PurchaseDate]])</f>
        <v>2023</v>
      </c>
      <c r="E319" s="2" t="str">
        <f>"Q"&amp;ROUNDUP(MONTH(Table1[[#This Row],[PurchaseDate]])/3,0)</f>
        <v>Q2</v>
      </c>
      <c r="F319" s="2">
        <f>MONTH(Table1[[#This Row],[PurchaseDate]])</f>
        <v>6</v>
      </c>
      <c r="G319" s="2" t="str">
        <f>TEXT(Table1[[#This Row],[PurchaseDate]],"MMM")</f>
        <v>Jun</v>
      </c>
      <c r="H319">
        <v>8</v>
      </c>
      <c r="I319">
        <v>677.68</v>
      </c>
      <c r="J319" t="s">
        <v>650</v>
      </c>
      <c r="K319" t="s">
        <v>13</v>
      </c>
      <c r="L319" t="s">
        <v>27</v>
      </c>
      <c r="M319">
        <v>2</v>
      </c>
      <c r="N319">
        <v>5421.44</v>
      </c>
    </row>
    <row r="320" spans="1:14" x14ac:dyDescent="0.3">
      <c r="A320" t="s">
        <v>651</v>
      </c>
      <c r="B320" t="s">
        <v>16</v>
      </c>
      <c r="C320" s="1">
        <v>45827</v>
      </c>
      <c r="D320" s="2">
        <f>YEAR(Table1[[#This Row],[PurchaseDate]])</f>
        <v>2025</v>
      </c>
      <c r="E320" s="2" t="str">
        <f>"Q"&amp;ROUNDUP(MONTH(Table1[[#This Row],[PurchaseDate]])/3,0)</f>
        <v>Q2</v>
      </c>
      <c r="F320" s="2">
        <f>MONTH(Table1[[#This Row],[PurchaseDate]])</f>
        <v>6</v>
      </c>
      <c r="G320" s="2" t="str">
        <f>TEXT(Table1[[#This Row],[PurchaseDate]],"MMM")</f>
        <v>Jun</v>
      </c>
      <c r="H320">
        <v>5</v>
      </c>
      <c r="I320">
        <v>150.35</v>
      </c>
      <c r="J320" t="s">
        <v>652</v>
      </c>
      <c r="K320" t="s">
        <v>18</v>
      </c>
      <c r="L320" t="s">
        <v>14</v>
      </c>
      <c r="M320">
        <v>3</v>
      </c>
      <c r="N320">
        <v>751.75</v>
      </c>
    </row>
    <row r="321" spans="1:14" x14ac:dyDescent="0.3">
      <c r="A321" t="s">
        <v>653</v>
      </c>
      <c r="B321" t="s">
        <v>16</v>
      </c>
      <c r="C321" s="1">
        <v>45489</v>
      </c>
      <c r="D321" s="2">
        <f>YEAR(Table1[[#This Row],[PurchaseDate]])</f>
        <v>2024</v>
      </c>
      <c r="E321" s="2" t="str">
        <f>"Q"&amp;ROUNDUP(MONTH(Table1[[#This Row],[PurchaseDate]])/3,0)</f>
        <v>Q3</v>
      </c>
      <c r="F321" s="2">
        <f>MONTH(Table1[[#This Row],[PurchaseDate]])</f>
        <v>7</v>
      </c>
      <c r="G321" s="2" t="str">
        <f>TEXT(Table1[[#This Row],[PurchaseDate]],"MMM")</f>
        <v>Jul</v>
      </c>
      <c r="H321">
        <v>8</v>
      </c>
      <c r="I321">
        <v>486.21</v>
      </c>
      <c r="J321" t="s">
        <v>654</v>
      </c>
      <c r="K321" t="s">
        <v>13</v>
      </c>
      <c r="L321" t="s">
        <v>27</v>
      </c>
      <c r="M321">
        <v>3</v>
      </c>
      <c r="N321">
        <v>3889.68</v>
      </c>
    </row>
    <row r="322" spans="1:14" x14ac:dyDescent="0.3">
      <c r="A322" t="s">
        <v>655</v>
      </c>
      <c r="B322" t="s">
        <v>29</v>
      </c>
      <c r="C322" s="1">
        <v>45148</v>
      </c>
      <c r="D322" s="2">
        <f>YEAR(Table1[[#This Row],[PurchaseDate]])</f>
        <v>2023</v>
      </c>
      <c r="E322" s="2" t="str">
        <f>"Q"&amp;ROUNDUP(MONTH(Table1[[#This Row],[PurchaseDate]])/3,0)</f>
        <v>Q3</v>
      </c>
      <c r="F322" s="2">
        <f>MONTH(Table1[[#This Row],[PurchaseDate]])</f>
        <v>8</v>
      </c>
      <c r="G322" s="2" t="str">
        <f>TEXT(Table1[[#This Row],[PurchaseDate]],"MMM")</f>
        <v>Aug</v>
      </c>
      <c r="H322">
        <v>4</v>
      </c>
      <c r="I322">
        <v>163.79</v>
      </c>
      <c r="J322" t="s">
        <v>656</v>
      </c>
      <c r="K322" t="s">
        <v>38</v>
      </c>
      <c r="L322" t="s">
        <v>27</v>
      </c>
      <c r="M322">
        <v>5</v>
      </c>
      <c r="N322">
        <v>655.16</v>
      </c>
    </row>
    <row r="323" spans="1:14" x14ac:dyDescent="0.3">
      <c r="A323" t="s">
        <v>657</v>
      </c>
      <c r="B323" t="s">
        <v>21</v>
      </c>
      <c r="C323" s="1">
        <v>45790</v>
      </c>
      <c r="D323" s="2">
        <f>YEAR(Table1[[#This Row],[PurchaseDate]])</f>
        <v>2025</v>
      </c>
      <c r="E323" s="2" t="str">
        <f>"Q"&amp;ROUNDUP(MONTH(Table1[[#This Row],[PurchaseDate]])/3,0)</f>
        <v>Q2</v>
      </c>
      <c r="F323" s="2">
        <f>MONTH(Table1[[#This Row],[PurchaseDate]])</f>
        <v>5</v>
      </c>
      <c r="G323" s="2" t="str">
        <f>TEXT(Table1[[#This Row],[PurchaseDate]],"MMM")</f>
        <v>May</v>
      </c>
      <c r="H323">
        <v>6</v>
      </c>
      <c r="I323">
        <v>527.91</v>
      </c>
      <c r="J323" t="s">
        <v>658</v>
      </c>
      <c r="K323" t="s">
        <v>18</v>
      </c>
      <c r="L323" t="s">
        <v>27</v>
      </c>
      <c r="M323">
        <v>2</v>
      </c>
      <c r="N323">
        <v>3167.46</v>
      </c>
    </row>
    <row r="324" spans="1:14" x14ac:dyDescent="0.3">
      <c r="A324" t="s">
        <v>659</v>
      </c>
      <c r="B324" t="s">
        <v>21</v>
      </c>
      <c r="C324" s="1">
        <v>45722</v>
      </c>
      <c r="D324" s="2">
        <f>YEAR(Table1[[#This Row],[PurchaseDate]])</f>
        <v>2025</v>
      </c>
      <c r="E324" s="2" t="str">
        <f>"Q"&amp;ROUNDUP(MONTH(Table1[[#This Row],[PurchaseDate]])/3,0)</f>
        <v>Q1</v>
      </c>
      <c r="F324" s="2">
        <f>MONTH(Table1[[#This Row],[PurchaseDate]])</f>
        <v>3</v>
      </c>
      <c r="G324" s="2" t="str">
        <f>TEXT(Table1[[#This Row],[PurchaseDate]],"MMM")</f>
        <v>Mar</v>
      </c>
      <c r="H324">
        <v>5</v>
      </c>
      <c r="I324">
        <v>306.77</v>
      </c>
      <c r="J324" t="s">
        <v>660</v>
      </c>
      <c r="K324" t="s">
        <v>38</v>
      </c>
      <c r="L324" t="s">
        <v>27</v>
      </c>
      <c r="M324">
        <v>4</v>
      </c>
      <c r="N324">
        <v>1533.85</v>
      </c>
    </row>
    <row r="325" spans="1:14" x14ac:dyDescent="0.3">
      <c r="A325" t="s">
        <v>661</v>
      </c>
      <c r="B325" t="s">
        <v>29</v>
      </c>
      <c r="C325" s="1">
        <v>45684</v>
      </c>
      <c r="D325" s="2">
        <f>YEAR(Table1[[#This Row],[PurchaseDate]])</f>
        <v>2025</v>
      </c>
      <c r="E325" s="2" t="str">
        <f>"Q"&amp;ROUNDUP(MONTH(Table1[[#This Row],[PurchaseDate]])/3,0)</f>
        <v>Q1</v>
      </c>
      <c r="F325" s="2">
        <f>MONTH(Table1[[#This Row],[PurchaseDate]])</f>
        <v>1</v>
      </c>
      <c r="G325" s="2" t="str">
        <f>TEXT(Table1[[#This Row],[PurchaseDate]],"MMM")</f>
        <v>Jan</v>
      </c>
      <c r="H325">
        <v>2</v>
      </c>
      <c r="I325">
        <v>676.4</v>
      </c>
      <c r="J325" t="s">
        <v>662</v>
      </c>
      <c r="K325" t="s">
        <v>13</v>
      </c>
      <c r="L325" t="s">
        <v>27</v>
      </c>
      <c r="M325">
        <v>1</v>
      </c>
      <c r="N325">
        <v>1352.8</v>
      </c>
    </row>
    <row r="326" spans="1:14" x14ac:dyDescent="0.3">
      <c r="A326" t="s">
        <v>663</v>
      </c>
      <c r="B326" t="s">
        <v>25</v>
      </c>
      <c r="C326" s="1">
        <v>45413</v>
      </c>
      <c r="D326" s="2">
        <f>YEAR(Table1[[#This Row],[PurchaseDate]])</f>
        <v>2024</v>
      </c>
      <c r="E326" s="2" t="str">
        <f>"Q"&amp;ROUNDUP(MONTH(Table1[[#This Row],[PurchaseDate]])/3,0)</f>
        <v>Q2</v>
      </c>
      <c r="F326" s="2">
        <f>MONTH(Table1[[#This Row],[PurchaseDate]])</f>
        <v>5</v>
      </c>
      <c r="G326" s="2" t="str">
        <f>TEXT(Table1[[#This Row],[PurchaseDate]],"MMM")</f>
        <v>May</v>
      </c>
      <c r="H326">
        <v>5</v>
      </c>
      <c r="I326">
        <v>118.35</v>
      </c>
      <c r="J326" t="s">
        <v>664</v>
      </c>
      <c r="K326" t="s">
        <v>13</v>
      </c>
      <c r="L326" t="s">
        <v>27</v>
      </c>
      <c r="M326">
        <v>4</v>
      </c>
      <c r="N326">
        <v>591.75</v>
      </c>
    </row>
    <row r="327" spans="1:14" x14ac:dyDescent="0.3">
      <c r="A327" t="s">
        <v>665</v>
      </c>
      <c r="B327" t="s">
        <v>16</v>
      </c>
      <c r="C327" s="1">
        <v>45740</v>
      </c>
      <c r="D327" s="2">
        <f>YEAR(Table1[[#This Row],[PurchaseDate]])</f>
        <v>2025</v>
      </c>
      <c r="E327" s="2" t="str">
        <f>"Q"&amp;ROUNDUP(MONTH(Table1[[#This Row],[PurchaseDate]])/3,0)</f>
        <v>Q1</v>
      </c>
      <c r="F327" s="2">
        <f>MONTH(Table1[[#This Row],[PurchaseDate]])</f>
        <v>3</v>
      </c>
      <c r="G327" s="2" t="str">
        <f>TEXT(Table1[[#This Row],[PurchaseDate]],"MMM")</f>
        <v>Mar</v>
      </c>
      <c r="H327">
        <v>1</v>
      </c>
      <c r="I327">
        <v>198.47</v>
      </c>
      <c r="J327" t="s">
        <v>666</v>
      </c>
      <c r="K327" t="s">
        <v>18</v>
      </c>
      <c r="L327" t="s">
        <v>19</v>
      </c>
      <c r="M327">
        <v>4</v>
      </c>
      <c r="N327">
        <v>198.47</v>
      </c>
    </row>
    <row r="328" spans="1:14" x14ac:dyDescent="0.3">
      <c r="A328" t="s">
        <v>667</v>
      </c>
      <c r="B328" t="s">
        <v>29</v>
      </c>
      <c r="C328" s="1">
        <v>45799</v>
      </c>
      <c r="D328" s="2">
        <f>YEAR(Table1[[#This Row],[PurchaseDate]])</f>
        <v>2025</v>
      </c>
      <c r="E328" s="2" t="str">
        <f>"Q"&amp;ROUNDUP(MONTH(Table1[[#This Row],[PurchaseDate]])/3,0)</f>
        <v>Q2</v>
      </c>
      <c r="F328" s="2">
        <f>MONTH(Table1[[#This Row],[PurchaseDate]])</f>
        <v>5</v>
      </c>
      <c r="G328" s="2" t="str">
        <f>TEXT(Table1[[#This Row],[PurchaseDate]],"MMM")</f>
        <v>May</v>
      </c>
      <c r="H328">
        <v>6</v>
      </c>
      <c r="I328">
        <v>598.59</v>
      </c>
      <c r="J328" t="s">
        <v>668</v>
      </c>
      <c r="K328" t="s">
        <v>18</v>
      </c>
      <c r="L328" t="s">
        <v>27</v>
      </c>
      <c r="M328">
        <v>1</v>
      </c>
      <c r="N328">
        <v>3591.54</v>
      </c>
    </row>
    <row r="329" spans="1:14" x14ac:dyDescent="0.3">
      <c r="A329" t="s">
        <v>669</v>
      </c>
      <c r="B329" t="s">
        <v>21</v>
      </c>
      <c r="C329" s="1">
        <v>44950</v>
      </c>
      <c r="D329" s="2">
        <f>YEAR(Table1[[#This Row],[PurchaseDate]])</f>
        <v>2023</v>
      </c>
      <c r="E329" s="2" t="str">
        <f>"Q"&amp;ROUNDUP(MONTH(Table1[[#This Row],[PurchaseDate]])/3,0)</f>
        <v>Q1</v>
      </c>
      <c r="F329" s="2">
        <f>MONTH(Table1[[#This Row],[PurchaseDate]])</f>
        <v>1</v>
      </c>
      <c r="G329" s="2" t="str">
        <f>TEXT(Table1[[#This Row],[PurchaseDate]],"MMM")</f>
        <v>Jan</v>
      </c>
      <c r="H329">
        <v>7</v>
      </c>
      <c r="I329">
        <v>152.85</v>
      </c>
      <c r="J329" t="s">
        <v>670</v>
      </c>
      <c r="K329" t="s">
        <v>18</v>
      </c>
      <c r="L329" t="s">
        <v>58</v>
      </c>
      <c r="M329">
        <v>4</v>
      </c>
      <c r="N329">
        <v>1069.95</v>
      </c>
    </row>
    <row r="330" spans="1:14" x14ac:dyDescent="0.3">
      <c r="A330" t="s">
        <v>671</v>
      </c>
      <c r="B330" t="s">
        <v>34</v>
      </c>
      <c r="C330" s="1">
        <v>45238</v>
      </c>
      <c r="D330" s="2">
        <f>YEAR(Table1[[#This Row],[PurchaseDate]])</f>
        <v>2023</v>
      </c>
      <c r="E330" s="2" t="str">
        <f>"Q"&amp;ROUNDUP(MONTH(Table1[[#This Row],[PurchaseDate]])/3,0)</f>
        <v>Q4</v>
      </c>
      <c r="F330" s="2">
        <f>MONTH(Table1[[#This Row],[PurchaseDate]])</f>
        <v>11</v>
      </c>
      <c r="G330" s="2" t="str">
        <f>TEXT(Table1[[#This Row],[PurchaseDate]],"MMM")</f>
        <v>Nov</v>
      </c>
      <c r="H330">
        <v>8</v>
      </c>
      <c r="I330">
        <v>664.71</v>
      </c>
      <c r="J330" t="s">
        <v>672</v>
      </c>
      <c r="K330" t="s">
        <v>13</v>
      </c>
      <c r="L330" t="s">
        <v>19</v>
      </c>
      <c r="M330">
        <v>2</v>
      </c>
      <c r="N330">
        <v>5317.68</v>
      </c>
    </row>
    <row r="331" spans="1:14" x14ac:dyDescent="0.3">
      <c r="A331" t="s">
        <v>673</v>
      </c>
      <c r="B331" t="s">
        <v>29</v>
      </c>
      <c r="C331" s="1">
        <v>44990</v>
      </c>
      <c r="D331" s="2">
        <f>YEAR(Table1[[#This Row],[PurchaseDate]])</f>
        <v>2023</v>
      </c>
      <c r="E331" s="2" t="str">
        <f>"Q"&amp;ROUNDUP(MONTH(Table1[[#This Row],[PurchaseDate]])/3,0)</f>
        <v>Q1</v>
      </c>
      <c r="F331" s="2">
        <f>MONTH(Table1[[#This Row],[PurchaseDate]])</f>
        <v>3</v>
      </c>
      <c r="G331" s="2" t="str">
        <f>TEXT(Table1[[#This Row],[PurchaseDate]],"MMM")</f>
        <v>Mar</v>
      </c>
      <c r="H331">
        <v>6</v>
      </c>
      <c r="I331">
        <v>411.62</v>
      </c>
      <c r="J331" t="s">
        <v>674</v>
      </c>
      <c r="K331" t="s">
        <v>38</v>
      </c>
      <c r="L331" t="s">
        <v>58</v>
      </c>
      <c r="M331">
        <v>1</v>
      </c>
      <c r="N331">
        <v>2469.7199999999998</v>
      </c>
    </row>
    <row r="332" spans="1:14" x14ac:dyDescent="0.3">
      <c r="A332" t="s">
        <v>675</v>
      </c>
      <c r="B332" t="s">
        <v>16</v>
      </c>
      <c r="C332" s="1">
        <v>45201</v>
      </c>
      <c r="D332" s="2">
        <f>YEAR(Table1[[#This Row],[PurchaseDate]])</f>
        <v>2023</v>
      </c>
      <c r="E332" s="2" t="str">
        <f>"Q"&amp;ROUNDUP(MONTH(Table1[[#This Row],[PurchaseDate]])/3,0)</f>
        <v>Q4</v>
      </c>
      <c r="F332" s="2">
        <f>MONTH(Table1[[#This Row],[PurchaseDate]])</f>
        <v>10</v>
      </c>
      <c r="G332" s="2" t="str">
        <f>TEXT(Table1[[#This Row],[PurchaseDate]],"MMM")</f>
        <v>Oct</v>
      </c>
      <c r="H332">
        <v>1</v>
      </c>
      <c r="I332">
        <v>88.6</v>
      </c>
      <c r="J332" t="s">
        <v>676</v>
      </c>
      <c r="K332" t="s">
        <v>18</v>
      </c>
      <c r="L332" t="s">
        <v>23</v>
      </c>
      <c r="M332">
        <v>2</v>
      </c>
      <c r="N332">
        <v>88.6</v>
      </c>
    </row>
    <row r="333" spans="1:14" x14ac:dyDescent="0.3">
      <c r="A333" t="s">
        <v>677</v>
      </c>
      <c r="B333" t="s">
        <v>34</v>
      </c>
      <c r="C333" s="1">
        <v>45751</v>
      </c>
      <c r="D333" s="2">
        <f>YEAR(Table1[[#This Row],[PurchaseDate]])</f>
        <v>2025</v>
      </c>
      <c r="E333" s="2" t="str">
        <f>"Q"&amp;ROUNDUP(MONTH(Table1[[#This Row],[PurchaseDate]])/3,0)</f>
        <v>Q2</v>
      </c>
      <c r="F333" s="2">
        <f>MONTH(Table1[[#This Row],[PurchaseDate]])</f>
        <v>4</v>
      </c>
      <c r="G333" s="2" t="str">
        <f>TEXT(Table1[[#This Row],[PurchaseDate]],"MMM")</f>
        <v>Apr</v>
      </c>
      <c r="H333">
        <v>1</v>
      </c>
      <c r="I333">
        <v>732.88</v>
      </c>
      <c r="J333" t="s">
        <v>678</v>
      </c>
      <c r="K333" t="s">
        <v>38</v>
      </c>
      <c r="L333" t="s">
        <v>58</v>
      </c>
      <c r="M333">
        <v>2</v>
      </c>
      <c r="N333">
        <v>732.88</v>
      </c>
    </row>
    <row r="334" spans="1:14" x14ac:dyDescent="0.3">
      <c r="A334" t="s">
        <v>679</v>
      </c>
      <c r="B334" t="s">
        <v>21</v>
      </c>
      <c r="C334" s="1">
        <v>45450</v>
      </c>
      <c r="D334" s="2">
        <f>YEAR(Table1[[#This Row],[PurchaseDate]])</f>
        <v>2024</v>
      </c>
      <c r="E334" s="2" t="str">
        <f>"Q"&amp;ROUNDUP(MONTH(Table1[[#This Row],[PurchaseDate]])/3,0)</f>
        <v>Q2</v>
      </c>
      <c r="F334" s="2">
        <f>MONTH(Table1[[#This Row],[PurchaseDate]])</f>
        <v>6</v>
      </c>
      <c r="G334" s="2" t="str">
        <f>TEXT(Table1[[#This Row],[PurchaseDate]],"MMM")</f>
        <v>Jun</v>
      </c>
      <c r="H334">
        <v>2</v>
      </c>
      <c r="I334">
        <v>143.87</v>
      </c>
      <c r="J334" t="s">
        <v>680</v>
      </c>
      <c r="K334" t="s">
        <v>18</v>
      </c>
      <c r="L334" t="s">
        <v>23</v>
      </c>
      <c r="M334">
        <v>1</v>
      </c>
      <c r="N334">
        <v>287.74</v>
      </c>
    </row>
    <row r="335" spans="1:14" x14ac:dyDescent="0.3">
      <c r="A335" t="s">
        <v>681</v>
      </c>
      <c r="B335" t="s">
        <v>29</v>
      </c>
      <c r="C335" s="1">
        <v>45103</v>
      </c>
      <c r="D335" s="2">
        <f>YEAR(Table1[[#This Row],[PurchaseDate]])</f>
        <v>2023</v>
      </c>
      <c r="E335" s="2" t="str">
        <f>"Q"&amp;ROUNDUP(MONTH(Table1[[#This Row],[PurchaseDate]])/3,0)</f>
        <v>Q2</v>
      </c>
      <c r="F335" s="2">
        <f>MONTH(Table1[[#This Row],[PurchaseDate]])</f>
        <v>6</v>
      </c>
      <c r="G335" s="2" t="str">
        <f>TEXT(Table1[[#This Row],[PurchaseDate]],"MMM")</f>
        <v>Jun</v>
      </c>
      <c r="H335">
        <v>4</v>
      </c>
      <c r="I335">
        <v>700.91</v>
      </c>
      <c r="J335" t="s">
        <v>682</v>
      </c>
      <c r="K335" t="s">
        <v>38</v>
      </c>
      <c r="L335" t="s">
        <v>19</v>
      </c>
      <c r="M335">
        <v>5</v>
      </c>
      <c r="N335">
        <v>2803.64</v>
      </c>
    </row>
    <row r="336" spans="1:14" x14ac:dyDescent="0.3">
      <c r="A336" t="s">
        <v>683</v>
      </c>
      <c r="B336" t="s">
        <v>25</v>
      </c>
      <c r="C336" s="1">
        <v>45330</v>
      </c>
      <c r="D336" s="2">
        <f>YEAR(Table1[[#This Row],[PurchaseDate]])</f>
        <v>2024</v>
      </c>
      <c r="E336" s="2" t="str">
        <f>"Q"&amp;ROUNDUP(MONTH(Table1[[#This Row],[PurchaseDate]])/3,0)</f>
        <v>Q1</v>
      </c>
      <c r="F336" s="2">
        <f>MONTH(Table1[[#This Row],[PurchaseDate]])</f>
        <v>2</v>
      </c>
      <c r="G336" s="2" t="str">
        <f>TEXT(Table1[[#This Row],[PurchaseDate]],"MMM")</f>
        <v>Feb</v>
      </c>
      <c r="H336">
        <v>6</v>
      </c>
      <c r="I336">
        <v>27.4</v>
      </c>
      <c r="J336" t="s">
        <v>684</v>
      </c>
      <c r="K336" t="s">
        <v>13</v>
      </c>
      <c r="L336" t="s">
        <v>19</v>
      </c>
      <c r="M336">
        <v>1</v>
      </c>
      <c r="N336">
        <v>164.4</v>
      </c>
    </row>
    <row r="337" spans="1:14" x14ac:dyDescent="0.3">
      <c r="A337" t="s">
        <v>685</v>
      </c>
      <c r="B337" t="s">
        <v>34</v>
      </c>
      <c r="C337" s="1">
        <v>45415</v>
      </c>
      <c r="D337" s="2">
        <f>YEAR(Table1[[#This Row],[PurchaseDate]])</f>
        <v>2024</v>
      </c>
      <c r="E337" s="2" t="str">
        <f>"Q"&amp;ROUNDUP(MONTH(Table1[[#This Row],[PurchaseDate]])/3,0)</f>
        <v>Q2</v>
      </c>
      <c r="F337" s="2">
        <f>MONTH(Table1[[#This Row],[PurchaseDate]])</f>
        <v>5</v>
      </c>
      <c r="G337" s="2" t="str">
        <f>TEXT(Table1[[#This Row],[PurchaseDate]],"MMM")</f>
        <v>May</v>
      </c>
      <c r="H337">
        <v>4</v>
      </c>
      <c r="I337">
        <v>441.89</v>
      </c>
      <c r="J337" t="s">
        <v>686</v>
      </c>
      <c r="K337" t="s">
        <v>18</v>
      </c>
      <c r="L337" t="s">
        <v>19</v>
      </c>
      <c r="M337">
        <v>3</v>
      </c>
      <c r="N337">
        <v>1767.56</v>
      </c>
    </row>
    <row r="338" spans="1:14" x14ac:dyDescent="0.3">
      <c r="A338" t="s">
        <v>687</v>
      </c>
      <c r="B338" t="s">
        <v>21</v>
      </c>
      <c r="C338" s="1">
        <v>45083</v>
      </c>
      <c r="D338" s="2">
        <f>YEAR(Table1[[#This Row],[PurchaseDate]])</f>
        <v>2023</v>
      </c>
      <c r="E338" s="2" t="str">
        <f>"Q"&amp;ROUNDUP(MONTH(Table1[[#This Row],[PurchaseDate]])/3,0)</f>
        <v>Q2</v>
      </c>
      <c r="F338" s="2">
        <f>MONTH(Table1[[#This Row],[PurchaseDate]])</f>
        <v>6</v>
      </c>
      <c r="G338" s="2" t="str">
        <f>TEXT(Table1[[#This Row],[PurchaseDate]],"MMM")</f>
        <v>Jun</v>
      </c>
      <c r="H338">
        <v>1</v>
      </c>
      <c r="I338">
        <v>754.33</v>
      </c>
      <c r="J338" t="s">
        <v>688</v>
      </c>
      <c r="K338" t="s">
        <v>18</v>
      </c>
      <c r="L338" t="s">
        <v>23</v>
      </c>
      <c r="M338">
        <v>4</v>
      </c>
      <c r="N338">
        <v>754.33</v>
      </c>
    </row>
    <row r="339" spans="1:14" x14ac:dyDescent="0.3">
      <c r="A339" t="s">
        <v>689</v>
      </c>
      <c r="B339" t="s">
        <v>25</v>
      </c>
      <c r="C339" s="1">
        <v>45448</v>
      </c>
      <c r="D339" s="2">
        <f>YEAR(Table1[[#This Row],[PurchaseDate]])</f>
        <v>2024</v>
      </c>
      <c r="E339" s="2" t="str">
        <f>"Q"&amp;ROUNDUP(MONTH(Table1[[#This Row],[PurchaseDate]])/3,0)</f>
        <v>Q2</v>
      </c>
      <c r="F339" s="2">
        <f>MONTH(Table1[[#This Row],[PurchaseDate]])</f>
        <v>6</v>
      </c>
      <c r="G339" s="2" t="str">
        <f>TEXT(Table1[[#This Row],[PurchaseDate]],"MMM")</f>
        <v>Jun</v>
      </c>
      <c r="H339">
        <v>5</v>
      </c>
      <c r="I339">
        <v>24.07</v>
      </c>
      <c r="J339" t="s">
        <v>690</v>
      </c>
      <c r="K339" t="s">
        <v>18</v>
      </c>
      <c r="L339" t="s">
        <v>58</v>
      </c>
      <c r="M339">
        <v>1</v>
      </c>
      <c r="N339">
        <v>120.35</v>
      </c>
    </row>
    <row r="340" spans="1:14" x14ac:dyDescent="0.3">
      <c r="A340" t="s">
        <v>691</v>
      </c>
      <c r="B340" t="s">
        <v>16</v>
      </c>
      <c r="C340" s="1">
        <v>45157</v>
      </c>
      <c r="D340" s="2">
        <f>YEAR(Table1[[#This Row],[PurchaseDate]])</f>
        <v>2023</v>
      </c>
      <c r="E340" s="2" t="str">
        <f>"Q"&amp;ROUNDUP(MONTH(Table1[[#This Row],[PurchaseDate]])/3,0)</f>
        <v>Q3</v>
      </c>
      <c r="F340" s="2">
        <f>MONTH(Table1[[#This Row],[PurchaseDate]])</f>
        <v>8</v>
      </c>
      <c r="G340" s="2" t="str">
        <f>TEXT(Table1[[#This Row],[PurchaseDate]],"MMM")</f>
        <v>Aug</v>
      </c>
      <c r="H340">
        <v>4</v>
      </c>
      <c r="I340">
        <v>601.41999999999996</v>
      </c>
      <c r="J340" t="s">
        <v>692</v>
      </c>
      <c r="K340" t="s">
        <v>18</v>
      </c>
      <c r="L340" t="s">
        <v>27</v>
      </c>
      <c r="M340">
        <v>1</v>
      </c>
      <c r="N340">
        <v>2405.6799999999998</v>
      </c>
    </row>
    <row r="341" spans="1:14" x14ac:dyDescent="0.3">
      <c r="A341" t="s">
        <v>693</v>
      </c>
      <c r="B341" t="s">
        <v>11</v>
      </c>
      <c r="C341" s="1">
        <v>45823</v>
      </c>
      <c r="D341" s="2">
        <f>YEAR(Table1[[#This Row],[PurchaseDate]])</f>
        <v>2025</v>
      </c>
      <c r="E341" s="2" t="str">
        <f>"Q"&amp;ROUNDUP(MONTH(Table1[[#This Row],[PurchaseDate]])/3,0)</f>
        <v>Q2</v>
      </c>
      <c r="F341" s="2">
        <f>MONTH(Table1[[#This Row],[PurchaseDate]])</f>
        <v>6</v>
      </c>
      <c r="G341" s="2" t="str">
        <f>TEXT(Table1[[#This Row],[PurchaseDate]],"MMM")</f>
        <v>Jun</v>
      </c>
      <c r="H341">
        <v>2</v>
      </c>
      <c r="I341">
        <v>154.1</v>
      </c>
      <c r="J341" t="s">
        <v>694</v>
      </c>
      <c r="K341" t="s">
        <v>18</v>
      </c>
      <c r="L341" t="s">
        <v>14</v>
      </c>
      <c r="M341">
        <v>3</v>
      </c>
      <c r="N341">
        <v>308.2</v>
      </c>
    </row>
    <row r="342" spans="1:14" x14ac:dyDescent="0.3">
      <c r="A342" t="s">
        <v>695</v>
      </c>
      <c r="B342" t="s">
        <v>21</v>
      </c>
      <c r="C342" s="1">
        <v>45651</v>
      </c>
      <c r="D342" s="2">
        <f>YEAR(Table1[[#This Row],[PurchaseDate]])</f>
        <v>2024</v>
      </c>
      <c r="E342" s="2" t="str">
        <f>"Q"&amp;ROUNDUP(MONTH(Table1[[#This Row],[PurchaseDate]])/3,0)</f>
        <v>Q4</v>
      </c>
      <c r="F342" s="2">
        <f>MONTH(Table1[[#This Row],[PurchaseDate]])</f>
        <v>12</v>
      </c>
      <c r="G342" s="2" t="str">
        <f>TEXT(Table1[[#This Row],[PurchaseDate]],"MMM")</f>
        <v>Dec</v>
      </c>
      <c r="H342">
        <v>3</v>
      </c>
      <c r="I342">
        <v>166.16</v>
      </c>
      <c r="J342" t="s">
        <v>696</v>
      </c>
      <c r="K342" t="s">
        <v>13</v>
      </c>
      <c r="L342" t="s">
        <v>58</v>
      </c>
      <c r="M342">
        <v>1</v>
      </c>
      <c r="N342">
        <v>498.48</v>
      </c>
    </row>
    <row r="343" spans="1:14" x14ac:dyDescent="0.3">
      <c r="A343" t="s">
        <v>697</v>
      </c>
      <c r="B343" t="s">
        <v>21</v>
      </c>
      <c r="C343" s="1">
        <v>45714</v>
      </c>
      <c r="D343" s="2">
        <f>YEAR(Table1[[#This Row],[PurchaseDate]])</f>
        <v>2025</v>
      </c>
      <c r="E343" s="2" t="str">
        <f>"Q"&amp;ROUNDUP(MONTH(Table1[[#This Row],[PurchaseDate]])/3,0)</f>
        <v>Q1</v>
      </c>
      <c r="F343" s="2">
        <f>MONTH(Table1[[#This Row],[PurchaseDate]])</f>
        <v>2</v>
      </c>
      <c r="G343" s="2" t="str">
        <f>TEXT(Table1[[#This Row],[PurchaseDate]],"MMM")</f>
        <v>Feb</v>
      </c>
      <c r="H343">
        <v>6</v>
      </c>
      <c r="I343">
        <v>156.78</v>
      </c>
      <c r="J343" t="s">
        <v>698</v>
      </c>
      <c r="K343" t="s">
        <v>38</v>
      </c>
      <c r="L343" t="s">
        <v>23</v>
      </c>
      <c r="M343">
        <v>2</v>
      </c>
      <c r="N343">
        <v>940.68</v>
      </c>
    </row>
    <row r="344" spans="1:14" x14ac:dyDescent="0.3">
      <c r="A344" t="s">
        <v>699</v>
      </c>
      <c r="B344" t="s">
        <v>42</v>
      </c>
      <c r="C344" s="1">
        <v>45389</v>
      </c>
      <c r="D344" s="2">
        <f>YEAR(Table1[[#This Row],[PurchaseDate]])</f>
        <v>2024</v>
      </c>
      <c r="E344" s="2" t="str">
        <f>"Q"&amp;ROUNDUP(MONTH(Table1[[#This Row],[PurchaseDate]])/3,0)</f>
        <v>Q2</v>
      </c>
      <c r="F344" s="2">
        <f>MONTH(Table1[[#This Row],[PurchaseDate]])</f>
        <v>4</v>
      </c>
      <c r="G344" s="2" t="str">
        <f>TEXT(Table1[[#This Row],[PurchaseDate]],"MMM")</f>
        <v>Apr</v>
      </c>
      <c r="H344">
        <v>2</v>
      </c>
      <c r="I344">
        <v>554.39</v>
      </c>
      <c r="J344" t="s">
        <v>700</v>
      </c>
      <c r="K344" t="s">
        <v>38</v>
      </c>
      <c r="L344" t="s">
        <v>27</v>
      </c>
      <c r="M344">
        <v>1</v>
      </c>
      <c r="N344">
        <v>1108.78</v>
      </c>
    </row>
    <row r="345" spans="1:14" x14ac:dyDescent="0.3">
      <c r="A345" t="s">
        <v>321</v>
      </c>
      <c r="B345" t="s">
        <v>11</v>
      </c>
      <c r="C345" s="1">
        <v>45042</v>
      </c>
      <c r="D345" s="2">
        <f>YEAR(Table1[[#This Row],[PurchaseDate]])</f>
        <v>2023</v>
      </c>
      <c r="E345" s="2" t="str">
        <f>"Q"&amp;ROUNDUP(MONTH(Table1[[#This Row],[PurchaseDate]])/3,0)</f>
        <v>Q2</v>
      </c>
      <c r="F345" s="2">
        <f>MONTH(Table1[[#This Row],[PurchaseDate]])</f>
        <v>4</v>
      </c>
      <c r="G345" s="2" t="str">
        <f>TEXT(Table1[[#This Row],[PurchaseDate]],"MMM")</f>
        <v>Apr</v>
      </c>
      <c r="H345">
        <v>3</v>
      </c>
      <c r="I345">
        <v>287.06</v>
      </c>
      <c r="J345" t="s">
        <v>322</v>
      </c>
      <c r="K345" t="s">
        <v>38</v>
      </c>
      <c r="L345" t="s">
        <v>14</v>
      </c>
      <c r="M345">
        <v>3</v>
      </c>
      <c r="N345">
        <v>861.18</v>
      </c>
    </row>
    <row r="346" spans="1:14" x14ac:dyDescent="0.3">
      <c r="A346" t="s">
        <v>701</v>
      </c>
      <c r="B346" t="s">
        <v>16</v>
      </c>
      <c r="C346" s="1">
        <v>45401</v>
      </c>
      <c r="D346" s="2">
        <f>YEAR(Table1[[#This Row],[PurchaseDate]])</f>
        <v>2024</v>
      </c>
      <c r="E346" s="2" t="str">
        <f>"Q"&amp;ROUNDUP(MONTH(Table1[[#This Row],[PurchaseDate]])/3,0)</f>
        <v>Q2</v>
      </c>
      <c r="F346" s="2">
        <f>MONTH(Table1[[#This Row],[PurchaseDate]])</f>
        <v>4</v>
      </c>
      <c r="G346" s="2" t="str">
        <f>TEXT(Table1[[#This Row],[PurchaseDate]],"MMM")</f>
        <v>Apr</v>
      </c>
      <c r="H346">
        <v>6</v>
      </c>
      <c r="I346">
        <v>39.6</v>
      </c>
      <c r="J346" t="s">
        <v>702</v>
      </c>
      <c r="K346" t="s">
        <v>38</v>
      </c>
      <c r="L346" t="s">
        <v>58</v>
      </c>
      <c r="M346">
        <v>3</v>
      </c>
      <c r="N346">
        <v>237.6</v>
      </c>
    </row>
    <row r="347" spans="1:14" x14ac:dyDescent="0.3">
      <c r="A347" t="s">
        <v>703</v>
      </c>
      <c r="B347" t="s">
        <v>42</v>
      </c>
      <c r="C347" s="1">
        <v>45760</v>
      </c>
      <c r="D347" s="2">
        <f>YEAR(Table1[[#This Row],[PurchaseDate]])</f>
        <v>2025</v>
      </c>
      <c r="E347" s="2" t="str">
        <f>"Q"&amp;ROUNDUP(MONTH(Table1[[#This Row],[PurchaseDate]])/3,0)</f>
        <v>Q2</v>
      </c>
      <c r="F347" s="2">
        <f>MONTH(Table1[[#This Row],[PurchaseDate]])</f>
        <v>4</v>
      </c>
      <c r="G347" s="2" t="str">
        <f>TEXT(Table1[[#This Row],[PurchaseDate]],"MMM")</f>
        <v>Apr</v>
      </c>
      <c r="H347">
        <v>5</v>
      </c>
      <c r="I347">
        <v>373.52</v>
      </c>
      <c r="J347" t="s">
        <v>704</v>
      </c>
      <c r="K347" t="s">
        <v>13</v>
      </c>
      <c r="L347" t="s">
        <v>23</v>
      </c>
      <c r="M347">
        <v>2</v>
      </c>
      <c r="N347">
        <v>1867.6</v>
      </c>
    </row>
    <row r="348" spans="1:14" x14ac:dyDescent="0.3">
      <c r="A348" t="s">
        <v>705</v>
      </c>
      <c r="B348" t="s">
        <v>25</v>
      </c>
      <c r="C348" s="1">
        <v>45578</v>
      </c>
      <c r="D348" s="2">
        <f>YEAR(Table1[[#This Row],[PurchaseDate]])</f>
        <v>2024</v>
      </c>
      <c r="E348" s="2" t="str">
        <f>"Q"&amp;ROUNDUP(MONTH(Table1[[#This Row],[PurchaseDate]])/3,0)</f>
        <v>Q4</v>
      </c>
      <c r="F348" s="2">
        <f>MONTH(Table1[[#This Row],[PurchaseDate]])</f>
        <v>10</v>
      </c>
      <c r="G348" s="2" t="str">
        <f>TEXT(Table1[[#This Row],[PurchaseDate]],"MMM")</f>
        <v>Oct</v>
      </c>
      <c r="H348">
        <v>1</v>
      </c>
      <c r="I348">
        <v>585.9</v>
      </c>
      <c r="J348" t="s">
        <v>706</v>
      </c>
      <c r="K348" t="s">
        <v>38</v>
      </c>
      <c r="L348" t="s">
        <v>19</v>
      </c>
      <c r="M348">
        <v>3</v>
      </c>
      <c r="N348">
        <v>585.9</v>
      </c>
    </row>
    <row r="349" spans="1:14" x14ac:dyDescent="0.3">
      <c r="A349" t="s">
        <v>707</v>
      </c>
      <c r="B349" t="s">
        <v>25</v>
      </c>
      <c r="C349" s="1">
        <v>45029</v>
      </c>
      <c r="D349" s="2">
        <f>YEAR(Table1[[#This Row],[PurchaseDate]])</f>
        <v>2023</v>
      </c>
      <c r="E349" s="2" t="str">
        <f>"Q"&amp;ROUNDUP(MONTH(Table1[[#This Row],[PurchaseDate]])/3,0)</f>
        <v>Q2</v>
      </c>
      <c r="F349" s="2">
        <f>MONTH(Table1[[#This Row],[PurchaseDate]])</f>
        <v>4</v>
      </c>
      <c r="G349" s="2" t="str">
        <f>TEXT(Table1[[#This Row],[PurchaseDate]],"MMM")</f>
        <v>Apr</v>
      </c>
      <c r="H349">
        <v>2</v>
      </c>
      <c r="I349">
        <v>406.89</v>
      </c>
      <c r="J349" t="s">
        <v>708</v>
      </c>
      <c r="K349" t="s">
        <v>38</v>
      </c>
      <c r="L349" t="s">
        <v>58</v>
      </c>
      <c r="M349">
        <v>1</v>
      </c>
      <c r="N349">
        <v>813.78</v>
      </c>
    </row>
    <row r="350" spans="1:14" x14ac:dyDescent="0.3">
      <c r="A350" t="s">
        <v>709</v>
      </c>
      <c r="B350" t="s">
        <v>16</v>
      </c>
      <c r="C350" s="1">
        <v>45218</v>
      </c>
      <c r="D350" s="2">
        <f>YEAR(Table1[[#This Row],[PurchaseDate]])</f>
        <v>2023</v>
      </c>
      <c r="E350" s="2" t="str">
        <f>"Q"&amp;ROUNDUP(MONTH(Table1[[#This Row],[PurchaseDate]])/3,0)</f>
        <v>Q4</v>
      </c>
      <c r="F350" s="2">
        <f>MONTH(Table1[[#This Row],[PurchaseDate]])</f>
        <v>10</v>
      </c>
      <c r="G350" s="2" t="str">
        <f>TEXT(Table1[[#This Row],[PurchaseDate]],"MMM")</f>
        <v>Oct</v>
      </c>
      <c r="H350">
        <v>2</v>
      </c>
      <c r="I350">
        <v>227.29</v>
      </c>
      <c r="J350" t="s">
        <v>710</v>
      </c>
      <c r="K350" t="s">
        <v>13</v>
      </c>
      <c r="L350" t="s">
        <v>27</v>
      </c>
      <c r="M350">
        <v>5</v>
      </c>
      <c r="N350">
        <v>454.58</v>
      </c>
    </row>
    <row r="351" spans="1:14" x14ac:dyDescent="0.3">
      <c r="A351" t="s">
        <v>711</v>
      </c>
      <c r="B351" t="s">
        <v>25</v>
      </c>
      <c r="C351" s="1">
        <v>45450</v>
      </c>
      <c r="D351" s="2">
        <f>YEAR(Table1[[#This Row],[PurchaseDate]])</f>
        <v>2024</v>
      </c>
      <c r="E351" s="2" t="str">
        <f>"Q"&amp;ROUNDUP(MONTH(Table1[[#This Row],[PurchaseDate]])/3,0)</f>
        <v>Q2</v>
      </c>
      <c r="F351" s="2">
        <f>MONTH(Table1[[#This Row],[PurchaseDate]])</f>
        <v>6</v>
      </c>
      <c r="G351" s="2" t="str">
        <f>TEXT(Table1[[#This Row],[PurchaseDate]],"MMM")</f>
        <v>Jun</v>
      </c>
      <c r="H351">
        <v>4</v>
      </c>
      <c r="I351">
        <v>772.9</v>
      </c>
      <c r="J351" t="s">
        <v>712</v>
      </c>
      <c r="K351" t="s">
        <v>18</v>
      </c>
      <c r="L351" t="s">
        <v>19</v>
      </c>
      <c r="M351">
        <v>5</v>
      </c>
      <c r="N351">
        <v>3091.6</v>
      </c>
    </row>
    <row r="352" spans="1:14" x14ac:dyDescent="0.3">
      <c r="A352" t="s">
        <v>713</v>
      </c>
      <c r="B352" t="s">
        <v>34</v>
      </c>
      <c r="C352" s="1">
        <v>45204</v>
      </c>
      <c r="D352" s="2">
        <f>YEAR(Table1[[#This Row],[PurchaseDate]])</f>
        <v>2023</v>
      </c>
      <c r="E352" s="2" t="str">
        <f>"Q"&amp;ROUNDUP(MONTH(Table1[[#This Row],[PurchaseDate]])/3,0)</f>
        <v>Q4</v>
      </c>
      <c r="F352" s="2">
        <f>MONTH(Table1[[#This Row],[PurchaseDate]])</f>
        <v>10</v>
      </c>
      <c r="G352" s="2" t="str">
        <f>TEXT(Table1[[#This Row],[PurchaseDate]],"MMM")</f>
        <v>Oct</v>
      </c>
      <c r="H352">
        <v>2</v>
      </c>
      <c r="I352">
        <v>105.59</v>
      </c>
      <c r="J352" t="s">
        <v>714</v>
      </c>
      <c r="K352" t="s">
        <v>13</v>
      </c>
      <c r="L352" t="s">
        <v>19</v>
      </c>
      <c r="M352">
        <v>4</v>
      </c>
      <c r="N352">
        <v>211.18</v>
      </c>
    </row>
    <row r="353" spans="1:14" x14ac:dyDescent="0.3">
      <c r="A353" t="s">
        <v>715</v>
      </c>
      <c r="B353" t="s">
        <v>29</v>
      </c>
      <c r="C353" s="1">
        <v>45439</v>
      </c>
      <c r="D353" s="2">
        <f>YEAR(Table1[[#This Row],[PurchaseDate]])</f>
        <v>2024</v>
      </c>
      <c r="E353" s="2" t="str">
        <f>"Q"&amp;ROUNDUP(MONTH(Table1[[#This Row],[PurchaseDate]])/3,0)</f>
        <v>Q2</v>
      </c>
      <c r="F353" s="2">
        <f>MONTH(Table1[[#This Row],[PurchaseDate]])</f>
        <v>5</v>
      </c>
      <c r="G353" s="2" t="str">
        <f>TEXT(Table1[[#This Row],[PurchaseDate]],"MMM")</f>
        <v>May</v>
      </c>
      <c r="H353">
        <v>3</v>
      </c>
      <c r="I353">
        <v>627.98</v>
      </c>
      <c r="J353" t="s">
        <v>716</v>
      </c>
      <c r="K353" t="s">
        <v>13</v>
      </c>
      <c r="L353" t="s">
        <v>14</v>
      </c>
      <c r="M353">
        <v>3</v>
      </c>
      <c r="N353">
        <v>1883.94</v>
      </c>
    </row>
    <row r="354" spans="1:14" x14ac:dyDescent="0.3">
      <c r="A354" t="s">
        <v>717</v>
      </c>
      <c r="B354" t="s">
        <v>11</v>
      </c>
      <c r="C354" s="1">
        <v>45667</v>
      </c>
      <c r="D354" s="2">
        <f>YEAR(Table1[[#This Row],[PurchaseDate]])</f>
        <v>2025</v>
      </c>
      <c r="E354" s="2" t="str">
        <f>"Q"&amp;ROUNDUP(MONTH(Table1[[#This Row],[PurchaseDate]])/3,0)</f>
        <v>Q1</v>
      </c>
      <c r="F354" s="2">
        <f>MONTH(Table1[[#This Row],[PurchaseDate]])</f>
        <v>1</v>
      </c>
      <c r="G354" s="2" t="str">
        <f>TEXT(Table1[[#This Row],[PurchaseDate]],"MMM")</f>
        <v>Jan</v>
      </c>
      <c r="H354">
        <v>7</v>
      </c>
      <c r="I354">
        <v>177.77</v>
      </c>
      <c r="J354" t="s">
        <v>718</v>
      </c>
      <c r="K354" t="s">
        <v>38</v>
      </c>
      <c r="L354" t="s">
        <v>19</v>
      </c>
      <c r="M354">
        <v>1</v>
      </c>
      <c r="N354">
        <v>1244.3900000000001</v>
      </c>
    </row>
    <row r="355" spans="1:14" x14ac:dyDescent="0.3">
      <c r="A355" t="s">
        <v>719</v>
      </c>
      <c r="B355" t="s">
        <v>25</v>
      </c>
      <c r="C355" s="1">
        <v>45116</v>
      </c>
      <c r="D355" s="2">
        <f>YEAR(Table1[[#This Row],[PurchaseDate]])</f>
        <v>2023</v>
      </c>
      <c r="E355" s="2" t="str">
        <f>"Q"&amp;ROUNDUP(MONTH(Table1[[#This Row],[PurchaseDate]])/3,0)</f>
        <v>Q3</v>
      </c>
      <c r="F355" s="2">
        <f>MONTH(Table1[[#This Row],[PurchaseDate]])</f>
        <v>7</v>
      </c>
      <c r="G355" s="2" t="str">
        <f>TEXT(Table1[[#This Row],[PurchaseDate]],"MMM")</f>
        <v>Jul</v>
      </c>
      <c r="H355">
        <v>7</v>
      </c>
      <c r="I355">
        <v>512.21</v>
      </c>
      <c r="J355" t="s">
        <v>720</v>
      </c>
      <c r="K355" t="s">
        <v>38</v>
      </c>
      <c r="L355" t="s">
        <v>19</v>
      </c>
      <c r="M355">
        <v>5</v>
      </c>
      <c r="N355">
        <v>3585.47</v>
      </c>
    </row>
    <row r="356" spans="1:14" x14ac:dyDescent="0.3">
      <c r="A356" t="s">
        <v>721</v>
      </c>
      <c r="B356" t="s">
        <v>11</v>
      </c>
      <c r="C356" s="1">
        <v>45704</v>
      </c>
      <c r="D356" s="2">
        <f>YEAR(Table1[[#This Row],[PurchaseDate]])</f>
        <v>2025</v>
      </c>
      <c r="E356" s="2" t="str">
        <f>"Q"&amp;ROUNDUP(MONTH(Table1[[#This Row],[PurchaseDate]])/3,0)</f>
        <v>Q1</v>
      </c>
      <c r="F356" s="2">
        <f>MONTH(Table1[[#This Row],[PurchaseDate]])</f>
        <v>2</v>
      </c>
      <c r="G356" s="2" t="str">
        <f>TEXT(Table1[[#This Row],[PurchaseDate]],"MMM")</f>
        <v>Feb</v>
      </c>
      <c r="H356">
        <v>1</v>
      </c>
      <c r="I356">
        <v>205.77</v>
      </c>
      <c r="J356" t="s">
        <v>722</v>
      </c>
      <c r="K356" t="s">
        <v>18</v>
      </c>
      <c r="L356" t="s">
        <v>14</v>
      </c>
      <c r="M356">
        <v>1</v>
      </c>
      <c r="N356">
        <v>205.77</v>
      </c>
    </row>
    <row r="357" spans="1:14" x14ac:dyDescent="0.3">
      <c r="A357" t="s">
        <v>723</v>
      </c>
      <c r="B357" t="s">
        <v>42</v>
      </c>
      <c r="C357" s="1">
        <v>45350</v>
      </c>
      <c r="D357" s="2">
        <f>YEAR(Table1[[#This Row],[PurchaseDate]])</f>
        <v>2024</v>
      </c>
      <c r="E357" s="2" t="str">
        <f>"Q"&amp;ROUNDUP(MONTH(Table1[[#This Row],[PurchaseDate]])/3,0)</f>
        <v>Q1</v>
      </c>
      <c r="F357" s="2">
        <f>MONTH(Table1[[#This Row],[PurchaseDate]])</f>
        <v>2</v>
      </c>
      <c r="G357" s="2" t="str">
        <f>TEXT(Table1[[#This Row],[PurchaseDate]],"MMM")</f>
        <v>Feb</v>
      </c>
      <c r="H357">
        <v>8</v>
      </c>
      <c r="I357">
        <v>68.13</v>
      </c>
      <c r="J357" t="s">
        <v>724</v>
      </c>
      <c r="K357" t="s">
        <v>38</v>
      </c>
      <c r="L357" t="s">
        <v>27</v>
      </c>
      <c r="M357">
        <v>3</v>
      </c>
      <c r="N357">
        <v>545.04</v>
      </c>
    </row>
    <row r="358" spans="1:14" x14ac:dyDescent="0.3">
      <c r="A358" t="s">
        <v>725</v>
      </c>
      <c r="B358" t="s">
        <v>16</v>
      </c>
      <c r="C358" s="1">
        <v>45053</v>
      </c>
      <c r="D358" s="2">
        <f>YEAR(Table1[[#This Row],[PurchaseDate]])</f>
        <v>2023</v>
      </c>
      <c r="E358" s="2" t="str">
        <f>"Q"&amp;ROUNDUP(MONTH(Table1[[#This Row],[PurchaseDate]])/3,0)</f>
        <v>Q2</v>
      </c>
      <c r="F358" s="2">
        <f>MONTH(Table1[[#This Row],[PurchaseDate]])</f>
        <v>5</v>
      </c>
      <c r="G358" s="2" t="str">
        <f>TEXT(Table1[[#This Row],[PurchaseDate]],"MMM")</f>
        <v>May</v>
      </c>
      <c r="H358">
        <v>5</v>
      </c>
      <c r="I358">
        <v>357.16</v>
      </c>
      <c r="J358" t="s">
        <v>726</v>
      </c>
      <c r="K358" t="s">
        <v>13</v>
      </c>
      <c r="L358" t="s">
        <v>19</v>
      </c>
      <c r="M358">
        <v>3</v>
      </c>
      <c r="N358">
        <v>1785.8</v>
      </c>
    </row>
    <row r="359" spans="1:14" x14ac:dyDescent="0.3">
      <c r="A359" t="s">
        <v>727</v>
      </c>
      <c r="B359" t="s">
        <v>29</v>
      </c>
      <c r="C359" s="1">
        <v>45067</v>
      </c>
      <c r="D359" s="2">
        <f>YEAR(Table1[[#This Row],[PurchaseDate]])</f>
        <v>2023</v>
      </c>
      <c r="E359" s="2" t="str">
        <f>"Q"&amp;ROUNDUP(MONTH(Table1[[#This Row],[PurchaseDate]])/3,0)</f>
        <v>Q2</v>
      </c>
      <c r="F359" s="2">
        <f>MONTH(Table1[[#This Row],[PurchaseDate]])</f>
        <v>5</v>
      </c>
      <c r="G359" s="2" t="str">
        <f>TEXT(Table1[[#This Row],[PurchaseDate]],"MMM")</f>
        <v>May</v>
      </c>
      <c r="H359">
        <v>4</v>
      </c>
      <c r="I359">
        <v>695.57</v>
      </c>
      <c r="J359" t="s">
        <v>728</v>
      </c>
      <c r="K359" t="s">
        <v>13</v>
      </c>
      <c r="L359" t="s">
        <v>14</v>
      </c>
      <c r="M359">
        <v>3</v>
      </c>
      <c r="N359">
        <v>2782.28</v>
      </c>
    </row>
    <row r="360" spans="1:14" x14ac:dyDescent="0.3">
      <c r="A360" t="s">
        <v>729</v>
      </c>
      <c r="B360" t="s">
        <v>21</v>
      </c>
      <c r="C360" s="1">
        <v>45393</v>
      </c>
      <c r="D360" s="2">
        <f>YEAR(Table1[[#This Row],[PurchaseDate]])</f>
        <v>2024</v>
      </c>
      <c r="E360" s="2" t="str">
        <f>"Q"&amp;ROUNDUP(MONTH(Table1[[#This Row],[PurchaseDate]])/3,0)</f>
        <v>Q2</v>
      </c>
      <c r="F360" s="2">
        <f>MONTH(Table1[[#This Row],[PurchaseDate]])</f>
        <v>4</v>
      </c>
      <c r="G360" s="2" t="str">
        <f>TEXT(Table1[[#This Row],[PurchaseDate]],"MMM")</f>
        <v>Apr</v>
      </c>
      <c r="H360">
        <v>3</v>
      </c>
      <c r="I360">
        <v>260.33999999999997</v>
      </c>
      <c r="J360" t="s">
        <v>730</v>
      </c>
      <c r="K360" t="s">
        <v>13</v>
      </c>
      <c r="L360" t="s">
        <v>27</v>
      </c>
      <c r="M360">
        <v>2</v>
      </c>
      <c r="N360">
        <v>781.02</v>
      </c>
    </row>
    <row r="361" spans="1:14" x14ac:dyDescent="0.3">
      <c r="A361" t="s">
        <v>731</v>
      </c>
      <c r="B361" t="s">
        <v>42</v>
      </c>
      <c r="C361" s="1">
        <v>45244</v>
      </c>
      <c r="D361" s="2">
        <f>YEAR(Table1[[#This Row],[PurchaseDate]])</f>
        <v>2023</v>
      </c>
      <c r="E361" s="2" t="str">
        <f>"Q"&amp;ROUNDUP(MONTH(Table1[[#This Row],[PurchaseDate]])/3,0)</f>
        <v>Q4</v>
      </c>
      <c r="F361" s="2">
        <f>MONTH(Table1[[#This Row],[PurchaseDate]])</f>
        <v>11</v>
      </c>
      <c r="G361" s="2" t="str">
        <f>TEXT(Table1[[#This Row],[PurchaseDate]],"MMM")</f>
        <v>Nov</v>
      </c>
      <c r="H361">
        <v>5</v>
      </c>
      <c r="I361">
        <v>260.07</v>
      </c>
      <c r="J361" t="s">
        <v>732</v>
      </c>
      <c r="K361" t="s">
        <v>38</v>
      </c>
      <c r="L361" t="s">
        <v>58</v>
      </c>
      <c r="M361">
        <v>2</v>
      </c>
      <c r="N361">
        <v>1300.3499999999999</v>
      </c>
    </row>
    <row r="362" spans="1:14" x14ac:dyDescent="0.3">
      <c r="A362" t="s">
        <v>733</v>
      </c>
      <c r="B362" t="s">
        <v>21</v>
      </c>
      <c r="C362" s="1">
        <v>44978</v>
      </c>
      <c r="D362" s="2">
        <f>YEAR(Table1[[#This Row],[PurchaseDate]])</f>
        <v>2023</v>
      </c>
      <c r="E362" s="2" t="str">
        <f>"Q"&amp;ROUNDUP(MONTH(Table1[[#This Row],[PurchaseDate]])/3,0)</f>
        <v>Q1</v>
      </c>
      <c r="F362" s="2">
        <f>MONTH(Table1[[#This Row],[PurchaseDate]])</f>
        <v>2</v>
      </c>
      <c r="G362" s="2" t="str">
        <f>TEXT(Table1[[#This Row],[PurchaseDate]],"MMM")</f>
        <v>Feb</v>
      </c>
      <c r="H362">
        <v>8</v>
      </c>
      <c r="I362">
        <v>503.96</v>
      </c>
      <c r="J362" t="s">
        <v>734</v>
      </c>
      <c r="K362" t="s">
        <v>38</v>
      </c>
      <c r="L362" t="s">
        <v>14</v>
      </c>
      <c r="M362">
        <v>5</v>
      </c>
      <c r="N362">
        <v>4031.68</v>
      </c>
    </row>
    <row r="363" spans="1:14" x14ac:dyDescent="0.3">
      <c r="A363" t="s">
        <v>735</v>
      </c>
      <c r="B363" t="s">
        <v>34</v>
      </c>
      <c r="C363" s="1">
        <v>45114</v>
      </c>
      <c r="D363" s="2">
        <f>YEAR(Table1[[#This Row],[PurchaseDate]])</f>
        <v>2023</v>
      </c>
      <c r="E363" s="2" t="str">
        <f>"Q"&amp;ROUNDUP(MONTH(Table1[[#This Row],[PurchaseDate]])/3,0)</f>
        <v>Q3</v>
      </c>
      <c r="F363" s="2">
        <f>MONTH(Table1[[#This Row],[PurchaseDate]])</f>
        <v>7</v>
      </c>
      <c r="G363" s="2" t="str">
        <f>TEXT(Table1[[#This Row],[PurchaseDate]],"MMM")</f>
        <v>Jul</v>
      </c>
      <c r="H363">
        <v>3</v>
      </c>
      <c r="I363">
        <v>427.78</v>
      </c>
      <c r="J363" t="s">
        <v>736</v>
      </c>
      <c r="K363" t="s">
        <v>18</v>
      </c>
      <c r="L363" t="s">
        <v>58</v>
      </c>
      <c r="M363">
        <v>4</v>
      </c>
      <c r="N363">
        <v>1283.3399999999999</v>
      </c>
    </row>
    <row r="364" spans="1:14" x14ac:dyDescent="0.3">
      <c r="A364" t="s">
        <v>737</v>
      </c>
      <c r="B364" t="s">
        <v>34</v>
      </c>
      <c r="C364" s="1">
        <v>45082</v>
      </c>
      <c r="D364" s="2">
        <f>YEAR(Table1[[#This Row],[PurchaseDate]])</f>
        <v>2023</v>
      </c>
      <c r="E364" s="2" t="str">
        <f>"Q"&amp;ROUNDUP(MONTH(Table1[[#This Row],[PurchaseDate]])/3,0)</f>
        <v>Q2</v>
      </c>
      <c r="F364" s="2">
        <f>MONTH(Table1[[#This Row],[PurchaseDate]])</f>
        <v>6</v>
      </c>
      <c r="G364" s="2" t="str">
        <f>TEXT(Table1[[#This Row],[PurchaseDate]],"MMM")</f>
        <v>Jun</v>
      </c>
      <c r="H364">
        <v>3</v>
      </c>
      <c r="I364">
        <v>51.15</v>
      </c>
      <c r="J364" t="s">
        <v>738</v>
      </c>
      <c r="K364" t="s">
        <v>18</v>
      </c>
      <c r="L364" t="s">
        <v>27</v>
      </c>
      <c r="M364">
        <v>5</v>
      </c>
      <c r="N364">
        <v>153.44999999999999</v>
      </c>
    </row>
    <row r="365" spans="1:14" x14ac:dyDescent="0.3">
      <c r="A365" t="s">
        <v>739</v>
      </c>
      <c r="B365" t="s">
        <v>16</v>
      </c>
      <c r="C365" s="1">
        <v>45716</v>
      </c>
      <c r="D365" s="2">
        <f>YEAR(Table1[[#This Row],[PurchaseDate]])</f>
        <v>2025</v>
      </c>
      <c r="E365" s="2" t="str">
        <f>"Q"&amp;ROUNDUP(MONTH(Table1[[#This Row],[PurchaseDate]])/3,0)</f>
        <v>Q1</v>
      </c>
      <c r="F365" s="2">
        <f>MONTH(Table1[[#This Row],[PurchaseDate]])</f>
        <v>2</v>
      </c>
      <c r="G365" s="2" t="str">
        <f>TEXT(Table1[[#This Row],[PurchaseDate]],"MMM")</f>
        <v>Feb</v>
      </c>
      <c r="H365">
        <v>1</v>
      </c>
      <c r="I365">
        <v>761.75</v>
      </c>
      <c r="J365" t="s">
        <v>740</v>
      </c>
      <c r="K365" t="s">
        <v>18</v>
      </c>
      <c r="L365" t="s">
        <v>19</v>
      </c>
      <c r="M365">
        <v>3</v>
      </c>
      <c r="N365">
        <v>761.75</v>
      </c>
    </row>
    <row r="366" spans="1:14" x14ac:dyDescent="0.3">
      <c r="A366" t="s">
        <v>741</v>
      </c>
      <c r="B366" t="s">
        <v>34</v>
      </c>
      <c r="C366" s="1">
        <v>45452</v>
      </c>
      <c r="D366" s="2">
        <f>YEAR(Table1[[#This Row],[PurchaseDate]])</f>
        <v>2024</v>
      </c>
      <c r="E366" s="2" t="str">
        <f>"Q"&amp;ROUNDUP(MONTH(Table1[[#This Row],[PurchaseDate]])/3,0)</f>
        <v>Q2</v>
      </c>
      <c r="F366" s="2">
        <f>MONTH(Table1[[#This Row],[PurchaseDate]])</f>
        <v>6</v>
      </c>
      <c r="G366" s="2" t="str">
        <f>TEXT(Table1[[#This Row],[PurchaseDate]],"MMM")</f>
        <v>Jun</v>
      </c>
      <c r="H366">
        <v>8</v>
      </c>
      <c r="I366">
        <v>409.67</v>
      </c>
      <c r="J366" t="s">
        <v>742</v>
      </c>
      <c r="K366" t="s">
        <v>38</v>
      </c>
      <c r="L366" t="s">
        <v>23</v>
      </c>
      <c r="M366">
        <v>1</v>
      </c>
      <c r="N366">
        <v>3277.36</v>
      </c>
    </row>
    <row r="367" spans="1:14" x14ac:dyDescent="0.3">
      <c r="A367" t="s">
        <v>743</v>
      </c>
      <c r="B367" t="s">
        <v>42</v>
      </c>
      <c r="C367" s="1">
        <v>44936</v>
      </c>
      <c r="D367" s="2">
        <f>YEAR(Table1[[#This Row],[PurchaseDate]])</f>
        <v>2023</v>
      </c>
      <c r="E367" s="2" t="str">
        <f>"Q"&amp;ROUNDUP(MONTH(Table1[[#This Row],[PurchaseDate]])/3,0)</f>
        <v>Q1</v>
      </c>
      <c r="F367" s="2">
        <f>MONTH(Table1[[#This Row],[PurchaseDate]])</f>
        <v>1</v>
      </c>
      <c r="G367" s="2" t="str">
        <f>TEXT(Table1[[#This Row],[PurchaseDate]],"MMM")</f>
        <v>Jan</v>
      </c>
      <c r="H367">
        <v>1</v>
      </c>
      <c r="I367">
        <v>584.28</v>
      </c>
      <c r="J367" t="s">
        <v>744</v>
      </c>
      <c r="K367" t="s">
        <v>18</v>
      </c>
      <c r="L367" t="s">
        <v>14</v>
      </c>
      <c r="M367">
        <v>2</v>
      </c>
      <c r="N367">
        <v>584.28</v>
      </c>
    </row>
    <row r="368" spans="1:14" x14ac:dyDescent="0.3">
      <c r="A368" t="s">
        <v>745</v>
      </c>
      <c r="B368" t="s">
        <v>42</v>
      </c>
      <c r="C368" s="1">
        <v>45487</v>
      </c>
      <c r="D368" s="2">
        <f>YEAR(Table1[[#This Row],[PurchaseDate]])</f>
        <v>2024</v>
      </c>
      <c r="E368" s="2" t="str">
        <f>"Q"&amp;ROUNDUP(MONTH(Table1[[#This Row],[PurchaseDate]])/3,0)</f>
        <v>Q3</v>
      </c>
      <c r="F368" s="2">
        <f>MONTH(Table1[[#This Row],[PurchaseDate]])</f>
        <v>7</v>
      </c>
      <c r="G368" s="2" t="str">
        <f>TEXT(Table1[[#This Row],[PurchaseDate]],"MMM")</f>
        <v>Jul</v>
      </c>
      <c r="H368">
        <v>8</v>
      </c>
      <c r="I368">
        <v>393.38</v>
      </c>
      <c r="J368" t="s">
        <v>746</v>
      </c>
      <c r="K368" t="s">
        <v>13</v>
      </c>
      <c r="L368" t="s">
        <v>19</v>
      </c>
      <c r="M368">
        <v>3</v>
      </c>
      <c r="N368">
        <v>3147.04</v>
      </c>
    </row>
    <row r="369" spans="1:14" x14ac:dyDescent="0.3">
      <c r="A369" t="s">
        <v>747</v>
      </c>
      <c r="B369" t="s">
        <v>25</v>
      </c>
      <c r="C369" s="1">
        <v>45239</v>
      </c>
      <c r="D369" s="2">
        <f>YEAR(Table1[[#This Row],[PurchaseDate]])</f>
        <v>2023</v>
      </c>
      <c r="E369" s="2" t="str">
        <f>"Q"&amp;ROUNDUP(MONTH(Table1[[#This Row],[PurchaseDate]])/3,0)</f>
        <v>Q4</v>
      </c>
      <c r="F369" s="2">
        <f>MONTH(Table1[[#This Row],[PurchaseDate]])</f>
        <v>11</v>
      </c>
      <c r="G369" s="2" t="str">
        <f>TEXT(Table1[[#This Row],[PurchaseDate]],"MMM")</f>
        <v>Nov</v>
      </c>
      <c r="H369">
        <v>4</v>
      </c>
      <c r="I369">
        <v>495.76</v>
      </c>
      <c r="J369" t="s">
        <v>748</v>
      </c>
      <c r="K369" t="s">
        <v>13</v>
      </c>
      <c r="L369" t="s">
        <v>19</v>
      </c>
      <c r="M369">
        <v>5</v>
      </c>
      <c r="N369">
        <v>1983.04</v>
      </c>
    </row>
    <row r="370" spans="1:14" x14ac:dyDescent="0.3">
      <c r="A370" t="s">
        <v>749</v>
      </c>
      <c r="B370" t="s">
        <v>29</v>
      </c>
      <c r="C370" s="1">
        <v>45194</v>
      </c>
      <c r="D370" s="2">
        <f>YEAR(Table1[[#This Row],[PurchaseDate]])</f>
        <v>2023</v>
      </c>
      <c r="E370" s="2" t="str">
        <f>"Q"&amp;ROUNDUP(MONTH(Table1[[#This Row],[PurchaseDate]])/3,0)</f>
        <v>Q3</v>
      </c>
      <c r="F370" s="2">
        <f>MONTH(Table1[[#This Row],[PurchaseDate]])</f>
        <v>9</v>
      </c>
      <c r="G370" s="2" t="str">
        <f>TEXT(Table1[[#This Row],[PurchaseDate]],"MMM")</f>
        <v>Sep</v>
      </c>
      <c r="H370">
        <v>4</v>
      </c>
      <c r="I370">
        <v>638.94000000000005</v>
      </c>
      <c r="J370" t="s">
        <v>750</v>
      </c>
      <c r="K370" t="s">
        <v>18</v>
      </c>
      <c r="L370" t="s">
        <v>14</v>
      </c>
      <c r="M370">
        <v>1</v>
      </c>
      <c r="N370">
        <v>2555.7600000000002</v>
      </c>
    </row>
    <row r="371" spans="1:14" x14ac:dyDescent="0.3">
      <c r="A371" t="s">
        <v>751</v>
      </c>
      <c r="B371" t="s">
        <v>16</v>
      </c>
      <c r="C371" s="1">
        <v>45247</v>
      </c>
      <c r="D371" s="2">
        <f>YEAR(Table1[[#This Row],[PurchaseDate]])</f>
        <v>2023</v>
      </c>
      <c r="E371" s="2" t="str">
        <f>"Q"&amp;ROUNDUP(MONTH(Table1[[#This Row],[PurchaseDate]])/3,0)</f>
        <v>Q4</v>
      </c>
      <c r="F371" s="2">
        <f>MONTH(Table1[[#This Row],[PurchaseDate]])</f>
        <v>11</v>
      </c>
      <c r="G371" s="2" t="str">
        <f>TEXT(Table1[[#This Row],[PurchaseDate]],"MMM")</f>
        <v>Nov</v>
      </c>
      <c r="H371">
        <v>3</v>
      </c>
      <c r="I371">
        <v>441.01</v>
      </c>
      <c r="J371" t="s">
        <v>752</v>
      </c>
      <c r="K371" t="s">
        <v>18</v>
      </c>
      <c r="L371" t="s">
        <v>19</v>
      </c>
      <c r="M371">
        <v>1</v>
      </c>
      <c r="N371">
        <v>1323.03</v>
      </c>
    </row>
    <row r="372" spans="1:14" x14ac:dyDescent="0.3">
      <c r="A372" t="s">
        <v>753</v>
      </c>
      <c r="B372" t="s">
        <v>25</v>
      </c>
      <c r="C372" s="1">
        <v>45157</v>
      </c>
      <c r="D372" s="2">
        <f>YEAR(Table1[[#This Row],[PurchaseDate]])</f>
        <v>2023</v>
      </c>
      <c r="E372" s="2" t="str">
        <f>"Q"&amp;ROUNDUP(MONTH(Table1[[#This Row],[PurchaseDate]])/3,0)</f>
        <v>Q3</v>
      </c>
      <c r="F372" s="2">
        <f>MONTH(Table1[[#This Row],[PurchaseDate]])</f>
        <v>8</v>
      </c>
      <c r="G372" s="2" t="str">
        <f>TEXT(Table1[[#This Row],[PurchaseDate]],"MMM")</f>
        <v>Aug</v>
      </c>
      <c r="H372">
        <v>2</v>
      </c>
      <c r="I372">
        <v>756.25</v>
      </c>
      <c r="J372" t="s">
        <v>754</v>
      </c>
      <c r="K372" t="s">
        <v>38</v>
      </c>
      <c r="L372" t="s">
        <v>27</v>
      </c>
      <c r="M372">
        <v>5</v>
      </c>
      <c r="N372">
        <v>1512.5</v>
      </c>
    </row>
    <row r="373" spans="1:14" x14ac:dyDescent="0.3">
      <c r="A373" t="s">
        <v>755</v>
      </c>
      <c r="B373" t="s">
        <v>29</v>
      </c>
      <c r="C373" s="1">
        <v>45194</v>
      </c>
      <c r="D373" s="2">
        <f>YEAR(Table1[[#This Row],[PurchaseDate]])</f>
        <v>2023</v>
      </c>
      <c r="E373" s="2" t="str">
        <f>"Q"&amp;ROUNDUP(MONTH(Table1[[#This Row],[PurchaseDate]])/3,0)</f>
        <v>Q3</v>
      </c>
      <c r="F373" s="2">
        <f>MONTH(Table1[[#This Row],[PurchaseDate]])</f>
        <v>9</v>
      </c>
      <c r="G373" s="2" t="str">
        <f>TEXT(Table1[[#This Row],[PurchaseDate]],"MMM")</f>
        <v>Sep</v>
      </c>
      <c r="H373">
        <v>3</v>
      </c>
      <c r="I373">
        <v>406.42</v>
      </c>
      <c r="J373" t="s">
        <v>756</v>
      </c>
      <c r="K373" t="s">
        <v>38</v>
      </c>
      <c r="L373" t="s">
        <v>27</v>
      </c>
      <c r="M373">
        <v>5</v>
      </c>
      <c r="N373">
        <v>1219.26</v>
      </c>
    </row>
    <row r="374" spans="1:14" x14ac:dyDescent="0.3">
      <c r="A374" t="s">
        <v>757</v>
      </c>
      <c r="B374" t="s">
        <v>34</v>
      </c>
      <c r="C374" s="1">
        <v>45101</v>
      </c>
      <c r="D374" s="2">
        <f>YEAR(Table1[[#This Row],[PurchaseDate]])</f>
        <v>2023</v>
      </c>
      <c r="E374" s="2" t="str">
        <f>"Q"&amp;ROUNDUP(MONTH(Table1[[#This Row],[PurchaseDate]])/3,0)</f>
        <v>Q2</v>
      </c>
      <c r="F374" s="2">
        <f>MONTH(Table1[[#This Row],[PurchaseDate]])</f>
        <v>6</v>
      </c>
      <c r="G374" s="2" t="str">
        <f>TEXT(Table1[[#This Row],[PurchaseDate]],"MMM")</f>
        <v>Jun</v>
      </c>
      <c r="H374">
        <v>6</v>
      </c>
      <c r="I374">
        <v>715.37</v>
      </c>
      <c r="J374" t="s">
        <v>758</v>
      </c>
      <c r="K374" t="s">
        <v>38</v>
      </c>
      <c r="L374" t="s">
        <v>58</v>
      </c>
      <c r="M374">
        <v>4</v>
      </c>
      <c r="N374">
        <v>4292.22</v>
      </c>
    </row>
    <row r="375" spans="1:14" x14ac:dyDescent="0.3">
      <c r="A375" t="s">
        <v>759</v>
      </c>
      <c r="B375" t="s">
        <v>29</v>
      </c>
      <c r="C375" s="1">
        <v>45162</v>
      </c>
      <c r="D375" s="2">
        <f>YEAR(Table1[[#This Row],[PurchaseDate]])</f>
        <v>2023</v>
      </c>
      <c r="E375" s="2" t="str">
        <f>"Q"&amp;ROUNDUP(MONTH(Table1[[#This Row],[PurchaseDate]])/3,0)</f>
        <v>Q3</v>
      </c>
      <c r="F375" s="2">
        <f>MONTH(Table1[[#This Row],[PurchaseDate]])</f>
        <v>8</v>
      </c>
      <c r="G375" s="2" t="str">
        <f>TEXT(Table1[[#This Row],[PurchaseDate]],"MMM")</f>
        <v>Aug</v>
      </c>
      <c r="H375">
        <v>8</v>
      </c>
      <c r="I375">
        <v>113.31</v>
      </c>
      <c r="J375" t="s">
        <v>760</v>
      </c>
      <c r="K375" t="s">
        <v>18</v>
      </c>
      <c r="L375" t="s">
        <v>23</v>
      </c>
      <c r="M375">
        <v>5</v>
      </c>
      <c r="N375">
        <v>906.48</v>
      </c>
    </row>
    <row r="376" spans="1:14" x14ac:dyDescent="0.3">
      <c r="A376" t="s">
        <v>761</v>
      </c>
      <c r="B376" t="s">
        <v>25</v>
      </c>
      <c r="C376" s="1">
        <v>45528</v>
      </c>
      <c r="D376" s="2">
        <f>YEAR(Table1[[#This Row],[PurchaseDate]])</f>
        <v>2024</v>
      </c>
      <c r="E376" s="2" t="str">
        <f>"Q"&amp;ROUNDUP(MONTH(Table1[[#This Row],[PurchaseDate]])/3,0)</f>
        <v>Q3</v>
      </c>
      <c r="F376" s="2">
        <f>MONTH(Table1[[#This Row],[PurchaseDate]])</f>
        <v>8</v>
      </c>
      <c r="G376" s="2" t="str">
        <f>TEXT(Table1[[#This Row],[PurchaseDate]],"MMM")</f>
        <v>Aug</v>
      </c>
      <c r="H376">
        <v>7</v>
      </c>
      <c r="I376">
        <v>217.75</v>
      </c>
      <c r="J376" t="s">
        <v>762</v>
      </c>
      <c r="K376" t="s">
        <v>13</v>
      </c>
      <c r="L376" t="s">
        <v>19</v>
      </c>
      <c r="M376">
        <v>1</v>
      </c>
      <c r="N376">
        <v>1524.25</v>
      </c>
    </row>
    <row r="377" spans="1:14" x14ac:dyDescent="0.3">
      <c r="A377" t="s">
        <v>763</v>
      </c>
      <c r="B377" t="s">
        <v>11</v>
      </c>
      <c r="C377" s="1">
        <v>45648</v>
      </c>
      <c r="D377" s="2">
        <f>YEAR(Table1[[#This Row],[PurchaseDate]])</f>
        <v>2024</v>
      </c>
      <c r="E377" s="2" t="str">
        <f>"Q"&amp;ROUNDUP(MONTH(Table1[[#This Row],[PurchaseDate]])/3,0)</f>
        <v>Q4</v>
      </c>
      <c r="F377" s="2">
        <f>MONTH(Table1[[#This Row],[PurchaseDate]])</f>
        <v>12</v>
      </c>
      <c r="G377" s="2" t="str">
        <f>TEXT(Table1[[#This Row],[PurchaseDate]],"MMM")</f>
        <v>Dec</v>
      </c>
      <c r="H377">
        <v>7</v>
      </c>
      <c r="I377">
        <v>437.14</v>
      </c>
      <c r="J377" t="s">
        <v>764</v>
      </c>
      <c r="K377" t="s">
        <v>38</v>
      </c>
      <c r="L377" t="s">
        <v>19</v>
      </c>
      <c r="M377">
        <v>1</v>
      </c>
      <c r="N377">
        <v>3059.98</v>
      </c>
    </row>
    <row r="378" spans="1:14" x14ac:dyDescent="0.3">
      <c r="A378" t="s">
        <v>765</v>
      </c>
      <c r="B378" t="s">
        <v>34</v>
      </c>
      <c r="C378" s="1">
        <v>45317</v>
      </c>
      <c r="D378" s="2">
        <f>YEAR(Table1[[#This Row],[PurchaseDate]])</f>
        <v>2024</v>
      </c>
      <c r="E378" s="2" t="str">
        <f>"Q"&amp;ROUNDUP(MONTH(Table1[[#This Row],[PurchaseDate]])/3,0)</f>
        <v>Q1</v>
      </c>
      <c r="F378" s="2">
        <f>MONTH(Table1[[#This Row],[PurchaseDate]])</f>
        <v>1</v>
      </c>
      <c r="G378" s="2" t="str">
        <f>TEXT(Table1[[#This Row],[PurchaseDate]],"MMM")</f>
        <v>Jan</v>
      </c>
      <c r="H378">
        <v>2</v>
      </c>
      <c r="I378">
        <v>722.32</v>
      </c>
      <c r="J378" t="s">
        <v>766</v>
      </c>
      <c r="K378" t="s">
        <v>13</v>
      </c>
      <c r="L378" t="s">
        <v>19</v>
      </c>
      <c r="M378">
        <v>4</v>
      </c>
      <c r="N378">
        <v>1444.64</v>
      </c>
    </row>
    <row r="379" spans="1:14" x14ac:dyDescent="0.3">
      <c r="A379" t="s">
        <v>767</v>
      </c>
      <c r="B379" t="s">
        <v>21</v>
      </c>
      <c r="C379" s="1">
        <v>45765</v>
      </c>
      <c r="D379" s="2">
        <f>YEAR(Table1[[#This Row],[PurchaseDate]])</f>
        <v>2025</v>
      </c>
      <c r="E379" s="2" t="str">
        <f>"Q"&amp;ROUNDUP(MONTH(Table1[[#This Row],[PurchaseDate]])/3,0)</f>
        <v>Q2</v>
      </c>
      <c r="F379" s="2">
        <f>MONTH(Table1[[#This Row],[PurchaseDate]])</f>
        <v>4</v>
      </c>
      <c r="G379" s="2" t="str">
        <f>TEXT(Table1[[#This Row],[PurchaseDate]],"MMM")</f>
        <v>Apr</v>
      </c>
      <c r="H379">
        <v>3</v>
      </c>
      <c r="I379">
        <v>27.28</v>
      </c>
      <c r="J379" t="s">
        <v>768</v>
      </c>
      <c r="K379" t="s">
        <v>38</v>
      </c>
      <c r="L379" t="s">
        <v>19</v>
      </c>
      <c r="M379">
        <v>1</v>
      </c>
      <c r="N379">
        <v>81.84</v>
      </c>
    </row>
    <row r="380" spans="1:14" x14ac:dyDescent="0.3">
      <c r="A380" t="s">
        <v>769</v>
      </c>
      <c r="B380" t="s">
        <v>21</v>
      </c>
      <c r="C380" s="1">
        <v>45085</v>
      </c>
      <c r="D380" s="2">
        <f>YEAR(Table1[[#This Row],[PurchaseDate]])</f>
        <v>2023</v>
      </c>
      <c r="E380" s="2" t="str">
        <f>"Q"&amp;ROUNDUP(MONTH(Table1[[#This Row],[PurchaseDate]])/3,0)</f>
        <v>Q2</v>
      </c>
      <c r="F380" s="2">
        <f>MONTH(Table1[[#This Row],[PurchaseDate]])</f>
        <v>6</v>
      </c>
      <c r="G380" s="2" t="str">
        <f>TEXT(Table1[[#This Row],[PurchaseDate]],"MMM")</f>
        <v>Jun</v>
      </c>
      <c r="H380">
        <v>6</v>
      </c>
      <c r="I380">
        <v>215.4</v>
      </c>
      <c r="J380" t="s">
        <v>770</v>
      </c>
      <c r="K380" t="s">
        <v>38</v>
      </c>
      <c r="L380" t="s">
        <v>19</v>
      </c>
      <c r="M380">
        <v>5</v>
      </c>
      <c r="N380">
        <v>1292.4000000000001</v>
      </c>
    </row>
    <row r="381" spans="1:14" x14ac:dyDescent="0.3">
      <c r="A381" t="s">
        <v>771</v>
      </c>
      <c r="B381" t="s">
        <v>16</v>
      </c>
      <c r="C381" s="1">
        <v>45803</v>
      </c>
      <c r="D381" s="2">
        <f>YEAR(Table1[[#This Row],[PurchaseDate]])</f>
        <v>2025</v>
      </c>
      <c r="E381" s="2" t="str">
        <f>"Q"&amp;ROUNDUP(MONTH(Table1[[#This Row],[PurchaseDate]])/3,0)</f>
        <v>Q2</v>
      </c>
      <c r="F381" s="2">
        <f>MONTH(Table1[[#This Row],[PurchaseDate]])</f>
        <v>5</v>
      </c>
      <c r="G381" s="2" t="str">
        <f>TEXT(Table1[[#This Row],[PurchaseDate]],"MMM")</f>
        <v>May</v>
      </c>
      <c r="H381">
        <v>8</v>
      </c>
      <c r="I381">
        <v>432.92</v>
      </c>
      <c r="J381" t="s">
        <v>772</v>
      </c>
      <c r="K381" t="s">
        <v>13</v>
      </c>
      <c r="L381" t="s">
        <v>58</v>
      </c>
      <c r="M381">
        <v>4</v>
      </c>
      <c r="N381">
        <v>3463.36</v>
      </c>
    </row>
    <row r="382" spans="1:14" x14ac:dyDescent="0.3">
      <c r="A382" t="s">
        <v>677</v>
      </c>
      <c r="B382" t="s">
        <v>42</v>
      </c>
      <c r="C382" s="1">
        <v>45759</v>
      </c>
      <c r="D382" s="2">
        <f>YEAR(Table1[[#This Row],[PurchaseDate]])</f>
        <v>2025</v>
      </c>
      <c r="E382" s="2" t="str">
        <f>"Q"&amp;ROUNDUP(MONTH(Table1[[#This Row],[PurchaseDate]])/3,0)</f>
        <v>Q2</v>
      </c>
      <c r="F382" s="2">
        <f>MONTH(Table1[[#This Row],[PurchaseDate]])</f>
        <v>4</v>
      </c>
      <c r="G382" s="2" t="str">
        <f>TEXT(Table1[[#This Row],[PurchaseDate]],"MMM")</f>
        <v>Apr</v>
      </c>
      <c r="H382">
        <v>4</v>
      </c>
      <c r="I382">
        <v>720.67</v>
      </c>
      <c r="J382" t="s">
        <v>678</v>
      </c>
      <c r="K382" t="s">
        <v>18</v>
      </c>
      <c r="L382" t="s">
        <v>14</v>
      </c>
      <c r="M382">
        <v>5</v>
      </c>
      <c r="N382">
        <v>2882.68</v>
      </c>
    </row>
    <row r="383" spans="1:14" x14ac:dyDescent="0.3">
      <c r="A383" t="s">
        <v>773</v>
      </c>
      <c r="B383" t="s">
        <v>29</v>
      </c>
      <c r="C383" s="1">
        <v>44986</v>
      </c>
      <c r="D383" s="2">
        <f>YEAR(Table1[[#This Row],[PurchaseDate]])</f>
        <v>2023</v>
      </c>
      <c r="E383" s="2" t="str">
        <f>"Q"&amp;ROUNDUP(MONTH(Table1[[#This Row],[PurchaseDate]])/3,0)</f>
        <v>Q1</v>
      </c>
      <c r="F383" s="2">
        <f>MONTH(Table1[[#This Row],[PurchaseDate]])</f>
        <v>3</v>
      </c>
      <c r="G383" s="2" t="str">
        <f>TEXT(Table1[[#This Row],[PurchaseDate]],"MMM")</f>
        <v>Mar</v>
      </c>
      <c r="H383">
        <v>3</v>
      </c>
      <c r="I383">
        <v>449.93</v>
      </c>
      <c r="J383" t="s">
        <v>774</v>
      </c>
      <c r="K383" t="s">
        <v>18</v>
      </c>
      <c r="L383" t="s">
        <v>14</v>
      </c>
      <c r="M383">
        <v>4</v>
      </c>
      <c r="N383">
        <v>1349.79</v>
      </c>
    </row>
    <row r="384" spans="1:14" x14ac:dyDescent="0.3">
      <c r="A384" t="s">
        <v>775</v>
      </c>
      <c r="B384" t="s">
        <v>42</v>
      </c>
      <c r="C384" s="1">
        <v>45328</v>
      </c>
      <c r="D384" s="2">
        <f>YEAR(Table1[[#This Row],[PurchaseDate]])</f>
        <v>2024</v>
      </c>
      <c r="E384" s="2" t="str">
        <f>"Q"&amp;ROUNDUP(MONTH(Table1[[#This Row],[PurchaseDate]])/3,0)</f>
        <v>Q1</v>
      </c>
      <c r="F384" s="2">
        <f>MONTH(Table1[[#This Row],[PurchaseDate]])</f>
        <v>2</v>
      </c>
      <c r="G384" s="2" t="str">
        <f>TEXT(Table1[[#This Row],[PurchaseDate]],"MMM")</f>
        <v>Feb</v>
      </c>
      <c r="H384">
        <v>6</v>
      </c>
      <c r="I384">
        <v>329.82</v>
      </c>
      <c r="J384" t="s">
        <v>776</v>
      </c>
      <c r="K384" t="s">
        <v>38</v>
      </c>
      <c r="L384" t="s">
        <v>19</v>
      </c>
      <c r="M384">
        <v>3</v>
      </c>
      <c r="N384">
        <v>1978.92</v>
      </c>
    </row>
    <row r="385" spans="1:14" x14ac:dyDescent="0.3">
      <c r="A385" t="s">
        <v>777</v>
      </c>
      <c r="B385" t="s">
        <v>11</v>
      </c>
      <c r="C385" s="1">
        <v>45135</v>
      </c>
      <c r="D385" s="2">
        <f>YEAR(Table1[[#This Row],[PurchaseDate]])</f>
        <v>2023</v>
      </c>
      <c r="E385" s="2" t="str">
        <f>"Q"&amp;ROUNDUP(MONTH(Table1[[#This Row],[PurchaseDate]])/3,0)</f>
        <v>Q3</v>
      </c>
      <c r="F385" s="2">
        <f>MONTH(Table1[[#This Row],[PurchaseDate]])</f>
        <v>7</v>
      </c>
      <c r="G385" s="2" t="str">
        <f>TEXT(Table1[[#This Row],[PurchaseDate]],"MMM")</f>
        <v>Jul</v>
      </c>
      <c r="H385">
        <v>4</v>
      </c>
      <c r="I385">
        <v>309.29000000000002</v>
      </c>
      <c r="J385" t="s">
        <v>778</v>
      </c>
      <c r="K385" t="s">
        <v>18</v>
      </c>
      <c r="L385" t="s">
        <v>14</v>
      </c>
      <c r="M385">
        <v>5</v>
      </c>
      <c r="N385">
        <v>1237.1600000000001</v>
      </c>
    </row>
    <row r="386" spans="1:14" x14ac:dyDescent="0.3">
      <c r="A386" t="s">
        <v>779</v>
      </c>
      <c r="B386" t="s">
        <v>25</v>
      </c>
      <c r="C386" s="1">
        <v>44950</v>
      </c>
      <c r="D386" s="2">
        <f>YEAR(Table1[[#This Row],[PurchaseDate]])</f>
        <v>2023</v>
      </c>
      <c r="E386" s="2" t="str">
        <f>"Q"&amp;ROUNDUP(MONTH(Table1[[#This Row],[PurchaseDate]])/3,0)</f>
        <v>Q1</v>
      </c>
      <c r="F386" s="2">
        <f>MONTH(Table1[[#This Row],[PurchaseDate]])</f>
        <v>1</v>
      </c>
      <c r="G386" s="2" t="str">
        <f>TEXT(Table1[[#This Row],[PurchaseDate]],"MMM")</f>
        <v>Jan</v>
      </c>
      <c r="H386">
        <v>7</v>
      </c>
      <c r="I386">
        <v>482.97</v>
      </c>
      <c r="J386" t="s">
        <v>780</v>
      </c>
      <c r="K386" t="s">
        <v>18</v>
      </c>
      <c r="L386" t="s">
        <v>23</v>
      </c>
      <c r="M386">
        <v>4</v>
      </c>
      <c r="N386">
        <v>3380.79</v>
      </c>
    </row>
    <row r="387" spans="1:14" x14ac:dyDescent="0.3">
      <c r="A387" t="s">
        <v>781</v>
      </c>
      <c r="B387" t="s">
        <v>11</v>
      </c>
      <c r="C387" s="1">
        <v>45336</v>
      </c>
      <c r="D387" s="2">
        <f>YEAR(Table1[[#This Row],[PurchaseDate]])</f>
        <v>2024</v>
      </c>
      <c r="E387" s="2" t="str">
        <f>"Q"&amp;ROUNDUP(MONTH(Table1[[#This Row],[PurchaseDate]])/3,0)</f>
        <v>Q1</v>
      </c>
      <c r="F387" s="2">
        <f>MONTH(Table1[[#This Row],[PurchaseDate]])</f>
        <v>2</v>
      </c>
      <c r="G387" s="2" t="str">
        <f>TEXT(Table1[[#This Row],[PurchaseDate]],"MMM")</f>
        <v>Feb</v>
      </c>
      <c r="H387">
        <v>3</v>
      </c>
      <c r="I387">
        <v>120.15</v>
      </c>
      <c r="J387" t="s">
        <v>782</v>
      </c>
      <c r="K387" t="s">
        <v>38</v>
      </c>
      <c r="L387" t="s">
        <v>27</v>
      </c>
      <c r="M387">
        <v>1</v>
      </c>
      <c r="N387">
        <v>360.45</v>
      </c>
    </row>
    <row r="388" spans="1:14" x14ac:dyDescent="0.3">
      <c r="A388" t="s">
        <v>783</v>
      </c>
      <c r="B388" t="s">
        <v>25</v>
      </c>
      <c r="C388" s="1">
        <v>45616</v>
      </c>
      <c r="D388" s="2">
        <f>YEAR(Table1[[#This Row],[PurchaseDate]])</f>
        <v>2024</v>
      </c>
      <c r="E388" s="2" t="str">
        <f>"Q"&amp;ROUNDUP(MONTH(Table1[[#This Row],[PurchaseDate]])/3,0)</f>
        <v>Q4</v>
      </c>
      <c r="F388" s="2">
        <f>MONTH(Table1[[#This Row],[PurchaseDate]])</f>
        <v>11</v>
      </c>
      <c r="G388" s="2" t="str">
        <f>TEXT(Table1[[#This Row],[PurchaseDate]],"MMM")</f>
        <v>Nov</v>
      </c>
      <c r="H388">
        <v>8</v>
      </c>
      <c r="I388">
        <v>519.87</v>
      </c>
      <c r="J388" t="s">
        <v>784</v>
      </c>
      <c r="K388" t="s">
        <v>38</v>
      </c>
      <c r="L388" t="s">
        <v>19</v>
      </c>
      <c r="M388">
        <v>1</v>
      </c>
      <c r="N388">
        <v>4158.96</v>
      </c>
    </row>
    <row r="389" spans="1:14" x14ac:dyDescent="0.3">
      <c r="A389" t="s">
        <v>785</v>
      </c>
      <c r="B389" t="s">
        <v>21</v>
      </c>
      <c r="C389" s="1">
        <v>45094</v>
      </c>
      <c r="D389" s="2">
        <f>YEAR(Table1[[#This Row],[PurchaseDate]])</f>
        <v>2023</v>
      </c>
      <c r="E389" s="2" t="str">
        <f>"Q"&amp;ROUNDUP(MONTH(Table1[[#This Row],[PurchaseDate]])/3,0)</f>
        <v>Q2</v>
      </c>
      <c r="F389" s="2">
        <f>MONTH(Table1[[#This Row],[PurchaseDate]])</f>
        <v>6</v>
      </c>
      <c r="G389" s="2" t="str">
        <f>TEXT(Table1[[#This Row],[PurchaseDate]],"MMM")</f>
        <v>Jun</v>
      </c>
      <c r="H389">
        <v>2</v>
      </c>
      <c r="I389">
        <v>584.52</v>
      </c>
      <c r="J389" t="s">
        <v>786</v>
      </c>
      <c r="K389" t="s">
        <v>18</v>
      </c>
      <c r="L389" t="s">
        <v>58</v>
      </c>
      <c r="M389">
        <v>1</v>
      </c>
      <c r="N389">
        <v>1169.04</v>
      </c>
    </row>
    <row r="390" spans="1:14" x14ac:dyDescent="0.3">
      <c r="A390" t="s">
        <v>787</v>
      </c>
      <c r="B390" t="s">
        <v>21</v>
      </c>
      <c r="C390" s="1">
        <v>45673</v>
      </c>
      <c r="D390" s="2">
        <f>YEAR(Table1[[#This Row],[PurchaseDate]])</f>
        <v>2025</v>
      </c>
      <c r="E390" s="2" t="str">
        <f>"Q"&amp;ROUNDUP(MONTH(Table1[[#This Row],[PurchaseDate]])/3,0)</f>
        <v>Q1</v>
      </c>
      <c r="F390" s="2">
        <f>MONTH(Table1[[#This Row],[PurchaseDate]])</f>
        <v>1</v>
      </c>
      <c r="G390" s="2" t="str">
        <f>TEXT(Table1[[#This Row],[PurchaseDate]],"MMM")</f>
        <v>Jan</v>
      </c>
      <c r="H390">
        <v>5</v>
      </c>
      <c r="I390">
        <v>69.94</v>
      </c>
      <c r="J390" t="s">
        <v>788</v>
      </c>
      <c r="K390" t="s">
        <v>38</v>
      </c>
      <c r="L390" t="s">
        <v>19</v>
      </c>
      <c r="M390">
        <v>1</v>
      </c>
      <c r="N390">
        <v>349.7</v>
      </c>
    </row>
    <row r="391" spans="1:14" x14ac:dyDescent="0.3">
      <c r="A391" t="s">
        <v>789</v>
      </c>
      <c r="B391" t="s">
        <v>21</v>
      </c>
      <c r="C391" s="1">
        <v>45386</v>
      </c>
      <c r="D391" s="2">
        <f>YEAR(Table1[[#This Row],[PurchaseDate]])</f>
        <v>2024</v>
      </c>
      <c r="E391" s="2" t="str">
        <f>"Q"&amp;ROUNDUP(MONTH(Table1[[#This Row],[PurchaseDate]])/3,0)</f>
        <v>Q2</v>
      </c>
      <c r="F391" s="2">
        <f>MONTH(Table1[[#This Row],[PurchaseDate]])</f>
        <v>4</v>
      </c>
      <c r="G391" s="2" t="str">
        <f>TEXT(Table1[[#This Row],[PurchaseDate]],"MMM")</f>
        <v>Apr</v>
      </c>
      <c r="H391">
        <v>2</v>
      </c>
      <c r="I391">
        <v>57.6</v>
      </c>
      <c r="J391" t="s">
        <v>790</v>
      </c>
      <c r="K391" t="s">
        <v>13</v>
      </c>
      <c r="L391" t="s">
        <v>58</v>
      </c>
      <c r="M391">
        <v>3</v>
      </c>
      <c r="N391">
        <v>115.2</v>
      </c>
    </row>
    <row r="392" spans="1:14" x14ac:dyDescent="0.3">
      <c r="A392" t="s">
        <v>791</v>
      </c>
      <c r="B392" t="s">
        <v>25</v>
      </c>
      <c r="C392" s="1">
        <v>45077</v>
      </c>
      <c r="D392" s="2">
        <f>YEAR(Table1[[#This Row],[PurchaseDate]])</f>
        <v>2023</v>
      </c>
      <c r="E392" s="2" t="str">
        <f>"Q"&amp;ROUNDUP(MONTH(Table1[[#This Row],[PurchaseDate]])/3,0)</f>
        <v>Q2</v>
      </c>
      <c r="F392" s="2">
        <f>MONTH(Table1[[#This Row],[PurchaseDate]])</f>
        <v>5</v>
      </c>
      <c r="G392" s="2" t="str">
        <f>TEXT(Table1[[#This Row],[PurchaseDate]],"MMM")</f>
        <v>May</v>
      </c>
      <c r="H392">
        <v>1</v>
      </c>
      <c r="I392">
        <v>530.29</v>
      </c>
      <c r="J392" t="s">
        <v>792</v>
      </c>
      <c r="K392" t="s">
        <v>18</v>
      </c>
      <c r="L392" t="s">
        <v>23</v>
      </c>
      <c r="M392">
        <v>4</v>
      </c>
      <c r="N392">
        <v>530.29</v>
      </c>
    </row>
    <row r="393" spans="1:14" x14ac:dyDescent="0.3">
      <c r="A393" t="s">
        <v>793</v>
      </c>
      <c r="B393" t="s">
        <v>25</v>
      </c>
      <c r="C393" s="1">
        <v>45472</v>
      </c>
      <c r="D393" s="2">
        <f>YEAR(Table1[[#This Row],[PurchaseDate]])</f>
        <v>2024</v>
      </c>
      <c r="E393" s="2" t="str">
        <f>"Q"&amp;ROUNDUP(MONTH(Table1[[#This Row],[PurchaseDate]])/3,0)</f>
        <v>Q2</v>
      </c>
      <c r="F393" s="2">
        <f>MONTH(Table1[[#This Row],[PurchaseDate]])</f>
        <v>6</v>
      </c>
      <c r="G393" s="2" t="str">
        <f>TEXT(Table1[[#This Row],[PurchaseDate]],"MMM")</f>
        <v>Jun</v>
      </c>
      <c r="H393">
        <v>4</v>
      </c>
      <c r="I393">
        <v>661.91</v>
      </c>
      <c r="J393" t="s">
        <v>794</v>
      </c>
      <c r="K393" t="s">
        <v>38</v>
      </c>
      <c r="L393" t="s">
        <v>27</v>
      </c>
      <c r="M393">
        <v>2</v>
      </c>
      <c r="N393">
        <v>2647.64</v>
      </c>
    </row>
    <row r="394" spans="1:14" x14ac:dyDescent="0.3">
      <c r="A394" t="s">
        <v>795</v>
      </c>
      <c r="B394" t="s">
        <v>25</v>
      </c>
      <c r="C394" s="1">
        <v>45081</v>
      </c>
      <c r="D394" s="2">
        <f>YEAR(Table1[[#This Row],[PurchaseDate]])</f>
        <v>2023</v>
      </c>
      <c r="E394" s="2" t="str">
        <f>"Q"&amp;ROUNDUP(MONTH(Table1[[#This Row],[PurchaseDate]])/3,0)</f>
        <v>Q2</v>
      </c>
      <c r="F394" s="2">
        <f>MONTH(Table1[[#This Row],[PurchaseDate]])</f>
        <v>6</v>
      </c>
      <c r="G394" s="2" t="str">
        <f>TEXT(Table1[[#This Row],[PurchaseDate]],"MMM")</f>
        <v>Jun</v>
      </c>
      <c r="H394">
        <v>3</v>
      </c>
      <c r="I394">
        <v>564.27</v>
      </c>
      <c r="J394" t="s">
        <v>796</v>
      </c>
      <c r="K394" t="s">
        <v>13</v>
      </c>
      <c r="L394" t="s">
        <v>23</v>
      </c>
      <c r="M394">
        <v>1</v>
      </c>
      <c r="N394">
        <v>1692.81</v>
      </c>
    </row>
    <row r="395" spans="1:14" x14ac:dyDescent="0.3">
      <c r="A395" t="s">
        <v>797</v>
      </c>
      <c r="B395" t="s">
        <v>16</v>
      </c>
      <c r="C395" s="1">
        <v>45313</v>
      </c>
      <c r="D395" s="2">
        <f>YEAR(Table1[[#This Row],[PurchaseDate]])</f>
        <v>2024</v>
      </c>
      <c r="E395" s="2" t="str">
        <f>"Q"&amp;ROUNDUP(MONTH(Table1[[#This Row],[PurchaseDate]])/3,0)</f>
        <v>Q1</v>
      </c>
      <c r="F395" s="2">
        <f>MONTH(Table1[[#This Row],[PurchaseDate]])</f>
        <v>1</v>
      </c>
      <c r="G395" s="2" t="str">
        <f>TEXT(Table1[[#This Row],[PurchaseDate]],"MMM")</f>
        <v>Jan</v>
      </c>
      <c r="H395">
        <v>1</v>
      </c>
      <c r="I395">
        <v>629.94000000000005</v>
      </c>
      <c r="J395" t="s">
        <v>798</v>
      </c>
      <c r="K395" t="s">
        <v>38</v>
      </c>
      <c r="L395" t="s">
        <v>23</v>
      </c>
      <c r="M395">
        <v>5</v>
      </c>
      <c r="N395">
        <v>629.94000000000005</v>
      </c>
    </row>
    <row r="396" spans="1:14" x14ac:dyDescent="0.3">
      <c r="A396" t="s">
        <v>799</v>
      </c>
      <c r="B396" t="s">
        <v>34</v>
      </c>
      <c r="C396" s="1">
        <v>45699</v>
      </c>
      <c r="D396" s="2">
        <f>YEAR(Table1[[#This Row],[PurchaseDate]])</f>
        <v>2025</v>
      </c>
      <c r="E396" s="2" t="str">
        <f>"Q"&amp;ROUNDUP(MONTH(Table1[[#This Row],[PurchaseDate]])/3,0)</f>
        <v>Q1</v>
      </c>
      <c r="F396" s="2">
        <f>MONTH(Table1[[#This Row],[PurchaseDate]])</f>
        <v>2</v>
      </c>
      <c r="G396" s="2" t="str">
        <f>TEXT(Table1[[#This Row],[PurchaseDate]],"MMM")</f>
        <v>Feb</v>
      </c>
      <c r="H396">
        <v>7</v>
      </c>
      <c r="I396">
        <v>263.67</v>
      </c>
      <c r="J396" t="s">
        <v>800</v>
      </c>
      <c r="K396" t="s">
        <v>13</v>
      </c>
      <c r="L396" t="s">
        <v>58</v>
      </c>
      <c r="M396">
        <v>2</v>
      </c>
      <c r="N396">
        <v>1845.69</v>
      </c>
    </row>
    <row r="397" spans="1:14" x14ac:dyDescent="0.3">
      <c r="A397" t="s">
        <v>801</v>
      </c>
      <c r="B397" t="s">
        <v>11</v>
      </c>
      <c r="C397" s="1">
        <v>45305</v>
      </c>
      <c r="D397" s="2">
        <f>YEAR(Table1[[#This Row],[PurchaseDate]])</f>
        <v>2024</v>
      </c>
      <c r="E397" s="2" t="str">
        <f>"Q"&amp;ROUNDUP(MONTH(Table1[[#This Row],[PurchaseDate]])/3,0)</f>
        <v>Q1</v>
      </c>
      <c r="F397" s="2">
        <f>MONTH(Table1[[#This Row],[PurchaseDate]])</f>
        <v>1</v>
      </c>
      <c r="G397" s="2" t="str">
        <f>TEXT(Table1[[#This Row],[PurchaseDate]],"MMM")</f>
        <v>Jan</v>
      </c>
      <c r="H397">
        <v>2</v>
      </c>
      <c r="I397">
        <v>348.71</v>
      </c>
      <c r="J397" t="s">
        <v>802</v>
      </c>
      <c r="K397" t="s">
        <v>38</v>
      </c>
      <c r="L397" t="s">
        <v>14</v>
      </c>
      <c r="M397">
        <v>3</v>
      </c>
      <c r="N397">
        <v>697.42</v>
      </c>
    </row>
    <row r="398" spans="1:14" x14ac:dyDescent="0.3">
      <c r="A398" t="s">
        <v>803</v>
      </c>
      <c r="B398" t="s">
        <v>34</v>
      </c>
      <c r="C398" s="1">
        <v>45661</v>
      </c>
      <c r="D398" s="2">
        <f>YEAR(Table1[[#This Row],[PurchaseDate]])</f>
        <v>2025</v>
      </c>
      <c r="E398" s="2" t="str">
        <f>"Q"&amp;ROUNDUP(MONTH(Table1[[#This Row],[PurchaseDate]])/3,0)</f>
        <v>Q1</v>
      </c>
      <c r="F398" s="2">
        <f>MONTH(Table1[[#This Row],[PurchaseDate]])</f>
        <v>1</v>
      </c>
      <c r="G398" s="2" t="str">
        <f>TEXT(Table1[[#This Row],[PurchaseDate]],"MMM")</f>
        <v>Jan</v>
      </c>
      <c r="H398">
        <v>3</v>
      </c>
      <c r="I398">
        <v>261.04000000000002</v>
      </c>
      <c r="J398" t="s">
        <v>804</v>
      </c>
      <c r="K398" t="s">
        <v>13</v>
      </c>
      <c r="L398" t="s">
        <v>27</v>
      </c>
      <c r="M398">
        <v>3</v>
      </c>
      <c r="N398">
        <v>783.12</v>
      </c>
    </row>
    <row r="399" spans="1:14" x14ac:dyDescent="0.3">
      <c r="A399" t="s">
        <v>805</v>
      </c>
      <c r="B399" t="s">
        <v>25</v>
      </c>
      <c r="C399" s="1">
        <v>45231</v>
      </c>
      <c r="D399" s="2">
        <f>YEAR(Table1[[#This Row],[PurchaseDate]])</f>
        <v>2023</v>
      </c>
      <c r="E399" s="2" t="str">
        <f>"Q"&amp;ROUNDUP(MONTH(Table1[[#This Row],[PurchaseDate]])/3,0)</f>
        <v>Q4</v>
      </c>
      <c r="F399" s="2">
        <f>MONTH(Table1[[#This Row],[PurchaseDate]])</f>
        <v>11</v>
      </c>
      <c r="G399" s="2" t="str">
        <f>TEXT(Table1[[#This Row],[PurchaseDate]],"MMM")</f>
        <v>Nov</v>
      </c>
      <c r="H399">
        <v>7</v>
      </c>
      <c r="I399">
        <v>568.24</v>
      </c>
      <c r="J399" t="s">
        <v>806</v>
      </c>
      <c r="K399" t="s">
        <v>38</v>
      </c>
      <c r="L399" t="s">
        <v>27</v>
      </c>
      <c r="M399">
        <v>1</v>
      </c>
      <c r="N399">
        <v>3977.68</v>
      </c>
    </row>
    <row r="400" spans="1:14" x14ac:dyDescent="0.3">
      <c r="A400" t="s">
        <v>525</v>
      </c>
      <c r="B400" t="s">
        <v>16</v>
      </c>
      <c r="C400" s="1">
        <v>44933</v>
      </c>
      <c r="D400" s="2">
        <f>YEAR(Table1[[#This Row],[PurchaseDate]])</f>
        <v>2023</v>
      </c>
      <c r="E400" s="2" t="str">
        <f>"Q"&amp;ROUNDUP(MONTH(Table1[[#This Row],[PurchaseDate]])/3,0)</f>
        <v>Q1</v>
      </c>
      <c r="F400" s="2">
        <f>MONTH(Table1[[#This Row],[PurchaseDate]])</f>
        <v>1</v>
      </c>
      <c r="G400" s="2" t="str">
        <f>TEXT(Table1[[#This Row],[PurchaseDate]],"MMM")</f>
        <v>Jan</v>
      </c>
      <c r="H400">
        <v>4</v>
      </c>
      <c r="I400">
        <v>231.12</v>
      </c>
      <c r="J400" t="s">
        <v>526</v>
      </c>
      <c r="K400" t="s">
        <v>18</v>
      </c>
      <c r="L400" t="s">
        <v>23</v>
      </c>
      <c r="M400">
        <v>3</v>
      </c>
      <c r="N400">
        <v>924.48</v>
      </c>
    </row>
    <row r="401" spans="1:14" x14ac:dyDescent="0.3">
      <c r="A401" t="s">
        <v>807</v>
      </c>
      <c r="B401" t="s">
        <v>16</v>
      </c>
      <c r="C401" s="1">
        <v>45017</v>
      </c>
      <c r="D401" s="2">
        <f>YEAR(Table1[[#This Row],[PurchaseDate]])</f>
        <v>2023</v>
      </c>
      <c r="E401" s="2" t="str">
        <f>"Q"&amp;ROUNDUP(MONTH(Table1[[#This Row],[PurchaseDate]])/3,0)</f>
        <v>Q2</v>
      </c>
      <c r="F401" s="2">
        <f>MONTH(Table1[[#This Row],[PurchaseDate]])</f>
        <v>4</v>
      </c>
      <c r="G401" s="2" t="str">
        <f>TEXT(Table1[[#This Row],[PurchaseDate]],"MMM")</f>
        <v>Apr</v>
      </c>
      <c r="H401">
        <v>1</v>
      </c>
      <c r="I401">
        <v>432.34</v>
      </c>
      <c r="J401" t="s">
        <v>808</v>
      </c>
      <c r="K401" t="s">
        <v>13</v>
      </c>
      <c r="L401" t="s">
        <v>23</v>
      </c>
      <c r="M401">
        <v>2</v>
      </c>
      <c r="N401">
        <v>432.34</v>
      </c>
    </row>
    <row r="402" spans="1:14" x14ac:dyDescent="0.3">
      <c r="A402" t="s">
        <v>809</v>
      </c>
      <c r="B402" t="s">
        <v>42</v>
      </c>
      <c r="C402" s="1">
        <v>45541</v>
      </c>
      <c r="D402" s="2">
        <f>YEAR(Table1[[#This Row],[PurchaseDate]])</f>
        <v>2024</v>
      </c>
      <c r="E402" s="2" t="str">
        <f>"Q"&amp;ROUNDUP(MONTH(Table1[[#This Row],[PurchaseDate]])/3,0)</f>
        <v>Q3</v>
      </c>
      <c r="F402" s="2">
        <f>MONTH(Table1[[#This Row],[PurchaseDate]])</f>
        <v>9</v>
      </c>
      <c r="G402" s="2" t="str">
        <f>TEXT(Table1[[#This Row],[PurchaseDate]],"MMM")</f>
        <v>Sep</v>
      </c>
      <c r="H402">
        <v>3</v>
      </c>
      <c r="I402">
        <v>253.18</v>
      </c>
      <c r="J402" t="s">
        <v>810</v>
      </c>
      <c r="K402" t="s">
        <v>38</v>
      </c>
      <c r="L402" t="s">
        <v>14</v>
      </c>
      <c r="M402">
        <v>3</v>
      </c>
      <c r="N402">
        <v>759.54</v>
      </c>
    </row>
    <row r="403" spans="1:14" x14ac:dyDescent="0.3">
      <c r="A403" t="s">
        <v>811</v>
      </c>
      <c r="B403" t="s">
        <v>29</v>
      </c>
      <c r="C403" s="1">
        <v>45435</v>
      </c>
      <c r="D403" s="2">
        <f>YEAR(Table1[[#This Row],[PurchaseDate]])</f>
        <v>2024</v>
      </c>
      <c r="E403" s="2" t="str">
        <f>"Q"&amp;ROUNDUP(MONTH(Table1[[#This Row],[PurchaseDate]])/3,0)</f>
        <v>Q2</v>
      </c>
      <c r="F403" s="2">
        <f>MONTH(Table1[[#This Row],[PurchaseDate]])</f>
        <v>5</v>
      </c>
      <c r="G403" s="2" t="str">
        <f>TEXT(Table1[[#This Row],[PurchaseDate]],"MMM")</f>
        <v>May</v>
      </c>
      <c r="H403">
        <v>7</v>
      </c>
      <c r="I403">
        <v>481.25</v>
      </c>
      <c r="J403" t="s">
        <v>812</v>
      </c>
      <c r="K403" t="s">
        <v>13</v>
      </c>
      <c r="L403" t="s">
        <v>23</v>
      </c>
      <c r="M403">
        <v>1</v>
      </c>
      <c r="N403">
        <v>3368.75</v>
      </c>
    </row>
    <row r="404" spans="1:14" x14ac:dyDescent="0.3">
      <c r="A404" t="s">
        <v>813</v>
      </c>
      <c r="B404" t="s">
        <v>29</v>
      </c>
      <c r="C404" s="1">
        <v>45507</v>
      </c>
      <c r="D404" s="2">
        <f>YEAR(Table1[[#This Row],[PurchaseDate]])</f>
        <v>2024</v>
      </c>
      <c r="E404" s="2" t="str">
        <f>"Q"&amp;ROUNDUP(MONTH(Table1[[#This Row],[PurchaseDate]])/3,0)</f>
        <v>Q3</v>
      </c>
      <c r="F404" s="2">
        <f>MONTH(Table1[[#This Row],[PurchaseDate]])</f>
        <v>8</v>
      </c>
      <c r="G404" s="2" t="str">
        <f>TEXT(Table1[[#This Row],[PurchaseDate]],"MMM")</f>
        <v>Aug</v>
      </c>
      <c r="H404">
        <v>1</v>
      </c>
      <c r="I404">
        <v>82.89</v>
      </c>
      <c r="J404" t="s">
        <v>814</v>
      </c>
      <c r="K404" t="s">
        <v>38</v>
      </c>
      <c r="L404" t="s">
        <v>27</v>
      </c>
      <c r="M404">
        <v>2</v>
      </c>
      <c r="N404">
        <v>82.89</v>
      </c>
    </row>
    <row r="405" spans="1:14" x14ac:dyDescent="0.3">
      <c r="A405" t="s">
        <v>815</v>
      </c>
      <c r="B405" t="s">
        <v>29</v>
      </c>
      <c r="C405" s="1">
        <v>45121</v>
      </c>
      <c r="D405" s="2">
        <f>YEAR(Table1[[#This Row],[PurchaseDate]])</f>
        <v>2023</v>
      </c>
      <c r="E405" s="2" t="str">
        <f>"Q"&amp;ROUNDUP(MONTH(Table1[[#This Row],[PurchaseDate]])/3,0)</f>
        <v>Q3</v>
      </c>
      <c r="F405" s="2">
        <f>MONTH(Table1[[#This Row],[PurchaseDate]])</f>
        <v>7</v>
      </c>
      <c r="G405" s="2" t="str">
        <f>TEXT(Table1[[#This Row],[PurchaseDate]],"MMM")</f>
        <v>Jul</v>
      </c>
      <c r="H405">
        <v>1</v>
      </c>
      <c r="I405">
        <v>745.08</v>
      </c>
      <c r="J405" t="s">
        <v>816</v>
      </c>
      <c r="K405" t="s">
        <v>13</v>
      </c>
      <c r="L405" t="s">
        <v>19</v>
      </c>
      <c r="M405">
        <v>5</v>
      </c>
      <c r="N405">
        <v>745.08</v>
      </c>
    </row>
    <row r="406" spans="1:14" x14ac:dyDescent="0.3">
      <c r="A406" t="s">
        <v>817</v>
      </c>
      <c r="B406" t="s">
        <v>25</v>
      </c>
      <c r="C406" s="1">
        <v>44940</v>
      </c>
      <c r="D406" s="2">
        <f>YEAR(Table1[[#This Row],[PurchaseDate]])</f>
        <v>2023</v>
      </c>
      <c r="E406" s="2" t="str">
        <f>"Q"&amp;ROUNDUP(MONTH(Table1[[#This Row],[PurchaseDate]])/3,0)</f>
        <v>Q1</v>
      </c>
      <c r="F406" s="2">
        <f>MONTH(Table1[[#This Row],[PurchaseDate]])</f>
        <v>1</v>
      </c>
      <c r="G406" s="2" t="str">
        <f>TEXT(Table1[[#This Row],[PurchaseDate]],"MMM")</f>
        <v>Jan</v>
      </c>
      <c r="H406">
        <v>8</v>
      </c>
      <c r="I406">
        <v>216.9</v>
      </c>
      <c r="J406" t="s">
        <v>818</v>
      </c>
      <c r="K406" t="s">
        <v>13</v>
      </c>
      <c r="L406" t="s">
        <v>23</v>
      </c>
      <c r="M406">
        <v>3</v>
      </c>
      <c r="N406">
        <v>1735.2</v>
      </c>
    </row>
    <row r="407" spans="1:14" x14ac:dyDescent="0.3">
      <c r="A407" t="s">
        <v>819</v>
      </c>
      <c r="B407" t="s">
        <v>16</v>
      </c>
      <c r="C407" s="1">
        <v>45771</v>
      </c>
      <c r="D407" s="2">
        <f>YEAR(Table1[[#This Row],[PurchaseDate]])</f>
        <v>2025</v>
      </c>
      <c r="E407" s="2" t="str">
        <f>"Q"&amp;ROUNDUP(MONTH(Table1[[#This Row],[PurchaseDate]])/3,0)</f>
        <v>Q2</v>
      </c>
      <c r="F407" s="2">
        <f>MONTH(Table1[[#This Row],[PurchaseDate]])</f>
        <v>4</v>
      </c>
      <c r="G407" s="2" t="str">
        <f>TEXT(Table1[[#This Row],[PurchaseDate]],"MMM")</f>
        <v>Apr</v>
      </c>
      <c r="H407">
        <v>5</v>
      </c>
      <c r="I407">
        <v>17.350000000000001</v>
      </c>
      <c r="J407" t="s">
        <v>820</v>
      </c>
      <c r="K407" t="s">
        <v>38</v>
      </c>
      <c r="L407" t="s">
        <v>14</v>
      </c>
      <c r="M407">
        <v>1</v>
      </c>
      <c r="N407">
        <v>86.75</v>
      </c>
    </row>
    <row r="408" spans="1:14" x14ac:dyDescent="0.3">
      <c r="A408" t="s">
        <v>821</v>
      </c>
      <c r="B408" t="s">
        <v>25</v>
      </c>
      <c r="C408" s="1">
        <v>45594</v>
      </c>
      <c r="D408" s="2">
        <f>YEAR(Table1[[#This Row],[PurchaseDate]])</f>
        <v>2024</v>
      </c>
      <c r="E408" s="2" t="str">
        <f>"Q"&amp;ROUNDUP(MONTH(Table1[[#This Row],[PurchaseDate]])/3,0)</f>
        <v>Q4</v>
      </c>
      <c r="F408" s="2">
        <f>MONTH(Table1[[#This Row],[PurchaseDate]])</f>
        <v>10</v>
      </c>
      <c r="G408" s="2" t="str">
        <f>TEXT(Table1[[#This Row],[PurchaseDate]],"MMM")</f>
        <v>Oct</v>
      </c>
      <c r="H408">
        <v>8</v>
      </c>
      <c r="I408">
        <v>530.29999999999995</v>
      </c>
      <c r="J408" t="s">
        <v>822</v>
      </c>
      <c r="K408" t="s">
        <v>38</v>
      </c>
      <c r="L408" t="s">
        <v>19</v>
      </c>
      <c r="M408">
        <v>3</v>
      </c>
      <c r="N408">
        <v>4242.3999999999996</v>
      </c>
    </row>
    <row r="409" spans="1:14" x14ac:dyDescent="0.3">
      <c r="A409" t="s">
        <v>823</v>
      </c>
      <c r="B409" t="s">
        <v>29</v>
      </c>
      <c r="C409" s="1">
        <v>45420</v>
      </c>
      <c r="D409" s="2">
        <f>YEAR(Table1[[#This Row],[PurchaseDate]])</f>
        <v>2024</v>
      </c>
      <c r="E409" s="2" t="str">
        <f>"Q"&amp;ROUNDUP(MONTH(Table1[[#This Row],[PurchaseDate]])/3,0)</f>
        <v>Q2</v>
      </c>
      <c r="F409" s="2">
        <f>MONTH(Table1[[#This Row],[PurchaseDate]])</f>
        <v>5</v>
      </c>
      <c r="G409" s="2" t="str">
        <f>TEXT(Table1[[#This Row],[PurchaseDate]],"MMM")</f>
        <v>May</v>
      </c>
      <c r="H409">
        <v>8</v>
      </c>
      <c r="I409">
        <v>136.9</v>
      </c>
      <c r="J409" t="s">
        <v>824</v>
      </c>
      <c r="K409" t="s">
        <v>38</v>
      </c>
      <c r="L409" t="s">
        <v>27</v>
      </c>
      <c r="M409">
        <v>1</v>
      </c>
      <c r="N409">
        <v>1095.2</v>
      </c>
    </row>
    <row r="410" spans="1:14" x14ac:dyDescent="0.3">
      <c r="A410" t="s">
        <v>825</v>
      </c>
      <c r="B410" t="s">
        <v>21</v>
      </c>
      <c r="C410" s="1">
        <v>45415</v>
      </c>
      <c r="D410" s="2">
        <f>YEAR(Table1[[#This Row],[PurchaseDate]])</f>
        <v>2024</v>
      </c>
      <c r="E410" s="2" t="str">
        <f>"Q"&amp;ROUNDUP(MONTH(Table1[[#This Row],[PurchaseDate]])/3,0)</f>
        <v>Q2</v>
      </c>
      <c r="F410" s="2">
        <f>MONTH(Table1[[#This Row],[PurchaseDate]])</f>
        <v>5</v>
      </c>
      <c r="G410" s="2" t="str">
        <f>TEXT(Table1[[#This Row],[PurchaseDate]],"MMM")</f>
        <v>May</v>
      </c>
      <c r="H410">
        <v>6</v>
      </c>
      <c r="I410">
        <v>74.8</v>
      </c>
      <c r="J410" t="s">
        <v>826</v>
      </c>
      <c r="K410" t="s">
        <v>38</v>
      </c>
      <c r="L410" t="s">
        <v>14</v>
      </c>
      <c r="M410">
        <v>5</v>
      </c>
      <c r="N410">
        <v>448.8</v>
      </c>
    </row>
    <row r="411" spans="1:14" x14ac:dyDescent="0.3">
      <c r="A411" t="s">
        <v>827</v>
      </c>
      <c r="B411" t="s">
        <v>16</v>
      </c>
      <c r="C411" s="1">
        <v>45068</v>
      </c>
      <c r="D411" s="2">
        <f>YEAR(Table1[[#This Row],[PurchaseDate]])</f>
        <v>2023</v>
      </c>
      <c r="E411" s="2" t="str">
        <f>"Q"&amp;ROUNDUP(MONTH(Table1[[#This Row],[PurchaseDate]])/3,0)</f>
        <v>Q2</v>
      </c>
      <c r="F411" s="2">
        <f>MONTH(Table1[[#This Row],[PurchaseDate]])</f>
        <v>5</v>
      </c>
      <c r="G411" s="2" t="str">
        <f>TEXT(Table1[[#This Row],[PurchaseDate]],"MMM")</f>
        <v>May</v>
      </c>
      <c r="H411">
        <v>6</v>
      </c>
      <c r="I411">
        <v>464.08</v>
      </c>
      <c r="J411" t="s">
        <v>828</v>
      </c>
      <c r="K411" t="s">
        <v>13</v>
      </c>
      <c r="L411" t="s">
        <v>23</v>
      </c>
      <c r="M411">
        <v>2</v>
      </c>
      <c r="N411">
        <v>2784.48</v>
      </c>
    </row>
    <row r="412" spans="1:14" x14ac:dyDescent="0.3">
      <c r="A412" t="s">
        <v>829</v>
      </c>
      <c r="B412" t="s">
        <v>16</v>
      </c>
      <c r="C412" s="1">
        <v>45456</v>
      </c>
      <c r="D412" s="2">
        <f>YEAR(Table1[[#This Row],[PurchaseDate]])</f>
        <v>2024</v>
      </c>
      <c r="E412" s="2" t="str">
        <f>"Q"&amp;ROUNDUP(MONTH(Table1[[#This Row],[PurchaseDate]])/3,0)</f>
        <v>Q2</v>
      </c>
      <c r="F412" s="2">
        <f>MONTH(Table1[[#This Row],[PurchaseDate]])</f>
        <v>6</v>
      </c>
      <c r="G412" s="2" t="str">
        <f>TEXT(Table1[[#This Row],[PurchaseDate]],"MMM")</f>
        <v>Jun</v>
      </c>
      <c r="H412">
        <v>7</v>
      </c>
      <c r="I412">
        <v>559.5</v>
      </c>
      <c r="J412" t="s">
        <v>830</v>
      </c>
      <c r="K412" t="s">
        <v>38</v>
      </c>
      <c r="L412" t="s">
        <v>19</v>
      </c>
      <c r="M412">
        <v>4</v>
      </c>
      <c r="N412">
        <v>3916.5</v>
      </c>
    </row>
    <row r="413" spans="1:14" x14ac:dyDescent="0.3">
      <c r="A413" t="s">
        <v>831</v>
      </c>
      <c r="B413" t="s">
        <v>25</v>
      </c>
      <c r="C413" s="1">
        <v>45261</v>
      </c>
      <c r="D413" s="2">
        <f>YEAR(Table1[[#This Row],[PurchaseDate]])</f>
        <v>2023</v>
      </c>
      <c r="E413" s="2" t="str">
        <f>"Q"&amp;ROUNDUP(MONTH(Table1[[#This Row],[PurchaseDate]])/3,0)</f>
        <v>Q4</v>
      </c>
      <c r="F413" s="2">
        <f>MONTH(Table1[[#This Row],[PurchaseDate]])</f>
        <v>12</v>
      </c>
      <c r="G413" s="2" t="str">
        <f>TEXT(Table1[[#This Row],[PurchaseDate]],"MMM")</f>
        <v>Dec</v>
      </c>
      <c r="H413">
        <v>1</v>
      </c>
      <c r="I413">
        <v>414.6</v>
      </c>
      <c r="J413" t="s">
        <v>832</v>
      </c>
      <c r="K413" t="s">
        <v>38</v>
      </c>
      <c r="L413" t="s">
        <v>27</v>
      </c>
      <c r="M413">
        <v>1</v>
      </c>
      <c r="N413">
        <v>414.6</v>
      </c>
    </row>
    <row r="414" spans="1:14" x14ac:dyDescent="0.3">
      <c r="A414" t="s">
        <v>833</v>
      </c>
      <c r="B414" t="s">
        <v>16</v>
      </c>
      <c r="C414" s="1">
        <v>45528</v>
      </c>
      <c r="D414" s="2">
        <f>YEAR(Table1[[#This Row],[PurchaseDate]])</f>
        <v>2024</v>
      </c>
      <c r="E414" s="2" t="str">
        <f>"Q"&amp;ROUNDUP(MONTH(Table1[[#This Row],[PurchaseDate]])/3,0)</f>
        <v>Q3</v>
      </c>
      <c r="F414" s="2">
        <f>MONTH(Table1[[#This Row],[PurchaseDate]])</f>
        <v>8</v>
      </c>
      <c r="G414" s="2" t="str">
        <f>TEXT(Table1[[#This Row],[PurchaseDate]],"MMM")</f>
        <v>Aug</v>
      </c>
      <c r="H414">
        <v>5</v>
      </c>
      <c r="I414">
        <v>499.05</v>
      </c>
      <c r="J414" t="s">
        <v>834</v>
      </c>
      <c r="K414" t="s">
        <v>13</v>
      </c>
      <c r="L414" t="s">
        <v>58</v>
      </c>
      <c r="M414">
        <v>5</v>
      </c>
      <c r="N414">
        <v>2495.25</v>
      </c>
    </row>
    <row r="415" spans="1:14" x14ac:dyDescent="0.3">
      <c r="A415" t="s">
        <v>835</v>
      </c>
      <c r="B415" t="s">
        <v>11</v>
      </c>
      <c r="C415" s="1">
        <v>45800</v>
      </c>
      <c r="D415" s="2">
        <f>YEAR(Table1[[#This Row],[PurchaseDate]])</f>
        <v>2025</v>
      </c>
      <c r="E415" s="2" t="str">
        <f>"Q"&amp;ROUNDUP(MONTH(Table1[[#This Row],[PurchaseDate]])/3,0)</f>
        <v>Q2</v>
      </c>
      <c r="F415" s="2">
        <f>MONTH(Table1[[#This Row],[PurchaseDate]])</f>
        <v>5</v>
      </c>
      <c r="G415" s="2" t="str">
        <f>TEXT(Table1[[#This Row],[PurchaseDate]],"MMM")</f>
        <v>May</v>
      </c>
      <c r="H415">
        <v>1</v>
      </c>
      <c r="I415">
        <v>77.64</v>
      </c>
      <c r="J415" t="s">
        <v>836</v>
      </c>
      <c r="K415" t="s">
        <v>13</v>
      </c>
      <c r="L415" t="s">
        <v>27</v>
      </c>
      <c r="M415">
        <v>4</v>
      </c>
      <c r="N415">
        <v>77.64</v>
      </c>
    </row>
    <row r="416" spans="1:14" x14ac:dyDescent="0.3">
      <c r="A416" t="s">
        <v>837</v>
      </c>
      <c r="B416" t="s">
        <v>29</v>
      </c>
      <c r="C416" s="1">
        <v>45428</v>
      </c>
      <c r="D416" s="2">
        <f>YEAR(Table1[[#This Row],[PurchaseDate]])</f>
        <v>2024</v>
      </c>
      <c r="E416" s="2" t="str">
        <f>"Q"&amp;ROUNDUP(MONTH(Table1[[#This Row],[PurchaseDate]])/3,0)</f>
        <v>Q2</v>
      </c>
      <c r="F416" s="2">
        <f>MONTH(Table1[[#This Row],[PurchaseDate]])</f>
        <v>5</v>
      </c>
      <c r="G416" s="2" t="str">
        <f>TEXT(Table1[[#This Row],[PurchaseDate]],"MMM")</f>
        <v>May</v>
      </c>
      <c r="H416">
        <v>5</v>
      </c>
      <c r="I416">
        <v>303.5</v>
      </c>
      <c r="J416" t="s">
        <v>838</v>
      </c>
      <c r="K416" t="s">
        <v>13</v>
      </c>
      <c r="L416" t="s">
        <v>19</v>
      </c>
      <c r="M416">
        <v>2</v>
      </c>
      <c r="N416">
        <v>1517.5</v>
      </c>
    </row>
    <row r="417" spans="1:14" x14ac:dyDescent="0.3">
      <c r="A417" t="s">
        <v>839</v>
      </c>
      <c r="B417" t="s">
        <v>25</v>
      </c>
      <c r="C417" s="1">
        <v>45752</v>
      </c>
      <c r="D417" s="2">
        <f>YEAR(Table1[[#This Row],[PurchaseDate]])</f>
        <v>2025</v>
      </c>
      <c r="E417" s="2" t="str">
        <f>"Q"&amp;ROUNDUP(MONTH(Table1[[#This Row],[PurchaseDate]])/3,0)</f>
        <v>Q2</v>
      </c>
      <c r="F417" s="2">
        <f>MONTH(Table1[[#This Row],[PurchaseDate]])</f>
        <v>4</v>
      </c>
      <c r="G417" s="2" t="str">
        <f>TEXT(Table1[[#This Row],[PurchaseDate]],"MMM")</f>
        <v>Apr</v>
      </c>
      <c r="H417">
        <v>4</v>
      </c>
      <c r="I417">
        <v>303.75</v>
      </c>
      <c r="J417" t="s">
        <v>840</v>
      </c>
      <c r="K417" t="s">
        <v>13</v>
      </c>
      <c r="L417" t="s">
        <v>19</v>
      </c>
      <c r="M417">
        <v>3</v>
      </c>
      <c r="N417">
        <v>1215</v>
      </c>
    </row>
    <row r="418" spans="1:14" x14ac:dyDescent="0.3">
      <c r="A418" t="s">
        <v>841</v>
      </c>
      <c r="B418" t="s">
        <v>16</v>
      </c>
      <c r="C418" s="1">
        <v>45275</v>
      </c>
      <c r="D418" s="2">
        <f>YEAR(Table1[[#This Row],[PurchaseDate]])</f>
        <v>2023</v>
      </c>
      <c r="E418" s="2" t="str">
        <f>"Q"&amp;ROUNDUP(MONTH(Table1[[#This Row],[PurchaseDate]])/3,0)</f>
        <v>Q4</v>
      </c>
      <c r="F418" s="2">
        <f>MONTH(Table1[[#This Row],[PurchaseDate]])</f>
        <v>12</v>
      </c>
      <c r="G418" s="2" t="str">
        <f>TEXT(Table1[[#This Row],[PurchaseDate]],"MMM")</f>
        <v>Dec</v>
      </c>
      <c r="H418">
        <v>7</v>
      </c>
      <c r="I418">
        <v>20.350000000000001</v>
      </c>
      <c r="J418" t="s">
        <v>842</v>
      </c>
      <c r="K418" t="s">
        <v>18</v>
      </c>
      <c r="L418" t="s">
        <v>19</v>
      </c>
      <c r="M418">
        <v>2</v>
      </c>
      <c r="N418">
        <v>142.44999999999999</v>
      </c>
    </row>
    <row r="419" spans="1:14" x14ac:dyDescent="0.3">
      <c r="A419" t="s">
        <v>843</v>
      </c>
      <c r="B419" t="s">
        <v>25</v>
      </c>
      <c r="C419" s="1">
        <v>45009</v>
      </c>
      <c r="D419" s="2">
        <f>YEAR(Table1[[#This Row],[PurchaseDate]])</f>
        <v>2023</v>
      </c>
      <c r="E419" s="2" t="str">
        <f>"Q"&amp;ROUNDUP(MONTH(Table1[[#This Row],[PurchaseDate]])/3,0)</f>
        <v>Q1</v>
      </c>
      <c r="F419" s="2">
        <f>MONTH(Table1[[#This Row],[PurchaseDate]])</f>
        <v>3</v>
      </c>
      <c r="G419" s="2" t="str">
        <f>TEXT(Table1[[#This Row],[PurchaseDate]],"MMM")</f>
        <v>Mar</v>
      </c>
      <c r="H419">
        <v>3</v>
      </c>
      <c r="I419">
        <v>365.61</v>
      </c>
      <c r="J419" t="s">
        <v>844</v>
      </c>
      <c r="K419" t="s">
        <v>13</v>
      </c>
      <c r="L419" t="s">
        <v>58</v>
      </c>
      <c r="M419">
        <v>5</v>
      </c>
      <c r="N419">
        <v>1096.83</v>
      </c>
    </row>
    <row r="420" spans="1:14" x14ac:dyDescent="0.3">
      <c r="A420" t="s">
        <v>845</v>
      </c>
      <c r="B420" t="s">
        <v>16</v>
      </c>
      <c r="C420" s="1">
        <v>45337</v>
      </c>
      <c r="D420" s="2">
        <f>YEAR(Table1[[#This Row],[PurchaseDate]])</f>
        <v>2024</v>
      </c>
      <c r="E420" s="2" t="str">
        <f>"Q"&amp;ROUNDUP(MONTH(Table1[[#This Row],[PurchaseDate]])/3,0)</f>
        <v>Q1</v>
      </c>
      <c r="F420" s="2">
        <f>MONTH(Table1[[#This Row],[PurchaseDate]])</f>
        <v>2</v>
      </c>
      <c r="G420" s="2" t="str">
        <f>TEXT(Table1[[#This Row],[PurchaseDate]],"MMM")</f>
        <v>Feb</v>
      </c>
      <c r="H420">
        <v>1</v>
      </c>
      <c r="I420">
        <v>516.73</v>
      </c>
      <c r="J420" t="s">
        <v>846</v>
      </c>
      <c r="K420" t="s">
        <v>13</v>
      </c>
      <c r="L420" t="s">
        <v>58</v>
      </c>
      <c r="M420">
        <v>1</v>
      </c>
      <c r="N420">
        <v>516.73</v>
      </c>
    </row>
    <row r="421" spans="1:14" x14ac:dyDescent="0.3">
      <c r="A421" t="s">
        <v>847</v>
      </c>
      <c r="B421" t="s">
        <v>16</v>
      </c>
      <c r="C421" s="1">
        <v>45245</v>
      </c>
      <c r="D421" s="2">
        <f>YEAR(Table1[[#This Row],[PurchaseDate]])</f>
        <v>2023</v>
      </c>
      <c r="E421" s="2" t="str">
        <f>"Q"&amp;ROUNDUP(MONTH(Table1[[#This Row],[PurchaseDate]])/3,0)</f>
        <v>Q4</v>
      </c>
      <c r="F421" s="2">
        <f>MONTH(Table1[[#This Row],[PurchaseDate]])</f>
        <v>11</v>
      </c>
      <c r="G421" s="2" t="str">
        <f>TEXT(Table1[[#This Row],[PurchaseDate]],"MMM")</f>
        <v>Nov</v>
      </c>
      <c r="H421">
        <v>5</v>
      </c>
      <c r="I421">
        <v>702.21</v>
      </c>
      <c r="J421" t="s">
        <v>848</v>
      </c>
      <c r="K421" t="s">
        <v>13</v>
      </c>
      <c r="L421" t="s">
        <v>23</v>
      </c>
      <c r="M421">
        <v>2</v>
      </c>
      <c r="N421">
        <v>3511.05</v>
      </c>
    </row>
    <row r="422" spans="1:14" x14ac:dyDescent="0.3">
      <c r="A422" t="s">
        <v>849</v>
      </c>
      <c r="B422" t="s">
        <v>21</v>
      </c>
      <c r="C422" s="1">
        <v>44985</v>
      </c>
      <c r="D422" s="2">
        <f>YEAR(Table1[[#This Row],[PurchaseDate]])</f>
        <v>2023</v>
      </c>
      <c r="E422" s="2" t="str">
        <f>"Q"&amp;ROUNDUP(MONTH(Table1[[#This Row],[PurchaseDate]])/3,0)</f>
        <v>Q1</v>
      </c>
      <c r="F422" s="2">
        <f>MONTH(Table1[[#This Row],[PurchaseDate]])</f>
        <v>2</v>
      </c>
      <c r="G422" s="2" t="str">
        <f>TEXT(Table1[[#This Row],[PurchaseDate]],"MMM")</f>
        <v>Feb</v>
      </c>
      <c r="H422">
        <v>8</v>
      </c>
      <c r="I422">
        <v>110.05</v>
      </c>
      <c r="J422" t="s">
        <v>850</v>
      </c>
      <c r="K422" t="s">
        <v>38</v>
      </c>
      <c r="L422" t="s">
        <v>23</v>
      </c>
      <c r="M422">
        <v>1</v>
      </c>
      <c r="N422">
        <v>880.4</v>
      </c>
    </row>
    <row r="423" spans="1:14" x14ac:dyDescent="0.3">
      <c r="A423" t="s">
        <v>851</v>
      </c>
      <c r="B423" t="s">
        <v>29</v>
      </c>
      <c r="C423" s="1">
        <v>45218</v>
      </c>
      <c r="D423" s="2">
        <f>YEAR(Table1[[#This Row],[PurchaseDate]])</f>
        <v>2023</v>
      </c>
      <c r="E423" s="2" t="str">
        <f>"Q"&amp;ROUNDUP(MONTH(Table1[[#This Row],[PurchaseDate]])/3,0)</f>
        <v>Q4</v>
      </c>
      <c r="F423" s="2">
        <f>MONTH(Table1[[#This Row],[PurchaseDate]])</f>
        <v>10</v>
      </c>
      <c r="G423" s="2" t="str">
        <f>TEXT(Table1[[#This Row],[PurchaseDate]],"MMM")</f>
        <v>Oct</v>
      </c>
      <c r="H423">
        <v>6</v>
      </c>
      <c r="I423">
        <v>237.61</v>
      </c>
      <c r="J423" t="s">
        <v>852</v>
      </c>
      <c r="K423" t="s">
        <v>13</v>
      </c>
      <c r="L423" t="s">
        <v>19</v>
      </c>
      <c r="M423">
        <v>1</v>
      </c>
      <c r="N423">
        <v>1425.66</v>
      </c>
    </row>
    <row r="424" spans="1:14" x14ac:dyDescent="0.3">
      <c r="A424" t="s">
        <v>853</v>
      </c>
      <c r="B424" t="s">
        <v>29</v>
      </c>
      <c r="C424" s="1">
        <v>44999</v>
      </c>
      <c r="D424" s="2">
        <f>YEAR(Table1[[#This Row],[PurchaseDate]])</f>
        <v>2023</v>
      </c>
      <c r="E424" s="2" t="str">
        <f>"Q"&amp;ROUNDUP(MONTH(Table1[[#This Row],[PurchaseDate]])/3,0)</f>
        <v>Q1</v>
      </c>
      <c r="F424" s="2">
        <f>MONTH(Table1[[#This Row],[PurchaseDate]])</f>
        <v>3</v>
      </c>
      <c r="G424" s="2" t="str">
        <f>TEXT(Table1[[#This Row],[PurchaseDate]],"MMM")</f>
        <v>Mar</v>
      </c>
      <c r="H424">
        <v>5</v>
      </c>
      <c r="I424">
        <v>518.94000000000005</v>
      </c>
      <c r="J424" t="s">
        <v>854</v>
      </c>
      <c r="K424" t="s">
        <v>18</v>
      </c>
      <c r="L424" t="s">
        <v>19</v>
      </c>
      <c r="M424">
        <v>3</v>
      </c>
      <c r="N424">
        <v>2594.6999999999998</v>
      </c>
    </row>
    <row r="425" spans="1:14" x14ac:dyDescent="0.3">
      <c r="A425" t="s">
        <v>855</v>
      </c>
      <c r="B425" t="s">
        <v>25</v>
      </c>
      <c r="C425" s="1">
        <v>45586</v>
      </c>
      <c r="D425" s="2">
        <f>YEAR(Table1[[#This Row],[PurchaseDate]])</f>
        <v>2024</v>
      </c>
      <c r="E425" s="2" t="str">
        <f>"Q"&amp;ROUNDUP(MONTH(Table1[[#This Row],[PurchaseDate]])/3,0)</f>
        <v>Q4</v>
      </c>
      <c r="F425" s="2">
        <f>MONTH(Table1[[#This Row],[PurchaseDate]])</f>
        <v>10</v>
      </c>
      <c r="G425" s="2" t="str">
        <f>TEXT(Table1[[#This Row],[PurchaseDate]],"MMM")</f>
        <v>Oct</v>
      </c>
      <c r="H425">
        <v>7</v>
      </c>
      <c r="I425">
        <v>27.92</v>
      </c>
      <c r="J425" t="s">
        <v>856</v>
      </c>
      <c r="K425" t="s">
        <v>38</v>
      </c>
      <c r="L425" t="s">
        <v>27</v>
      </c>
      <c r="M425">
        <v>1</v>
      </c>
      <c r="N425">
        <v>195.44</v>
      </c>
    </row>
    <row r="426" spans="1:14" x14ac:dyDescent="0.3">
      <c r="A426" t="s">
        <v>857</v>
      </c>
      <c r="B426" t="s">
        <v>29</v>
      </c>
      <c r="C426" s="1">
        <v>45136</v>
      </c>
      <c r="D426" s="2">
        <f>YEAR(Table1[[#This Row],[PurchaseDate]])</f>
        <v>2023</v>
      </c>
      <c r="E426" s="2" t="str">
        <f>"Q"&amp;ROUNDUP(MONTH(Table1[[#This Row],[PurchaseDate]])/3,0)</f>
        <v>Q3</v>
      </c>
      <c r="F426" s="2">
        <f>MONTH(Table1[[#This Row],[PurchaseDate]])</f>
        <v>7</v>
      </c>
      <c r="G426" s="2" t="str">
        <f>TEXT(Table1[[#This Row],[PurchaseDate]],"MMM")</f>
        <v>Jul</v>
      </c>
      <c r="H426">
        <v>7</v>
      </c>
      <c r="I426">
        <v>683.26</v>
      </c>
      <c r="J426" t="s">
        <v>858</v>
      </c>
      <c r="K426" t="s">
        <v>38</v>
      </c>
      <c r="L426" t="s">
        <v>23</v>
      </c>
      <c r="M426">
        <v>1</v>
      </c>
      <c r="N426">
        <v>4782.82</v>
      </c>
    </row>
    <row r="427" spans="1:14" x14ac:dyDescent="0.3">
      <c r="A427" t="s">
        <v>859</v>
      </c>
      <c r="B427" t="s">
        <v>29</v>
      </c>
      <c r="C427" s="1">
        <v>45409</v>
      </c>
      <c r="D427" s="2">
        <f>YEAR(Table1[[#This Row],[PurchaseDate]])</f>
        <v>2024</v>
      </c>
      <c r="E427" s="2" t="str">
        <f>"Q"&amp;ROUNDUP(MONTH(Table1[[#This Row],[PurchaseDate]])/3,0)</f>
        <v>Q2</v>
      </c>
      <c r="F427" s="2">
        <f>MONTH(Table1[[#This Row],[PurchaseDate]])</f>
        <v>4</v>
      </c>
      <c r="G427" s="2" t="str">
        <f>TEXT(Table1[[#This Row],[PurchaseDate]],"MMM")</f>
        <v>Apr</v>
      </c>
      <c r="H427">
        <v>4</v>
      </c>
      <c r="I427">
        <v>684.41</v>
      </c>
      <c r="J427" t="s">
        <v>860</v>
      </c>
      <c r="K427" t="s">
        <v>38</v>
      </c>
      <c r="L427" t="s">
        <v>23</v>
      </c>
      <c r="M427">
        <v>1</v>
      </c>
      <c r="N427">
        <v>2737.64</v>
      </c>
    </row>
    <row r="428" spans="1:14" x14ac:dyDescent="0.3">
      <c r="A428" t="s">
        <v>565</v>
      </c>
      <c r="B428" t="s">
        <v>25</v>
      </c>
      <c r="C428" s="1">
        <v>45532</v>
      </c>
      <c r="D428" s="2">
        <f>YEAR(Table1[[#This Row],[PurchaseDate]])</f>
        <v>2024</v>
      </c>
      <c r="E428" s="2" t="str">
        <f>"Q"&amp;ROUNDUP(MONTH(Table1[[#This Row],[PurchaseDate]])/3,0)</f>
        <v>Q3</v>
      </c>
      <c r="F428" s="2">
        <f>MONTH(Table1[[#This Row],[PurchaseDate]])</f>
        <v>8</v>
      </c>
      <c r="G428" s="2" t="str">
        <f>TEXT(Table1[[#This Row],[PurchaseDate]],"MMM")</f>
        <v>Aug</v>
      </c>
      <c r="H428">
        <v>4</v>
      </c>
      <c r="I428">
        <v>657.98</v>
      </c>
      <c r="J428" t="s">
        <v>566</v>
      </c>
      <c r="K428" t="s">
        <v>38</v>
      </c>
      <c r="L428" t="s">
        <v>23</v>
      </c>
      <c r="M428">
        <v>5</v>
      </c>
      <c r="N428">
        <v>2631.92</v>
      </c>
    </row>
    <row r="429" spans="1:14" x14ac:dyDescent="0.3">
      <c r="A429" t="s">
        <v>861</v>
      </c>
      <c r="B429" t="s">
        <v>34</v>
      </c>
      <c r="C429" s="1">
        <v>45550</v>
      </c>
      <c r="D429" s="2">
        <f>YEAR(Table1[[#This Row],[PurchaseDate]])</f>
        <v>2024</v>
      </c>
      <c r="E429" s="2" t="str">
        <f>"Q"&amp;ROUNDUP(MONTH(Table1[[#This Row],[PurchaseDate]])/3,0)</f>
        <v>Q3</v>
      </c>
      <c r="F429" s="2">
        <f>MONTH(Table1[[#This Row],[PurchaseDate]])</f>
        <v>9</v>
      </c>
      <c r="G429" s="2" t="str">
        <f>TEXT(Table1[[#This Row],[PurchaseDate]],"MMM")</f>
        <v>Sep</v>
      </c>
      <c r="H429">
        <v>1</v>
      </c>
      <c r="I429">
        <v>349.98</v>
      </c>
      <c r="J429" t="s">
        <v>862</v>
      </c>
      <c r="K429" t="s">
        <v>18</v>
      </c>
      <c r="L429" t="s">
        <v>19</v>
      </c>
      <c r="M429">
        <v>4</v>
      </c>
      <c r="N429">
        <v>349.98</v>
      </c>
    </row>
    <row r="430" spans="1:14" x14ac:dyDescent="0.3">
      <c r="A430" t="s">
        <v>863</v>
      </c>
      <c r="B430" t="s">
        <v>16</v>
      </c>
      <c r="C430" s="1">
        <v>45697</v>
      </c>
      <c r="D430" s="2">
        <f>YEAR(Table1[[#This Row],[PurchaseDate]])</f>
        <v>2025</v>
      </c>
      <c r="E430" s="2" t="str">
        <f>"Q"&amp;ROUNDUP(MONTH(Table1[[#This Row],[PurchaseDate]])/3,0)</f>
        <v>Q1</v>
      </c>
      <c r="F430" s="2">
        <f>MONTH(Table1[[#This Row],[PurchaseDate]])</f>
        <v>2</v>
      </c>
      <c r="G430" s="2" t="str">
        <f>TEXT(Table1[[#This Row],[PurchaseDate]],"MMM")</f>
        <v>Feb</v>
      </c>
      <c r="H430">
        <v>3</v>
      </c>
      <c r="I430">
        <v>19.55</v>
      </c>
      <c r="J430" t="s">
        <v>864</v>
      </c>
      <c r="K430" t="s">
        <v>13</v>
      </c>
      <c r="L430" t="s">
        <v>23</v>
      </c>
      <c r="M430">
        <v>2</v>
      </c>
      <c r="N430">
        <v>58.65</v>
      </c>
    </row>
    <row r="431" spans="1:14" x14ac:dyDescent="0.3">
      <c r="A431" t="s">
        <v>865</v>
      </c>
      <c r="B431" t="s">
        <v>25</v>
      </c>
      <c r="C431" s="1">
        <v>45130</v>
      </c>
      <c r="D431" s="2">
        <f>YEAR(Table1[[#This Row],[PurchaseDate]])</f>
        <v>2023</v>
      </c>
      <c r="E431" s="2" t="str">
        <f>"Q"&amp;ROUNDUP(MONTH(Table1[[#This Row],[PurchaseDate]])/3,0)</f>
        <v>Q3</v>
      </c>
      <c r="F431" s="2">
        <f>MONTH(Table1[[#This Row],[PurchaseDate]])</f>
        <v>7</v>
      </c>
      <c r="G431" s="2" t="str">
        <f>TEXT(Table1[[#This Row],[PurchaseDate]],"MMM")</f>
        <v>Jul</v>
      </c>
      <c r="H431">
        <v>6</v>
      </c>
      <c r="I431">
        <v>383.87</v>
      </c>
      <c r="J431" t="s">
        <v>866</v>
      </c>
      <c r="K431" t="s">
        <v>13</v>
      </c>
      <c r="L431" t="s">
        <v>58</v>
      </c>
      <c r="M431">
        <v>5</v>
      </c>
      <c r="N431">
        <v>2303.2199999999998</v>
      </c>
    </row>
    <row r="432" spans="1:14" x14ac:dyDescent="0.3">
      <c r="A432" t="s">
        <v>867</v>
      </c>
      <c r="B432" t="s">
        <v>21</v>
      </c>
      <c r="C432" s="1">
        <v>45517</v>
      </c>
      <c r="D432" s="2">
        <f>YEAR(Table1[[#This Row],[PurchaseDate]])</f>
        <v>2024</v>
      </c>
      <c r="E432" s="2" t="str">
        <f>"Q"&amp;ROUNDUP(MONTH(Table1[[#This Row],[PurchaseDate]])/3,0)</f>
        <v>Q3</v>
      </c>
      <c r="F432" s="2">
        <f>MONTH(Table1[[#This Row],[PurchaseDate]])</f>
        <v>8</v>
      </c>
      <c r="G432" s="2" t="str">
        <f>TEXT(Table1[[#This Row],[PurchaseDate]],"MMM")</f>
        <v>Aug</v>
      </c>
      <c r="H432">
        <v>7</v>
      </c>
      <c r="I432">
        <v>19.420000000000002</v>
      </c>
      <c r="J432" t="s">
        <v>868</v>
      </c>
      <c r="K432" t="s">
        <v>18</v>
      </c>
      <c r="L432" t="s">
        <v>27</v>
      </c>
      <c r="M432">
        <v>2</v>
      </c>
      <c r="N432">
        <v>135.94</v>
      </c>
    </row>
    <row r="433" spans="1:14" x14ac:dyDescent="0.3">
      <c r="A433" t="s">
        <v>869</v>
      </c>
      <c r="B433" t="s">
        <v>42</v>
      </c>
      <c r="C433" s="1">
        <v>44997</v>
      </c>
      <c r="D433" s="2">
        <f>YEAR(Table1[[#This Row],[PurchaseDate]])</f>
        <v>2023</v>
      </c>
      <c r="E433" s="2" t="str">
        <f>"Q"&amp;ROUNDUP(MONTH(Table1[[#This Row],[PurchaseDate]])/3,0)</f>
        <v>Q1</v>
      </c>
      <c r="F433" s="2">
        <f>MONTH(Table1[[#This Row],[PurchaseDate]])</f>
        <v>3</v>
      </c>
      <c r="G433" s="2" t="str">
        <f>TEXT(Table1[[#This Row],[PurchaseDate]],"MMM")</f>
        <v>Mar</v>
      </c>
      <c r="H433">
        <v>3</v>
      </c>
      <c r="I433">
        <v>555.37</v>
      </c>
      <c r="J433" t="s">
        <v>870</v>
      </c>
      <c r="K433" t="s">
        <v>13</v>
      </c>
      <c r="L433" t="s">
        <v>23</v>
      </c>
      <c r="M433">
        <v>2</v>
      </c>
      <c r="N433">
        <v>1666.11</v>
      </c>
    </row>
    <row r="434" spans="1:14" x14ac:dyDescent="0.3">
      <c r="A434" t="s">
        <v>871</v>
      </c>
      <c r="B434" t="s">
        <v>11</v>
      </c>
      <c r="C434" s="1">
        <v>45779</v>
      </c>
      <c r="D434" s="2">
        <f>YEAR(Table1[[#This Row],[PurchaseDate]])</f>
        <v>2025</v>
      </c>
      <c r="E434" s="2" t="str">
        <f>"Q"&amp;ROUNDUP(MONTH(Table1[[#This Row],[PurchaseDate]])/3,0)</f>
        <v>Q2</v>
      </c>
      <c r="F434" s="2">
        <f>MONTH(Table1[[#This Row],[PurchaseDate]])</f>
        <v>5</v>
      </c>
      <c r="G434" s="2" t="str">
        <f>TEXT(Table1[[#This Row],[PurchaseDate]],"MMM")</f>
        <v>May</v>
      </c>
      <c r="H434">
        <v>4</v>
      </c>
      <c r="I434">
        <v>10.25</v>
      </c>
      <c r="J434" t="s">
        <v>872</v>
      </c>
      <c r="K434" t="s">
        <v>38</v>
      </c>
      <c r="L434" t="s">
        <v>19</v>
      </c>
      <c r="M434">
        <v>5</v>
      </c>
      <c r="N434">
        <v>41</v>
      </c>
    </row>
    <row r="435" spans="1:14" x14ac:dyDescent="0.3">
      <c r="A435" t="s">
        <v>873</v>
      </c>
      <c r="B435" t="s">
        <v>25</v>
      </c>
      <c r="C435" s="1">
        <v>45379</v>
      </c>
      <c r="D435" s="2">
        <f>YEAR(Table1[[#This Row],[PurchaseDate]])</f>
        <v>2024</v>
      </c>
      <c r="E435" s="2" t="str">
        <f>"Q"&amp;ROUNDUP(MONTH(Table1[[#This Row],[PurchaseDate]])/3,0)</f>
        <v>Q1</v>
      </c>
      <c r="F435" s="2">
        <f>MONTH(Table1[[#This Row],[PurchaseDate]])</f>
        <v>3</v>
      </c>
      <c r="G435" s="2" t="str">
        <f>TEXT(Table1[[#This Row],[PurchaseDate]],"MMM")</f>
        <v>Mar</v>
      </c>
      <c r="H435">
        <v>2</v>
      </c>
      <c r="I435">
        <v>166.58</v>
      </c>
      <c r="J435" t="s">
        <v>874</v>
      </c>
      <c r="K435" t="s">
        <v>13</v>
      </c>
      <c r="L435" t="s">
        <v>58</v>
      </c>
      <c r="M435">
        <v>2</v>
      </c>
      <c r="N435">
        <v>333.16</v>
      </c>
    </row>
    <row r="436" spans="1:14" x14ac:dyDescent="0.3">
      <c r="A436" t="s">
        <v>875</v>
      </c>
      <c r="B436" t="s">
        <v>29</v>
      </c>
      <c r="C436" s="1">
        <v>45719</v>
      </c>
      <c r="D436" s="2">
        <f>YEAR(Table1[[#This Row],[PurchaseDate]])</f>
        <v>2025</v>
      </c>
      <c r="E436" s="2" t="str">
        <f>"Q"&amp;ROUNDUP(MONTH(Table1[[#This Row],[PurchaseDate]])/3,0)</f>
        <v>Q1</v>
      </c>
      <c r="F436" s="2">
        <f>MONTH(Table1[[#This Row],[PurchaseDate]])</f>
        <v>3</v>
      </c>
      <c r="G436" s="2" t="str">
        <f>TEXT(Table1[[#This Row],[PurchaseDate]],"MMM")</f>
        <v>Mar</v>
      </c>
      <c r="H436">
        <v>2</v>
      </c>
      <c r="I436">
        <v>624.33000000000004</v>
      </c>
      <c r="J436" t="s">
        <v>876</v>
      </c>
      <c r="K436" t="s">
        <v>13</v>
      </c>
      <c r="L436" t="s">
        <v>23</v>
      </c>
      <c r="M436">
        <v>3</v>
      </c>
      <c r="N436">
        <v>1248.6600000000001</v>
      </c>
    </row>
    <row r="437" spans="1:14" x14ac:dyDescent="0.3">
      <c r="A437" t="s">
        <v>845</v>
      </c>
      <c r="B437" t="s">
        <v>16</v>
      </c>
      <c r="C437" s="1">
        <v>45553</v>
      </c>
      <c r="D437" s="2">
        <f>YEAR(Table1[[#This Row],[PurchaseDate]])</f>
        <v>2024</v>
      </c>
      <c r="E437" s="2" t="str">
        <f>"Q"&amp;ROUNDUP(MONTH(Table1[[#This Row],[PurchaseDate]])/3,0)</f>
        <v>Q3</v>
      </c>
      <c r="F437" s="2">
        <f>MONTH(Table1[[#This Row],[PurchaseDate]])</f>
        <v>9</v>
      </c>
      <c r="G437" s="2" t="str">
        <f>TEXT(Table1[[#This Row],[PurchaseDate]],"MMM")</f>
        <v>Sep</v>
      </c>
      <c r="H437">
        <v>7</v>
      </c>
      <c r="I437">
        <v>133.05000000000001</v>
      </c>
      <c r="J437" t="s">
        <v>846</v>
      </c>
      <c r="K437" t="s">
        <v>13</v>
      </c>
      <c r="L437" t="s">
        <v>23</v>
      </c>
      <c r="M437">
        <v>2</v>
      </c>
      <c r="N437">
        <v>931.35</v>
      </c>
    </row>
    <row r="438" spans="1:14" x14ac:dyDescent="0.3">
      <c r="A438" t="s">
        <v>877</v>
      </c>
      <c r="B438" t="s">
        <v>29</v>
      </c>
      <c r="C438" s="1">
        <v>45031</v>
      </c>
      <c r="D438" s="2">
        <f>YEAR(Table1[[#This Row],[PurchaseDate]])</f>
        <v>2023</v>
      </c>
      <c r="E438" s="2" t="str">
        <f>"Q"&amp;ROUNDUP(MONTH(Table1[[#This Row],[PurchaseDate]])/3,0)</f>
        <v>Q2</v>
      </c>
      <c r="F438" s="2">
        <f>MONTH(Table1[[#This Row],[PurchaseDate]])</f>
        <v>4</v>
      </c>
      <c r="G438" s="2" t="str">
        <f>TEXT(Table1[[#This Row],[PurchaseDate]],"MMM")</f>
        <v>Apr</v>
      </c>
      <c r="H438">
        <v>5</v>
      </c>
      <c r="I438">
        <v>104.19</v>
      </c>
      <c r="J438" t="s">
        <v>878</v>
      </c>
      <c r="K438" t="s">
        <v>13</v>
      </c>
      <c r="L438" t="s">
        <v>27</v>
      </c>
      <c r="M438">
        <v>5</v>
      </c>
      <c r="N438">
        <v>520.95000000000005</v>
      </c>
    </row>
    <row r="439" spans="1:14" x14ac:dyDescent="0.3">
      <c r="A439" t="s">
        <v>879</v>
      </c>
      <c r="B439" t="s">
        <v>11</v>
      </c>
      <c r="C439" s="1">
        <v>45499</v>
      </c>
      <c r="D439" s="2">
        <f>YEAR(Table1[[#This Row],[PurchaseDate]])</f>
        <v>2024</v>
      </c>
      <c r="E439" s="2" t="str">
        <f>"Q"&amp;ROUNDUP(MONTH(Table1[[#This Row],[PurchaseDate]])/3,0)</f>
        <v>Q3</v>
      </c>
      <c r="F439" s="2">
        <f>MONTH(Table1[[#This Row],[PurchaseDate]])</f>
        <v>7</v>
      </c>
      <c r="G439" s="2" t="str">
        <f>TEXT(Table1[[#This Row],[PurchaseDate]],"MMM")</f>
        <v>Jul</v>
      </c>
      <c r="H439">
        <v>3</v>
      </c>
      <c r="I439">
        <v>516.73</v>
      </c>
      <c r="J439" t="s">
        <v>880</v>
      </c>
      <c r="K439" t="s">
        <v>38</v>
      </c>
      <c r="L439" t="s">
        <v>27</v>
      </c>
      <c r="M439">
        <v>5</v>
      </c>
      <c r="N439">
        <v>1550.19</v>
      </c>
    </row>
    <row r="440" spans="1:14" x14ac:dyDescent="0.3">
      <c r="A440" t="s">
        <v>881</v>
      </c>
      <c r="B440" t="s">
        <v>25</v>
      </c>
      <c r="C440" s="1">
        <v>45577</v>
      </c>
      <c r="D440" s="2">
        <f>YEAR(Table1[[#This Row],[PurchaseDate]])</f>
        <v>2024</v>
      </c>
      <c r="E440" s="2" t="str">
        <f>"Q"&amp;ROUNDUP(MONTH(Table1[[#This Row],[PurchaseDate]])/3,0)</f>
        <v>Q4</v>
      </c>
      <c r="F440" s="2">
        <f>MONTH(Table1[[#This Row],[PurchaseDate]])</f>
        <v>10</v>
      </c>
      <c r="G440" s="2" t="str">
        <f>TEXT(Table1[[#This Row],[PurchaseDate]],"MMM")</f>
        <v>Oct</v>
      </c>
      <c r="H440">
        <v>3</v>
      </c>
      <c r="I440">
        <v>88.31</v>
      </c>
      <c r="J440" t="s">
        <v>882</v>
      </c>
      <c r="K440" t="s">
        <v>13</v>
      </c>
      <c r="L440" t="s">
        <v>14</v>
      </c>
      <c r="M440">
        <v>1</v>
      </c>
      <c r="N440">
        <v>264.93</v>
      </c>
    </row>
    <row r="441" spans="1:14" x14ac:dyDescent="0.3">
      <c r="A441" t="s">
        <v>883</v>
      </c>
      <c r="B441" t="s">
        <v>21</v>
      </c>
      <c r="C441" s="1">
        <v>45193</v>
      </c>
      <c r="D441" s="2">
        <f>YEAR(Table1[[#This Row],[PurchaseDate]])</f>
        <v>2023</v>
      </c>
      <c r="E441" s="2" t="str">
        <f>"Q"&amp;ROUNDUP(MONTH(Table1[[#This Row],[PurchaseDate]])/3,0)</f>
        <v>Q3</v>
      </c>
      <c r="F441" s="2">
        <f>MONTH(Table1[[#This Row],[PurchaseDate]])</f>
        <v>9</v>
      </c>
      <c r="G441" s="2" t="str">
        <f>TEXT(Table1[[#This Row],[PurchaseDate]],"MMM")</f>
        <v>Sep</v>
      </c>
      <c r="H441">
        <v>7</v>
      </c>
      <c r="I441">
        <v>290.45</v>
      </c>
      <c r="J441" t="s">
        <v>884</v>
      </c>
      <c r="K441" t="s">
        <v>13</v>
      </c>
      <c r="L441" t="s">
        <v>27</v>
      </c>
      <c r="M441">
        <v>1</v>
      </c>
      <c r="N441">
        <v>2033.15</v>
      </c>
    </row>
    <row r="442" spans="1:14" x14ac:dyDescent="0.3">
      <c r="A442" t="s">
        <v>885</v>
      </c>
      <c r="B442" t="s">
        <v>16</v>
      </c>
      <c r="C442" s="1">
        <v>45461</v>
      </c>
      <c r="D442" s="2">
        <f>YEAR(Table1[[#This Row],[PurchaseDate]])</f>
        <v>2024</v>
      </c>
      <c r="E442" s="2" t="str">
        <f>"Q"&amp;ROUNDUP(MONTH(Table1[[#This Row],[PurchaseDate]])/3,0)</f>
        <v>Q2</v>
      </c>
      <c r="F442" s="2">
        <f>MONTH(Table1[[#This Row],[PurchaseDate]])</f>
        <v>6</v>
      </c>
      <c r="G442" s="2" t="str">
        <f>TEXT(Table1[[#This Row],[PurchaseDate]],"MMM")</f>
        <v>Jun</v>
      </c>
      <c r="H442">
        <v>3</v>
      </c>
      <c r="I442">
        <v>531.92999999999995</v>
      </c>
      <c r="J442" t="s">
        <v>886</v>
      </c>
      <c r="K442" t="s">
        <v>13</v>
      </c>
      <c r="L442" t="s">
        <v>19</v>
      </c>
      <c r="M442">
        <v>2</v>
      </c>
      <c r="N442">
        <v>1595.79</v>
      </c>
    </row>
    <row r="443" spans="1:14" x14ac:dyDescent="0.3">
      <c r="A443" t="s">
        <v>887</v>
      </c>
      <c r="B443" t="s">
        <v>11</v>
      </c>
      <c r="C443" s="1">
        <v>45493</v>
      </c>
      <c r="D443" s="2">
        <f>YEAR(Table1[[#This Row],[PurchaseDate]])</f>
        <v>2024</v>
      </c>
      <c r="E443" s="2" t="str">
        <f>"Q"&amp;ROUNDUP(MONTH(Table1[[#This Row],[PurchaseDate]])/3,0)</f>
        <v>Q3</v>
      </c>
      <c r="F443" s="2">
        <f>MONTH(Table1[[#This Row],[PurchaseDate]])</f>
        <v>7</v>
      </c>
      <c r="G443" s="2" t="str">
        <f>TEXT(Table1[[#This Row],[PurchaseDate]],"MMM")</f>
        <v>Jul</v>
      </c>
      <c r="H443">
        <v>5</v>
      </c>
      <c r="I443">
        <v>702.3</v>
      </c>
      <c r="J443" t="s">
        <v>888</v>
      </c>
      <c r="K443" t="s">
        <v>18</v>
      </c>
      <c r="L443" t="s">
        <v>19</v>
      </c>
      <c r="M443">
        <v>1</v>
      </c>
      <c r="N443">
        <v>3511.5</v>
      </c>
    </row>
    <row r="444" spans="1:14" x14ac:dyDescent="0.3">
      <c r="A444" t="s">
        <v>889</v>
      </c>
      <c r="B444" t="s">
        <v>29</v>
      </c>
      <c r="C444" s="1">
        <v>45456</v>
      </c>
      <c r="D444" s="2">
        <f>YEAR(Table1[[#This Row],[PurchaseDate]])</f>
        <v>2024</v>
      </c>
      <c r="E444" s="2" t="str">
        <f>"Q"&amp;ROUNDUP(MONTH(Table1[[#This Row],[PurchaseDate]])/3,0)</f>
        <v>Q2</v>
      </c>
      <c r="F444" s="2">
        <f>MONTH(Table1[[#This Row],[PurchaseDate]])</f>
        <v>6</v>
      </c>
      <c r="G444" s="2" t="str">
        <f>TEXT(Table1[[#This Row],[PurchaseDate]],"MMM")</f>
        <v>Jun</v>
      </c>
      <c r="H444">
        <v>1</v>
      </c>
      <c r="I444">
        <v>218.84</v>
      </c>
      <c r="J444" t="s">
        <v>890</v>
      </c>
      <c r="K444" t="s">
        <v>18</v>
      </c>
      <c r="L444" t="s">
        <v>27</v>
      </c>
      <c r="M444">
        <v>1</v>
      </c>
      <c r="N444">
        <v>218.84</v>
      </c>
    </row>
    <row r="445" spans="1:14" x14ac:dyDescent="0.3">
      <c r="A445" t="s">
        <v>891</v>
      </c>
      <c r="B445" t="s">
        <v>11</v>
      </c>
      <c r="C445" s="1">
        <v>45219</v>
      </c>
      <c r="D445" s="2">
        <f>YEAR(Table1[[#This Row],[PurchaseDate]])</f>
        <v>2023</v>
      </c>
      <c r="E445" s="2" t="str">
        <f>"Q"&amp;ROUNDUP(MONTH(Table1[[#This Row],[PurchaseDate]])/3,0)</f>
        <v>Q4</v>
      </c>
      <c r="F445" s="2">
        <f>MONTH(Table1[[#This Row],[PurchaseDate]])</f>
        <v>10</v>
      </c>
      <c r="G445" s="2" t="str">
        <f>TEXT(Table1[[#This Row],[PurchaseDate]],"MMM")</f>
        <v>Oct</v>
      </c>
      <c r="H445">
        <v>3</v>
      </c>
      <c r="I445">
        <v>221.64</v>
      </c>
      <c r="J445" t="s">
        <v>892</v>
      </c>
      <c r="K445" t="s">
        <v>18</v>
      </c>
      <c r="L445" t="s">
        <v>58</v>
      </c>
      <c r="M445">
        <v>2</v>
      </c>
      <c r="N445">
        <v>664.92</v>
      </c>
    </row>
    <row r="446" spans="1:14" x14ac:dyDescent="0.3">
      <c r="A446" t="s">
        <v>893</v>
      </c>
      <c r="B446" t="s">
        <v>16</v>
      </c>
      <c r="C446" s="1">
        <v>45377</v>
      </c>
      <c r="D446" s="2">
        <f>YEAR(Table1[[#This Row],[PurchaseDate]])</f>
        <v>2024</v>
      </c>
      <c r="E446" s="2" t="str">
        <f>"Q"&amp;ROUNDUP(MONTH(Table1[[#This Row],[PurchaseDate]])/3,0)</f>
        <v>Q1</v>
      </c>
      <c r="F446" s="2">
        <f>MONTH(Table1[[#This Row],[PurchaseDate]])</f>
        <v>3</v>
      </c>
      <c r="G446" s="2" t="str">
        <f>TEXT(Table1[[#This Row],[PurchaseDate]],"MMM")</f>
        <v>Mar</v>
      </c>
      <c r="H446">
        <v>2</v>
      </c>
      <c r="I446">
        <v>709.1</v>
      </c>
      <c r="J446" t="s">
        <v>894</v>
      </c>
      <c r="K446" t="s">
        <v>38</v>
      </c>
      <c r="L446" t="s">
        <v>14</v>
      </c>
      <c r="M446">
        <v>2</v>
      </c>
      <c r="N446">
        <v>1418.2</v>
      </c>
    </row>
    <row r="447" spans="1:14" x14ac:dyDescent="0.3">
      <c r="A447" t="s">
        <v>895</v>
      </c>
      <c r="B447" t="s">
        <v>42</v>
      </c>
      <c r="C447" s="1">
        <v>45436</v>
      </c>
      <c r="D447" s="2">
        <f>YEAR(Table1[[#This Row],[PurchaseDate]])</f>
        <v>2024</v>
      </c>
      <c r="E447" s="2" t="str">
        <f>"Q"&amp;ROUNDUP(MONTH(Table1[[#This Row],[PurchaseDate]])/3,0)</f>
        <v>Q2</v>
      </c>
      <c r="F447" s="2">
        <f>MONTH(Table1[[#This Row],[PurchaseDate]])</f>
        <v>5</v>
      </c>
      <c r="G447" s="2" t="str">
        <f>TEXT(Table1[[#This Row],[PurchaseDate]],"MMM")</f>
        <v>May</v>
      </c>
      <c r="H447">
        <v>5</v>
      </c>
      <c r="I447">
        <v>120.08</v>
      </c>
      <c r="J447" t="s">
        <v>896</v>
      </c>
      <c r="K447" t="s">
        <v>13</v>
      </c>
      <c r="L447" t="s">
        <v>19</v>
      </c>
      <c r="M447">
        <v>2</v>
      </c>
      <c r="N447">
        <v>600.4</v>
      </c>
    </row>
    <row r="448" spans="1:14" x14ac:dyDescent="0.3">
      <c r="A448" t="s">
        <v>897</v>
      </c>
      <c r="B448" t="s">
        <v>16</v>
      </c>
      <c r="C448" s="1">
        <v>45639</v>
      </c>
      <c r="D448" s="2">
        <f>YEAR(Table1[[#This Row],[PurchaseDate]])</f>
        <v>2024</v>
      </c>
      <c r="E448" s="2" t="str">
        <f>"Q"&amp;ROUNDUP(MONTH(Table1[[#This Row],[PurchaseDate]])/3,0)</f>
        <v>Q4</v>
      </c>
      <c r="F448" s="2">
        <f>MONTH(Table1[[#This Row],[PurchaseDate]])</f>
        <v>12</v>
      </c>
      <c r="G448" s="2" t="str">
        <f>TEXT(Table1[[#This Row],[PurchaseDate]],"MMM")</f>
        <v>Dec</v>
      </c>
      <c r="H448">
        <v>5</v>
      </c>
      <c r="I448">
        <v>63.8</v>
      </c>
      <c r="J448" t="s">
        <v>898</v>
      </c>
      <c r="K448" t="s">
        <v>38</v>
      </c>
      <c r="L448" t="s">
        <v>19</v>
      </c>
      <c r="M448">
        <v>3</v>
      </c>
      <c r="N448">
        <v>319</v>
      </c>
    </row>
    <row r="449" spans="1:14" x14ac:dyDescent="0.3">
      <c r="A449" t="s">
        <v>899</v>
      </c>
      <c r="B449" t="s">
        <v>29</v>
      </c>
      <c r="C449" s="1">
        <v>45034</v>
      </c>
      <c r="D449" s="2">
        <f>YEAR(Table1[[#This Row],[PurchaseDate]])</f>
        <v>2023</v>
      </c>
      <c r="E449" s="2" t="str">
        <f>"Q"&amp;ROUNDUP(MONTH(Table1[[#This Row],[PurchaseDate]])/3,0)</f>
        <v>Q2</v>
      </c>
      <c r="F449" s="2">
        <f>MONTH(Table1[[#This Row],[PurchaseDate]])</f>
        <v>4</v>
      </c>
      <c r="G449" s="2" t="str">
        <f>TEXT(Table1[[#This Row],[PurchaseDate]],"MMM")</f>
        <v>Apr</v>
      </c>
      <c r="H449">
        <v>8</v>
      </c>
      <c r="I449">
        <v>243.93</v>
      </c>
      <c r="J449" t="s">
        <v>900</v>
      </c>
      <c r="K449" t="s">
        <v>38</v>
      </c>
      <c r="L449" t="s">
        <v>14</v>
      </c>
      <c r="M449">
        <v>2</v>
      </c>
      <c r="N449">
        <v>1951.44</v>
      </c>
    </row>
    <row r="450" spans="1:14" x14ac:dyDescent="0.3">
      <c r="A450" t="s">
        <v>901</v>
      </c>
      <c r="B450" t="s">
        <v>34</v>
      </c>
      <c r="C450" s="1">
        <v>45745</v>
      </c>
      <c r="D450" s="2">
        <f>YEAR(Table1[[#This Row],[PurchaseDate]])</f>
        <v>2025</v>
      </c>
      <c r="E450" s="2" t="str">
        <f>"Q"&amp;ROUNDUP(MONTH(Table1[[#This Row],[PurchaseDate]])/3,0)</f>
        <v>Q1</v>
      </c>
      <c r="F450" s="2">
        <f>MONTH(Table1[[#This Row],[PurchaseDate]])</f>
        <v>3</v>
      </c>
      <c r="G450" s="2" t="str">
        <f>TEXT(Table1[[#This Row],[PurchaseDate]],"MMM")</f>
        <v>Mar</v>
      </c>
      <c r="H450">
        <v>7</v>
      </c>
      <c r="I450">
        <v>177.44</v>
      </c>
      <c r="J450" t="s">
        <v>902</v>
      </c>
      <c r="K450" t="s">
        <v>18</v>
      </c>
      <c r="L450" t="s">
        <v>58</v>
      </c>
      <c r="M450">
        <v>3</v>
      </c>
      <c r="N450">
        <v>1242.08</v>
      </c>
    </row>
    <row r="451" spans="1:14" x14ac:dyDescent="0.3">
      <c r="A451" t="s">
        <v>903</v>
      </c>
      <c r="B451" t="s">
        <v>11</v>
      </c>
      <c r="C451" s="1">
        <v>45189</v>
      </c>
      <c r="D451" s="2">
        <f>YEAR(Table1[[#This Row],[PurchaseDate]])</f>
        <v>2023</v>
      </c>
      <c r="E451" s="2" t="str">
        <f>"Q"&amp;ROUNDUP(MONTH(Table1[[#This Row],[PurchaseDate]])/3,0)</f>
        <v>Q3</v>
      </c>
      <c r="F451" s="2">
        <f>MONTH(Table1[[#This Row],[PurchaseDate]])</f>
        <v>9</v>
      </c>
      <c r="G451" s="2" t="str">
        <f>TEXT(Table1[[#This Row],[PurchaseDate]],"MMM")</f>
        <v>Sep</v>
      </c>
      <c r="H451">
        <v>5</v>
      </c>
      <c r="I451">
        <v>783.12</v>
      </c>
      <c r="J451" t="s">
        <v>904</v>
      </c>
      <c r="K451" t="s">
        <v>13</v>
      </c>
      <c r="L451" t="s">
        <v>19</v>
      </c>
      <c r="M451">
        <v>1</v>
      </c>
      <c r="N451">
        <v>3915.6</v>
      </c>
    </row>
    <row r="452" spans="1:14" x14ac:dyDescent="0.3">
      <c r="A452" t="s">
        <v>905</v>
      </c>
      <c r="B452" t="s">
        <v>34</v>
      </c>
      <c r="C452" s="1">
        <v>45210</v>
      </c>
      <c r="D452" s="2">
        <f>YEAR(Table1[[#This Row],[PurchaseDate]])</f>
        <v>2023</v>
      </c>
      <c r="E452" s="2" t="str">
        <f>"Q"&amp;ROUNDUP(MONTH(Table1[[#This Row],[PurchaseDate]])/3,0)</f>
        <v>Q4</v>
      </c>
      <c r="F452" s="2">
        <f>MONTH(Table1[[#This Row],[PurchaseDate]])</f>
        <v>10</v>
      </c>
      <c r="G452" s="2" t="str">
        <f>TEXT(Table1[[#This Row],[PurchaseDate]],"MMM")</f>
        <v>Oct</v>
      </c>
      <c r="H452">
        <v>3</v>
      </c>
      <c r="I452">
        <v>756.71</v>
      </c>
      <c r="J452" t="s">
        <v>906</v>
      </c>
      <c r="K452" t="s">
        <v>13</v>
      </c>
      <c r="L452" t="s">
        <v>27</v>
      </c>
      <c r="M452">
        <v>1</v>
      </c>
      <c r="N452">
        <v>2270.13</v>
      </c>
    </row>
    <row r="453" spans="1:14" x14ac:dyDescent="0.3">
      <c r="A453" t="s">
        <v>907</v>
      </c>
      <c r="B453" t="s">
        <v>34</v>
      </c>
      <c r="C453" s="1">
        <v>45740</v>
      </c>
      <c r="D453" s="2">
        <f>YEAR(Table1[[#This Row],[PurchaseDate]])</f>
        <v>2025</v>
      </c>
      <c r="E453" s="2" t="str">
        <f>"Q"&amp;ROUNDUP(MONTH(Table1[[#This Row],[PurchaseDate]])/3,0)</f>
        <v>Q1</v>
      </c>
      <c r="F453" s="2">
        <f>MONTH(Table1[[#This Row],[PurchaseDate]])</f>
        <v>3</v>
      </c>
      <c r="G453" s="2" t="str">
        <f>TEXT(Table1[[#This Row],[PurchaseDate]],"MMM")</f>
        <v>Mar</v>
      </c>
      <c r="H453">
        <v>5</v>
      </c>
      <c r="I453">
        <v>650.99</v>
      </c>
      <c r="J453" t="s">
        <v>908</v>
      </c>
      <c r="K453" t="s">
        <v>18</v>
      </c>
      <c r="L453" t="s">
        <v>14</v>
      </c>
      <c r="M453">
        <v>3</v>
      </c>
      <c r="N453">
        <v>3254.95</v>
      </c>
    </row>
    <row r="454" spans="1:14" x14ac:dyDescent="0.3">
      <c r="A454" t="s">
        <v>909</v>
      </c>
      <c r="B454" t="s">
        <v>42</v>
      </c>
      <c r="C454" s="1">
        <v>45378</v>
      </c>
      <c r="D454" s="2">
        <f>YEAR(Table1[[#This Row],[PurchaseDate]])</f>
        <v>2024</v>
      </c>
      <c r="E454" s="2" t="str">
        <f>"Q"&amp;ROUNDUP(MONTH(Table1[[#This Row],[PurchaseDate]])/3,0)</f>
        <v>Q1</v>
      </c>
      <c r="F454" s="2">
        <f>MONTH(Table1[[#This Row],[PurchaseDate]])</f>
        <v>3</v>
      </c>
      <c r="G454" s="2" t="str">
        <f>TEXT(Table1[[#This Row],[PurchaseDate]],"MMM")</f>
        <v>Mar</v>
      </c>
      <c r="H454">
        <v>6</v>
      </c>
      <c r="I454">
        <v>386.68</v>
      </c>
      <c r="J454" t="s">
        <v>910</v>
      </c>
      <c r="K454" t="s">
        <v>18</v>
      </c>
      <c r="L454" t="s">
        <v>27</v>
      </c>
      <c r="M454">
        <v>1</v>
      </c>
      <c r="N454">
        <v>2320.08</v>
      </c>
    </row>
    <row r="455" spans="1:14" x14ac:dyDescent="0.3">
      <c r="A455" t="s">
        <v>863</v>
      </c>
      <c r="B455" t="s">
        <v>16</v>
      </c>
      <c r="C455" s="1">
        <v>45597</v>
      </c>
      <c r="D455" s="2">
        <f>YEAR(Table1[[#This Row],[PurchaseDate]])</f>
        <v>2024</v>
      </c>
      <c r="E455" s="2" t="str">
        <f>"Q"&amp;ROUNDUP(MONTH(Table1[[#This Row],[PurchaseDate]])/3,0)</f>
        <v>Q4</v>
      </c>
      <c r="F455" s="2">
        <f>MONTH(Table1[[#This Row],[PurchaseDate]])</f>
        <v>11</v>
      </c>
      <c r="G455" s="2" t="str">
        <f>TEXT(Table1[[#This Row],[PurchaseDate]],"MMM")</f>
        <v>Nov</v>
      </c>
      <c r="H455">
        <v>6</v>
      </c>
      <c r="I455">
        <v>249.97</v>
      </c>
      <c r="J455" t="s">
        <v>864</v>
      </c>
      <c r="K455" t="s">
        <v>38</v>
      </c>
      <c r="L455" t="s">
        <v>23</v>
      </c>
      <c r="M455">
        <v>5</v>
      </c>
      <c r="N455">
        <v>1499.82</v>
      </c>
    </row>
    <row r="456" spans="1:14" x14ac:dyDescent="0.3">
      <c r="A456" t="s">
        <v>911</v>
      </c>
      <c r="B456" t="s">
        <v>34</v>
      </c>
      <c r="C456" s="1">
        <v>45538</v>
      </c>
      <c r="D456" s="2">
        <f>YEAR(Table1[[#This Row],[PurchaseDate]])</f>
        <v>2024</v>
      </c>
      <c r="E456" s="2" t="str">
        <f>"Q"&amp;ROUNDUP(MONTH(Table1[[#This Row],[PurchaseDate]])/3,0)</f>
        <v>Q3</v>
      </c>
      <c r="F456" s="2">
        <f>MONTH(Table1[[#This Row],[PurchaseDate]])</f>
        <v>9</v>
      </c>
      <c r="G456" s="2" t="str">
        <f>TEXT(Table1[[#This Row],[PurchaseDate]],"MMM")</f>
        <v>Sep</v>
      </c>
      <c r="H456">
        <v>4</v>
      </c>
      <c r="I456">
        <v>253.01</v>
      </c>
      <c r="J456" t="s">
        <v>912</v>
      </c>
      <c r="K456" t="s">
        <v>13</v>
      </c>
      <c r="L456" t="s">
        <v>23</v>
      </c>
      <c r="M456">
        <v>3</v>
      </c>
      <c r="N456">
        <v>1012.04</v>
      </c>
    </row>
    <row r="457" spans="1:14" x14ac:dyDescent="0.3">
      <c r="A457" t="s">
        <v>913</v>
      </c>
      <c r="B457" t="s">
        <v>11</v>
      </c>
      <c r="C457" s="1">
        <v>45121</v>
      </c>
      <c r="D457" s="2">
        <f>YEAR(Table1[[#This Row],[PurchaseDate]])</f>
        <v>2023</v>
      </c>
      <c r="E457" s="2" t="str">
        <f>"Q"&amp;ROUNDUP(MONTH(Table1[[#This Row],[PurchaseDate]])/3,0)</f>
        <v>Q3</v>
      </c>
      <c r="F457" s="2">
        <f>MONTH(Table1[[#This Row],[PurchaseDate]])</f>
        <v>7</v>
      </c>
      <c r="G457" s="2" t="str">
        <f>TEXT(Table1[[#This Row],[PurchaseDate]],"MMM")</f>
        <v>Jul</v>
      </c>
      <c r="H457">
        <v>5</v>
      </c>
      <c r="I457">
        <v>283.33999999999997</v>
      </c>
      <c r="J457" t="s">
        <v>914</v>
      </c>
      <c r="K457" t="s">
        <v>13</v>
      </c>
      <c r="L457" t="s">
        <v>19</v>
      </c>
      <c r="M457">
        <v>2</v>
      </c>
      <c r="N457">
        <v>1416.7</v>
      </c>
    </row>
    <row r="458" spans="1:14" x14ac:dyDescent="0.3">
      <c r="A458" t="s">
        <v>915</v>
      </c>
      <c r="B458" t="s">
        <v>34</v>
      </c>
      <c r="C458" s="1">
        <v>45310</v>
      </c>
      <c r="D458" s="2">
        <f>YEAR(Table1[[#This Row],[PurchaseDate]])</f>
        <v>2024</v>
      </c>
      <c r="E458" s="2" t="str">
        <f>"Q"&amp;ROUNDUP(MONTH(Table1[[#This Row],[PurchaseDate]])/3,0)</f>
        <v>Q1</v>
      </c>
      <c r="F458" s="2">
        <f>MONTH(Table1[[#This Row],[PurchaseDate]])</f>
        <v>1</v>
      </c>
      <c r="G458" s="2" t="str">
        <f>TEXT(Table1[[#This Row],[PurchaseDate]],"MMM")</f>
        <v>Jan</v>
      </c>
      <c r="H458">
        <v>3</v>
      </c>
      <c r="I458">
        <v>497.83</v>
      </c>
      <c r="J458" t="s">
        <v>916</v>
      </c>
      <c r="K458" t="s">
        <v>13</v>
      </c>
      <c r="L458" t="s">
        <v>58</v>
      </c>
      <c r="M458">
        <v>5</v>
      </c>
      <c r="N458">
        <v>1493.49</v>
      </c>
    </row>
    <row r="459" spans="1:14" x14ac:dyDescent="0.3">
      <c r="A459" t="s">
        <v>917</v>
      </c>
      <c r="B459" t="s">
        <v>16</v>
      </c>
      <c r="C459" s="1">
        <v>44983</v>
      </c>
      <c r="D459" s="2">
        <f>YEAR(Table1[[#This Row],[PurchaseDate]])</f>
        <v>2023</v>
      </c>
      <c r="E459" s="2" t="str">
        <f>"Q"&amp;ROUNDUP(MONTH(Table1[[#This Row],[PurchaseDate]])/3,0)</f>
        <v>Q1</v>
      </c>
      <c r="F459" s="2">
        <f>MONTH(Table1[[#This Row],[PurchaseDate]])</f>
        <v>2</v>
      </c>
      <c r="G459" s="2" t="str">
        <f>TEXT(Table1[[#This Row],[PurchaseDate]],"MMM")</f>
        <v>Feb</v>
      </c>
      <c r="H459">
        <v>5</v>
      </c>
      <c r="I459">
        <v>80.48</v>
      </c>
      <c r="J459" t="s">
        <v>918</v>
      </c>
      <c r="K459" t="s">
        <v>18</v>
      </c>
      <c r="L459" t="s">
        <v>14</v>
      </c>
      <c r="M459">
        <v>4</v>
      </c>
      <c r="N459">
        <v>402.4</v>
      </c>
    </row>
    <row r="460" spans="1:14" x14ac:dyDescent="0.3">
      <c r="A460" t="s">
        <v>919</v>
      </c>
      <c r="B460" t="s">
        <v>16</v>
      </c>
      <c r="C460" s="1">
        <v>45613</v>
      </c>
      <c r="D460" s="2">
        <f>YEAR(Table1[[#This Row],[PurchaseDate]])</f>
        <v>2024</v>
      </c>
      <c r="E460" s="2" t="str">
        <f>"Q"&amp;ROUNDUP(MONTH(Table1[[#This Row],[PurchaseDate]])/3,0)</f>
        <v>Q4</v>
      </c>
      <c r="F460" s="2">
        <f>MONTH(Table1[[#This Row],[PurchaseDate]])</f>
        <v>11</v>
      </c>
      <c r="G460" s="2" t="str">
        <f>TEXT(Table1[[#This Row],[PurchaseDate]],"MMM")</f>
        <v>Nov</v>
      </c>
      <c r="H460">
        <v>7</v>
      </c>
      <c r="I460">
        <v>362.5</v>
      </c>
      <c r="J460" t="s">
        <v>920</v>
      </c>
      <c r="K460" t="s">
        <v>38</v>
      </c>
      <c r="L460" t="s">
        <v>27</v>
      </c>
      <c r="M460">
        <v>5</v>
      </c>
      <c r="N460">
        <v>2537.5</v>
      </c>
    </row>
    <row r="461" spans="1:14" x14ac:dyDescent="0.3">
      <c r="A461" t="s">
        <v>921</v>
      </c>
      <c r="B461" t="s">
        <v>34</v>
      </c>
      <c r="C461" s="1">
        <v>45328</v>
      </c>
      <c r="D461" s="2">
        <f>YEAR(Table1[[#This Row],[PurchaseDate]])</f>
        <v>2024</v>
      </c>
      <c r="E461" s="2" t="str">
        <f>"Q"&amp;ROUNDUP(MONTH(Table1[[#This Row],[PurchaseDate]])/3,0)</f>
        <v>Q1</v>
      </c>
      <c r="F461" s="2">
        <f>MONTH(Table1[[#This Row],[PurchaseDate]])</f>
        <v>2</v>
      </c>
      <c r="G461" s="2" t="str">
        <f>TEXT(Table1[[#This Row],[PurchaseDate]],"MMM")</f>
        <v>Feb</v>
      </c>
      <c r="H461">
        <v>8</v>
      </c>
      <c r="I461">
        <v>167.66</v>
      </c>
      <c r="J461" t="s">
        <v>922</v>
      </c>
      <c r="K461" t="s">
        <v>18</v>
      </c>
      <c r="L461" t="s">
        <v>23</v>
      </c>
      <c r="M461">
        <v>5</v>
      </c>
      <c r="N461">
        <v>1341.28</v>
      </c>
    </row>
    <row r="462" spans="1:14" x14ac:dyDescent="0.3">
      <c r="A462" t="s">
        <v>477</v>
      </c>
      <c r="B462" t="s">
        <v>21</v>
      </c>
      <c r="C462" s="1">
        <v>45099</v>
      </c>
      <c r="D462" s="2">
        <f>YEAR(Table1[[#This Row],[PurchaseDate]])</f>
        <v>2023</v>
      </c>
      <c r="E462" s="2" t="str">
        <f>"Q"&amp;ROUNDUP(MONTH(Table1[[#This Row],[PurchaseDate]])/3,0)</f>
        <v>Q2</v>
      </c>
      <c r="F462" s="2">
        <f>MONTH(Table1[[#This Row],[PurchaseDate]])</f>
        <v>6</v>
      </c>
      <c r="G462" s="2" t="str">
        <f>TEXT(Table1[[#This Row],[PurchaseDate]],"MMM")</f>
        <v>Jun</v>
      </c>
      <c r="H462">
        <v>6</v>
      </c>
      <c r="I462">
        <v>181.48</v>
      </c>
      <c r="J462" t="s">
        <v>478</v>
      </c>
      <c r="K462" t="s">
        <v>13</v>
      </c>
      <c r="L462" t="s">
        <v>23</v>
      </c>
      <c r="M462">
        <v>1</v>
      </c>
      <c r="N462">
        <v>1088.8800000000001</v>
      </c>
    </row>
    <row r="463" spans="1:14" x14ac:dyDescent="0.3">
      <c r="A463" t="s">
        <v>923</v>
      </c>
      <c r="B463" t="s">
        <v>29</v>
      </c>
      <c r="C463" s="1">
        <v>45638</v>
      </c>
      <c r="D463" s="2">
        <f>YEAR(Table1[[#This Row],[PurchaseDate]])</f>
        <v>2024</v>
      </c>
      <c r="E463" s="2" t="str">
        <f>"Q"&amp;ROUNDUP(MONTH(Table1[[#This Row],[PurchaseDate]])/3,0)</f>
        <v>Q4</v>
      </c>
      <c r="F463" s="2">
        <f>MONTH(Table1[[#This Row],[PurchaseDate]])</f>
        <v>12</v>
      </c>
      <c r="G463" s="2" t="str">
        <f>TEXT(Table1[[#This Row],[PurchaseDate]],"MMM")</f>
        <v>Dec</v>
      </c>
      <c r="H463">
        <v>1</v>
      </c>
      <c r="I463">
        <v>569.26</v>
      </c>
      <c r="J463" t="s">
        <v>924</v>
      </c>
      <c r="K463" t="s">
        <v>18</v>
      </c>
      <c r="L463" t="s">
        <v>14</v>
      </c>
      <c r="M463">
        <v>5</v>
      </c>
      <c r="N463">
        <v>569.26</v>
      </c>
    </row>
    <row r="464" spans="1:14" x14ac:dyDescent="0.3">
      <c r="A464" t="s">
        <v>925</v>
      </c>
      <c r="B464" t="s">
        <v>21</v>
      </c>
      <c r="C464" s="1">
        <v>45298</v>
      </c>
      <c r="D464" s="2">
        <f>YEAR(Table1[[#This Row],[PurchaseDate]])</f>
        <v>2024</v>
      </c>
      <c r="E464" s="2" t="str">
        <f>"Q"&amp;ROUNDUP(MONTH(Table1[[#This Row],[PurchaseDate]])/3,0)</f>
        <v>Q1</v>
      </c>
      <c r="F464" s="2">
        <f>MONTH(Table1[[#This Row],[PurchaseDate]])</f>
        <v>1</v>
      </c>
      <c r="G464" s="2" t="str">
        <f>TEXT(Table1[[#This Row],[PurchaseDate]],"MMM")</f>
        <v>Jan</v>
      </c>
      <c r="H464">
        <v>1</v>
      </c>
      <c r="I464">
        <v>656.2</v>
      </c>
      <c r="J464" t="s">
        <v>926</v>
      </c>
      <c r="K464" t="s">
        <v>18</v>
      </c>
      <c r="L464" t="s">
        <v>58</v>
      </c>
      <c r="M464">
        <v>4</v>
      </c>
      <c r="N464">
        <v>656.2</v>
      </c>
    </row>
    <row r="465" spans="1:14" x14ac:dyDescent="0.3">
      <c r="A465" t="s">
        <v>927</v>
      </c>
      <c r="B465" t="s">
        <v>34</v>
      </c>
      <c r="C465" s="1">
        <v>45036</v>
      </c>
      <c r="D465" s="2">
        <f>YEAR(Table1[[#This Row],[PurchaseDate]])</f>
        <v>2023</v>
      </c>
      <c r="E465" s="2" t="str">
        <f>"Q"&amp;ROUNDUP(MONTH(Table1[[#This Row],[PurchaseDate]])/3,0)</f>
        <v>Q2</v>
      </c>
      <c r="F465" s="2">
        <f>MONTH(Table1[[#This Row],[PurchaseDate]])</f>
        <v>4</v>
      </c>
      <c r="G465" s="2" t="str">
        <f>TEXT(Table1[[#This Row],[PurchaseDate]],"MMM")</f>
        <v>Apr</v>
      </c>
      <c r="H465">
        <v>5</v>
      </c>
      <c r="I465">
        <v>507.6</v>
      </c>
      <c r="J465" t="s">
        <v>928</v>
      </c>
      <c r="K465" t="s">
        <v>38</v>
      </c>
      <c r="L465" t="s">
        <v>23</v>
      </c>
      <c r="M465">
        <v>1</v>
      </c>
      <c r="N465">
        <v>2538</v>
      </c>
    </row>
    <row r="466" spans="1:14" x14ac:dyDescent="0.3">
      <c r="A466" t="s">
        <v>929</v>
      </c>
      <c r="B466" t="s">
        <v>42</v>
      </c>
      <c r="C466" s="1">
        <v>45234</v>
      </c>
      <c r="D466" s="2">
        <f>YEAR(Table1[[#This Row],[PurchaseDate]])</f>
        <v>2023</v>
      </c>
      <c r="E466" s="2" t="str">
        <f>"Q"&amp;ROUNDUP(MONTH(Table1[[#This Row],[PurchaseDate]])/3,0)</f>
        <v>Q4</v>
      </c>
      <c r="F466" s="2">
        <f>MONTH(Table1[[#This Row],[PurchaseDate]])</f>
        <v>11</v>
      </c>
      <c r="G466" s="2" t="str">
        <f>TEXT(Table1[[#This Row],[PurchaseDate]],"MMM")</f>
        <v>Nov</v>
      </c>
      <c r="H466">
        <v>5</v>
      </c>
      <c r="I466">
        <v>641.44000000000005</v>
      </c>
      <c r="J466" t="s">
        <v>930</v>
      </c>
      <c r="K466" t="s">
        <v>38</v>
      </c>
      <c r="L466" t="s">
        <v>19</v>
      </c>
      <c r="M466">
        <v>2</v>
      </c>
      <c r="N466">
        <v>3207.2</v>
      </c>
    </row>
    <row r="467" spans="1:14" x14ac:dyDescent="0.3">
      <c r="A467" t="s">
        <v>931</v>
      </c>
      <c r="B467" t="s">
        <v>11</v>
      </c>
      <c r="C467" s="1">
        <v>45569</v>
      </c>
      <c r="D467" s="2">
        <f>YEAR(Table1[[#This Row],[PurchaseDate]])</f>
        <v>2024</v>
      </c>
      <c r="E467" s="2" t="str">
        <f>"Q"&amp;ROUNDUP(MONTH(Table1[[#This Row],[PurchaseDate]])/3,0)</f>
        <v>Q4</v>
      </c>
      <c r="F467" s="2">
        <f>MONTH(Table1[[#This Row],[PurchaseDate]])</f>
        <v>10</v>
      </c>
      <c r="G467" s="2" t="str">
        <f>TEXT(Table1[[#This Row],[PurchaseDate]],"MMM")</f>
        <v>Oct</v>
      </c>
      <c r="H467">
        <v>7</v>
      </c>
      <c r="I467">
        <v>22.48</v>
      </c>
      <c r="J467" t="s">
        <v>932</v>
      </c>
      <c r="K467" t="s">
        <v>38</v>
      </c>
      <c r="L467" t="s">
        <v>27</v>
      </c>
      <c r="M467">
        <v>2</v>
      </c>
      <c r="N467">
        <v>157.36000000000001</v>
      </c>
    </row>
    <row r="468" spans="1:14" x14ac:dyDescent="0.3">
      <c r="A468" t="s">
        <v>933</v>
      </c>
      <c r="B468" t="s">
        <v>25</v>
      </c>
      <c r="C468" s="1">
        <v>45079</v>
      </c>
      <c r="D468" s="2">
        <f>YEAR(Table1[[#This Row],[PurchaseDate]])</f>
        <v>2023</v>
      </c>
      <c r="E468" s="2" t="str">
        <f>"Q"&amp;ROUNDUP(MONTH(Table1[[#This Row],[PurchaseDate]])/3,0)</f>
        <v>Q2</v>
      </c>
      <c r="F468" s="2">
        <f>MONTH(Table1[[#This Row],[PurchaseDate]])</f>
        <v>6</v>
      </c>
      <c r="G468" s="2" t="str">
        <f>TEXT(Table1[[#This Row],[PurchaseDate]],"MMM")</f>
        <v>Jun</v>
      </c>
      <c r="H468">
        <v>6</v>
      </c>
      <c r="I468">
        <v>196.74</v>
      </c>
      <c r="J468" t="s">
        <v>934</v>
      </c>
      <c r="K468" t="s">
        <v>38</v>
      </c>
      <c r="L468" t="s">
        <v>27</v>
      </c>
      <c r="M468">
        <v>5</v>
      </c>
      <c r="N468">
        <v>1180.44</v>
      </c>
    </row>
    <row r="469" spans="1:14" x14ac:dyDescent="0.3">
      <c r="A469" t="s">
        <v>935</v>
      </c>
      <c r="B469" t="s">
        <v>11</v>
      </c>
      <c r="C469" s="1">
        <v>45396</v>
      </c>
      <c r="D469" s="2">
        <f>YEAR(Table1[[#This Row],[PurchaseDate]])</f>
        <v>2024</v>
      </c>
      <c r="E469" s="2" t="str">
        <f>"Q"&amp;ROUNDUP(MONTH(Table1[[#This Row],[PurchaseDate]])/3,0)</f>
        <v>Q2</v>
      </c>
      <c r="F469" s="2">
        <f>MONTH(Table1[[#This Row],[PurchaseDate]])</f>
        <v>4</v>
      </c>
      <c r="G469" s="2" t="str">
        <f>TEXT(Table1[[#This Row],[PurchaseDate]],"MMM")</f>
        <v>Apr</v>
      </c>
      <c r="H469">
        <v>1</v>
      </c>
      <c r="I469">
        <v>348.09</v>
      </c>
      <c r="J469" t="s">
        <v>936</v>
      </c>
      <c r="K469" t="s">
        <v>38</v>
      </c>
      <c r="L469" t="s">
        <v>58</v>
      </c>
      <c r="M469">
        <v>5</v>
      </c>
      <c r="N469">
        <v>348.09</v>
      </c>
    </row>
    <row r="470" spans="1:14" x14ac:dyDescent="0.3">
      <c r="A470" t="s">
        <v>937</v>
      </c>
      <c r="B470" t="s">
        <v>16</v>
      </c>
      <c r="C470" s="1">
        <v>45763</v>
      </c>
      <c r="D470" s="2">
        <f>YEAR(Table1[[#This Row],[PurchaseDate]])</f>
        <v>2025</v>
      </c>
      <c r="E470" s="2" t="str">
        <f>"Q"&amp;ROUNDUP(MONTH(Table1[[#This Row],[PurchaseDate]])/3,0)</f>
        <v>Q2</v>
      </c>
      <c r="F470" s="2">
        <f>MONTH(Table1[[#This Row],[PurchaseDate]])</f>
        <v>4</v>
      </c>
      <c r="G470" s="2" t="str">
        <f>TEXT(Table1[[#This Row],[PurchaseDate]],"MMM")</f>
        <v>Apr</v>
      </c>
      <c r="H470">
        <v>5</v>
      </c>
      <c r="I470">
        <v>589.84</v>
      </c>
      <c r="J470" t="s">
        <v>938</v>
      </c>
      <c r="K470" t="s">
        <v>13</v>
      </c>
      <c r="L470" t="s">
        <v>14</v>
      </c>
      <c r="M470">
        <v>5</v>
      </c>
      <c r="N470">
        <v>2949.2</v>
      </c>
    </row>
    <row r="471" spans="1:14" x14ac:dyDescent="0.3">
      <c r="A471" t="s">
        <v>939</v>
      </c>
      <c r="B471" t="s">
        <v>21</v>
      </c>
      <c r="C471" s="1">
        <v>45644</v>
      </c>
      <c r="D471" s="2">
        <f>YEAR(Table1[[#This Row],[PurchaseDate]])</f>
        <v>2024</v>
      </c>
      <c r="E471" s="2" t="str">
        <f>"Q"&amp;ROUNDUP(MONTH(Table1[[#This Row],[PurchaseDate]])/3,0)</f>
        <v>Q4</v>
      </c>
      <c r="F471" s="2">
        <f>MONTH(Table1[[#This Row],[PurchaseDate]])</f>
        <v>12</v>
      </c>
      <c r="G471" s="2" t="str">
        <f>TEXT(Table1[[#This Row],[PurchaseDate]],"MMM")</f>
        <v>Dec</v>
      </c>
      <c r="H471">
        <v>3</v>
      </c>
      <c r="I471">
        <v>549.78</v>
      </c>
      <c r="J471" t="s">
        <v>940</v>
      </c>
      <c r="K471" t="s">
        <v>13</v>
      </c>
      <c r="L471" t="s">
        <v>23</v>
      </c>
      <c r="M471">
        <v>3</v>
      </c>
      <c r="N471">
        <v>1649.34</v>
      </c>
    </row>
    <row r="472" spans="1:14" x14ac:dyDescent="0.3">
      <c r="A472" t="s">
        <v>941</v>
      </c>
      <c r="B472" t="s">
        <v>21</v>
      </c>
      <c r="C472" s="1">
        <v>44985</v>
      </c>
      <c r="D472" s="2">
        <f>YEAR(Table1[[#This Row],[PurchaseDate]])</f>
        <v>2023</v>
      </c>
      <c r="E472" s="2" t="str">
        <f>"Q"&amp;ROUNDUP(MONTH(Table1[[#This Row],[PurchaseDate]])/3,0)</f>
        <v>Q1</v>
      </c>
      <c r="F472" s="2">
        <f>MONTH(Table1[[#This Row],[PurchaseDate]])</f>
        <v>2</v>
      </c>
      <c r="G472" s="2" t="str">
        <f>TEXT(Table1[[#This Row],[PurchaseDate]],"MMM")</f>
        <v>Feb</v>
      </c>
      <c r="H472">
        <v>6</v>
      </c>
      <c r="I472">
        <v>125.46</v>
      </c>
      <c r="J472" t="s">
        <v>942</v>
      </c>
      <c r="K472" t="s">
        <v>18</v>
      </c>
      <c r="L472" t="s">
        <v>19</v>
      </c>
      <c r="M472">
        <v>5</v>
      </c>
      <c r="N472">
        <v>752.76</v>
      </c>
    </row>
    <row r="473" spans="1:14" x14ac:dyDescent="0.3">
      <c r="A473" t="s">
        <v>943</v>
      </c>
      <c r="B473" t="s">
        <v>29</v>
      </c>
      <c r="C473" s="1">
        <v>45226</v>
      </c>
      <c r="D473" s="2">
        <f>YEAR(Table1[[#This Row],[PurchaseDate]])</f>
        <v>2023</v>
      </c>
      <c r="E473" s="2" t="str">
        <f>"Q"&amp;ROUNDUP(MONTH(Table1[[#This Row],[PurchaseDate]])/3,0)</f>
        <v>Q4</v>
      </c>
      <c r="F473" s="2">
        <f>MONTH(Table1[[#This Row],[PurchaseDate]])</f>
        <v>10</v>
      </c>
      <c r="G473" s="2" t="str">
        <f>TEXT(Table1[[#This Row],[PurchaseDate]],"MMM")</f>
        <v>Oct</v>
      </c>
      <c r="H473">
        <v>5</v>
      </c>
      <c r="I473">
        <v>318.33</v>
      </c>
      <c r="J473" t="s">
        <v>944</v>
      </c>
      <c r="K473" t="s">
        <v>18</v>
      </c>
      <c r="L473" t="s">
        <v>19</v>
      </c>
      <c r="M473">
        <v>2</v>
      </c>
      <c r="N473">
        <v>1591.65</v>
      </c>
    </row>
    <row r="474" spans="1:14" x14ac:dyDescent="0.3">
      <c r="A474" t="s">
        <v>945</v>
      </c>
      <c r="B474" t="s">
        <v>11</v>
      </c>
      <c r="C474" s="1">
        <v>45157</v>
      </c>
      <c r="D474" s="2">
        <f>YEAR(Table1[[#This Row],[PurchaseDate]])</f>
        <v>2023</v>
      </c>
      <c r="E474" s="2" t="str">
        <f>"Q"&amp;ROUNDUP(MONTH(Table1[[#This Row],[PurchaseDate]])/3,0)</f>
        <v>Q3</v>
      </c>
      <c r="F474" s="2">
        <f>MONTH(Table1[[#This Row],[PurchaseDate]])</f>
        <v>8</v>
      </c>
      <c r="G474" s="2" t="str">
        <f>TEXT(Table1[[#This Row],[PurchaseDate]],"MMM")</f>
        <v>Aug</v>
      </c>
      <c r="H474">
        <v>3</v>
      </c>
      <c r="I474">
        <v>584.74</v>
      </c>
      <c r="J474" t="s">
        <v>946</v>
      </c>
      <c r="K474" t="s">
        <v>18</v>
      </c>
      <c r="L474" t="s">
        <v>27</v>
      </c>
      <c r="M474">
        <v>4</v>
      </c>
      <c r="N474">
        <v>1754.22</v>
      </c>
    </row>
    <row r="475" spans="1:14" x14ac:dyDescent="0.3">
      <c r="A475" t="s">
        <v>947</v>
      </c>
      <c r="B475" t="s">
        <v>34</v>
      </c>
      <c r="C475" s="1">
        <v>45482</v>
      </c>
      <c r="D475" s="2">
        <f>YEAR(Table1[[#This Row],[PurchaseDate]])</f>
        <v>2024</v>
      </c>
      <c r="E475" s="2" t="str">
        <f>"Q"&amp;ROUNDUP(MONTH(Table1[[#This Row],[PurchaseDate]])/3,0)</f>
        <v>Q3</v>
      </c>
      <c r="F475" s="2">
        <f>MONTH(Table1[[#This Row],[PurchaseDate]])</f>
        <v>7</v>
      </c>
      <c r="G475" s="2" t="str">
        <f>TEXT(Table1[[#This Row],[PurchaseDate]],"MMM")</f>
        <v>Jul</v>
      </c>
      <c r="H475">
        <v>1</v>
      </c>
      <c r="I475">
        <v>184.5</v>
      </c>
      <c r="J475" t="s">
        <v>948</v>
      </c>
      <c r="K475" t="s">
        <v>13</v>
      </c>
      <c r="L475" t="s">
        <v>19</v>
      </c>
      <c r="M475">
        <v>1</v>
      </c>
      <c r="N475">
        <v>184.5</v>
      </c>
    </row>
    <row r="476" spans="1:14" x14ac:dyDescent="0.3">
      <c r="A476" t="s">
        <v>949</v>
      </c>
      <c r="B476" t="s">
        <v>25</v>
      </c>
      <c r="C476" s="1">
        <v>45500</v>
      </c>
      <c r="D476" s="2">
        <f>YEAR(Table1[[#This Row],[PurchaseDate]])</f>
        <v>2024</v>
      </c>
      <c r="E476" s="2" t="str">
        <f>"Q"&amp;ROUNDUP(MONTH(Table1[[#This Row],[PurchaseDate]])/3,0)</f>
        <v>Q3</v>
      </c>
      <c r="F476" s="2">
        <f>MONTH(Table1[[#This Row],[PurchaseDate]])</f>
        <v>7</v>
      </c>
      <c r="G476" s="2" t="str">
        <f>TEXT(Table1[[#This Row],[PurchaseDate]],"MMM")</f>
        <v>Jul</v>
      </c>
      <c r="H476">
        <v>6</v>
      </c>
      <c r="I476">
        <v>740.37</v>
      </c>
      <c r="J476" t="s">
        <v>950</v>
      </c>
      <c r="K476" t="s">
        <v>38</v>
      </c>
      <c r="L476" t="s">
        <v>58</v>
      </c>
      <c r="M476">
        <v>4</v>
      </c>
      <c r="N476">
        <v>4442.22</v>
      </c>
    </row>
    <row r="477" spans="1:14" x14ac:dyDescent="0.3">
      <c r="A477" t="s">
        <v>951</v>
      </c>
      <c r="B477" t="s">
        <v>29</v>
      </c>
      <c r="C477" s="1">
        <v>45280</v>
      </c>
      <c r="D477" s="2">
        <f>YEAR(Table1[[#This Row],[PurchaseDate]])</f>
        <v>2023</v>
      </c>
      <c r="E477" s="2" t="str">
        <f>"Q"&amp;ROUNDUP(MONTH(Table1[[#This Row],[PurchaseDate]])/3,0)</f>
        <v>Q4</v>
      </c>
      <c r="F477" s="2">
        <f>MONTH(Table1[[#This Row],[PurchaseDate]])</f>
        <v>12</v>
      </c>
      <c r="G477" s="2" t="str">
        <f>TEXT(Table1[[#This Row],[PurchaseDate]],"MMM")</f>
        <v>Dec</v>
      </c>
      <c r="H477">
        <v>4</v>
      </c>
      <c r="I477">
        <v>285.58999999999997</v>
      </c>
      <c r="J477" t="s">
        <v>952</v>
      </c>
      <c r="K477" t="s">
        <v>18</v>
      </c>
      <c r="L477" t="s">
        <v>58</v>
      </c>
      <c r="M477">
        <v>2</v>
      </c>
      <c r="N477">
        <v>1142.3599999999999</v>
      </c>
    </row>
    <row r="478" spans="1:14" x14ac:dyDescent="0.3">
      <c r="A478" t="s">
        <v>953</v>
      </c>
      <c r="B478" t="s">
        <v>29</v>
      </c>
      <c r="C478" s="1">
        <v>45492</v>
      </c>
      <c r="D478" s="2">
        <f>YEAR(Table1[[#This Row],[PurchaseDate]])</f>
        <v>2024</v>
      </c>
      <c r="E478" s="2" t="str">
        <f>"Q"&amp;ROUNDUP(MONTH(Table1[[#This Row],[PurchaseDate]])/3,0)</f>
        <v>Q3</v>
      </c>
      <c r="F478" s="2">
        <f>MONTH(Table1[[#This Row],[PurchaseDate]])</f>
        <v>7</v>
      </c>
      <c r="G478" s="2" t="str">
        <f>TEXT(Table1[[#This Row],[PurchaseDate]],"MMM")</f>
        <v>Jul</v>
      </c>
      <c r="H478">
        <v>5</v>
      </c>
      <c r="I478">
        <v>321.33</v>
      </c>
      <c r="J478" t="s">
        <v>954</v>
      </c>
      <c r="K478" t="s">
        <v>18</v>
      </c>
      <c r="L478" t="s">
        <v>23</v>
      </c>
      <c r="M478">
        <v>2</v>
      </c>
      <c r="N478">
        <v>1606.65</v>
      </c>
    </row>
    <row r="479" spans="1:14" x14ac:dyDescent="0.3">
      <c r="A479" t="s">
        <v>955</v>
      </c>
      <c r="B479" t="s">
        <v>42</v>
      </c>
      <c r="C479" s="1">
        <v>45319</v>
      </c>
      <c r="D479" s="2">
        <f>YEAR(Table1[[#This Row],[PurchaseDate]])</f>
        <v>2024</v>
      </c>
      <c r="E479" s="2" t="str">
        <f>"Q"&amp;ROUNDUP(MONTH(Table1[[#This Row],[PurchaseDate]])/3,0)</f>
        <v>Q1</v>
      </c>
      <c r="F479" s="2">
        <f>MONTH(Table1[[#This Row],[PurchaseDate]])</f>
        <v>1</v>
      </c>
      <c r="G479" s="2" t="str">
        <f>TEXT(Table1[[#This Row],[PurchaseDate]],"MMM")</f>
        <v>Jan</v>
      </c>
      <c r="H479">
        <v>5</v>
      </c>
      <c r="I479">
        <v>251.41</v>
      </c>
      <c r="J479" t="s">
        <v>956</v>
      </c>
      <c r="K479" t="s">
        <v>13</v>
      </c>
      <c r="L479" t="s">
        <v>19</v>
      </c>
      <c r="M479">
        <v>5</v>
      </c>
      <c r="N479">
        <v>1257.05</v>
      </c>
    </row>
    <row r="480" spans="1:14" x14ac:dyDescent="0.3">
      <c r="A480" t="s">
        <v>957</v>
      </c>
      <c r="B480" t="s">
        <v>42</v>
      </c>
      <c r="C480" s="1">
        <v>45740</v>
      </c>
      <c r="D480" s="2">
        <f>YEAR(Table1[[#This Row],[PurchaseDate]])</f>
        <v>2025</v>
      </c>
      <c r="E480" s="2" t="str">
        <f>"Q"&amp;ROUNDUP(MONTH(Table1[[#This Row],[PurchaseDate]])/3,0)</f>
        <v>Q1</v>
      </c>
      <c r="F480" s="2">
        <f>MONTH(Table1[[#This Row],[PurchaseDate]])</f>
        <v>3</v>
      </c>
      <c r="G480" s="2" t="str">
        <f>TEXT(Table1[[#This Row],[PurchaseDate]],"MMM")</f>
        <v>Mar</v>
      </c>
      <c r="H480">
        <v>3</v>
      </c>
      <c r="I480">
        <v>389.68</v>
      </c>
      <c r="J480" t="s">
        <v>958</v>
      </c>
      <c r="K480" t="s">
        <v>38</v>
      </c>
      <c r="L480" t="s">
        <v>23</v>
      </c>
      <c r="M480">
        <v>4</v>
      </c>
      <c r="N480">
        <v>1169.04</v>
      </c>
    </row>
    <row r="481" spans="1:14" x14ac:dyDescent="0.3">
      <c r="A481" t="s">
        <v>959</v>
      </c>
      <c r="B481" t="s">
        <v>21</v>
      </c>
      <c r="C481" s="1">
        <v>44974</v>
      </c>
      <c r="D481" s="2">
        <f>YEAR(Table1[[#This Row],[PurchaseDate]])</f>
        <v>2023</v>
      </c>
      <c r="E481" s="2" t="str">
        <f>"Q"&amp;ROUNDUP(MONTH(Table1[[#This Row],[PurchaseDate]])/3,0)</f>
        <v>Q1</v>
      </c>
      <c r="F481" s="2">
        <f>MONTH(Table1[[#This Row],[PurchaseDate]])</f>
        <v>2</v>
      </c>
      <c r="G481" s="2" t="str">
        <f>TEXT(Table1[[#This Row],[PurchaseDate]],"MMM")</f>
        <v>Feb</v>
      </c>
      <c r="H481">
        <v>3</v>
      </c>
      <c r="I481">
        <v>577.13</v>
      </c>
      <c r="J481" t="s">
        <v>960</v>
      </c>
      <c r="K481" t="s">
        <v>13</v>
      </c>
      <c r="L481" t="s">
        <v>19</v>
      </c>
      <c r="M481">
        <v>3</v>
      </c>
      <c r="N481">
        <v>1731.39</v>
      </c>
    </row>
    <row r="482" spans="1:14" x14ac:dyDescent="0.3">
      <c r="A482" t="s">
        <v>961</v>
      </c>
      <c r="B482" t="s">
        <v>25</v>
      </c>
      <c r="C482" s="1">
        <v>45423</v>
      </c>
      <c r="D482" s="2">
        <f>YEAR(Table1[[#This Row],[PurchaseDate]])</f>
        <v>2024</v>
      </c>
      <c r="E482" s="2" t="str">
        <f>"Q"&amp;ROUNDUP(MONTH(Table1[[#This Row],[PurchaseDate]])/3,0)</f>
        <v>Q2</v>
      </c>
      <c r="F482" s="2">
        <f>MONTH(Table1[[#This Row],[PurchaseDate]])</f>
        <v>5</v>
      </c>
      <c r="G482" s="2" t="str">
        <f>TEXT(Table1[[#This Row],[PurchaseDate]],"MMM")</f>
        <v>May</v>
      </c>
      <c r="H482">
        <v>4</v>
      </c>
      <c r="I482">
        <v>619.33000000000004</v>
      </c>
      <c r="J482" t="s">
        <v>962</v>
      </c>
      <c r="K482" t="s">
        <v>38</v>
      </c>
      <c r="L482" t="s">
        <v>19</v>
      </c>
      <c r="M482">
        <v>3</v>
      </c>
      <c r="N482">
        <v>2477.3200000000002</v>
      </c>
    </row>
    <row r="483" spans="1:14" x14ac:dyDescent="0.3">
      <c r="A483" t="s">
        <v>651</v>
      </c>
      <c r="B483" t="s">
        <v>25</v>
      </c>
      <c r="C483" s="1">
        <v>45250</v>
      </c>
      <c r="D483" s="2">
        <f>YEAR(Table1[[#This Row],[PurchaseDate]])</f>
        <v>2023</v>
      </c>
      <c r="E483" s="2" t="str">
        <f>"Q"&amp;ROUNDUP(MONTH(Table1[[#This Row],[PurchaseDate]])/3,0)</f>
        <v>Q4</v>
      </c>
      <c r="F483" s="2">
        <f>MONTH(Table1[[#This Row],[PurchaseDate]])</f>
        <v>11</v>
      </c>
      <c r="G483" s="2" t="str">
        <f>TEXT(Table1[[#This Row],[PurchaseDate]],"MMM")</f>
        <v>Nov</v>
      </c>
      <c r="H483">
        <v>2</v>
      </c>
      <c r="I483">
        <v>515.97</v>
      </c>
      <c r="J483" t="s">
        <v>652</v>
      </c>
      <c r="K483" t="s">
        <v>38</v>
      </c>
      <c r="L483" t="s">
        <v>58</v>
      </c>
      <c r="M483">
        <v>4</v>
      </c>
      <c r="N483">
        <v>1031.94</v>
      </c>
    </row>
    <row r="484" spans="1:14" x14ac:dyDescent="0.3">
      <c r="A484" t="s">
        <v>963</v>
      </c>
      <c r="B484" t="s">
        <v>21</v>
      </c>
      <c r="C484" s="1">
        <v>45228</v>
      </c>
      <c r="D484" s="2">
        <f>YEAR(Table1[[#This Row],[PurchaseDate]])</f>
        <v>2023</v>
      </c>
      <c r="E484" s="2" t="str">
        <f>"Q"&amp;ROUNDUP(MONTH(Table1[[#This Row],[PurchaseDate]])/3,0)</f>
        <v>Q4</v>
      </c>
      <c r="F484" s="2">
        <f>MONTH(Table1[[#This Row],[PurchaseDate]])</f>
        <v>10</v>
      </c>
      <c r="G484" s="2" t="str">
        <f>TEXT(Table1[[#This Row],[PurchaseDate]],"MMM")</f>
        <v>Oct</v>
      </c>
      <c r="H484">
        <v>4</v>
      </c>
      <c r="I484">
        <v>598.12</v>
      </c>
      <c r="J484" t="s">
        <v>964</v>
      </c>
      <c r="K484" t="s">
        <v>13</v>
      </c>
      <c r="L484" t="s">
        <v>27</v>
      </c>
      <c r="M484">
        <v>5</v>
      </c>
      <c r="N484">
        <v>2392.48</v>
      </c>
    </row>
    <row r="485" spans="1:14" x14ac:dyDescent="0.3">
      <c r="A485" t="s">
        <v>965</v>
      </c>
      <c r="B485" t="s">
        <v>21</v>
      </c>
      <c r="C485" s="1">
        <v>44961</v>
      </c>
      <c r="D485" s="2">
        <f>YEAR(Table1[[#This Row],[PurchaseDate]])</f>
        <v>2023</v>
      </c>
      <c r="E485" s="2" t="str">
        <f>"Q"&amp;ROUNDUP(MONTH(Table1[[#This Row],[PurchaseDate]])/3,0)</f>
        <v>Q1</v>
      </c>
      <c r="F485" s="2">
        <f>MONTH(Table1[[#This Row],[PurchaseDate]])</f>
        <v>2</v>
      </c>
      <c r="G485" s="2" t="str">
        <f>TEXT(Table1[[#This Row],[PurchaseDate]],"MMM")</f>
        <v>Feb</v>
      </c>
      <c r="H485">
        <v>5</v>
      </c>
      <c r="I485">
        <v>645.6</v>
      </c>
      <c r="J485" t="s">
        <v>966</v>
      </c>
      <c r="K485" t="s">
        <v>13</v>
      </c>
      <c r="L485" t="s">
        <v>27</v>
      </c>
      <c r="M485">
        <v>1</v>
      </c>
      <c r="N485">
        <v>3228</v>
      </c>
    </row>
    <row r="486" spans="1:14" x14ac:dyDescent="0.3">
      <c r="A486" t="s">
        <v>967</v>
      </c>
      <c r="B486" t="s">
        <v>29</v>
      </c>
      <c r="C486" s="1">
        <v>45786</v>
      </c>
      <c r="D486" s="2">
        <f>YEAR(Table1[[#This Row],[PurchaseDate]])</f>
        <v>2025</v>
      </c>
      <c r="E486" s="2" t="str">
        <f>"Q"&amp;ROUNDUP(MONTH(Table1[[#This Row],[PurchaseDate]])/3,0)</f>
        <v>Q2</v>
      </c>
      <c r="F486" s="2">
        <f>MONTH(Table1[[#This Row],[PurchaseDate]])</f>
        <v>5</v>
      </c>
      <c r="G486" s="2" t="str">
        <f>TEXT(Table1[[#This Row],[PurchaseDate]],"MMM")</f>
        <v>May</v>
      </c>
      <c r="H486">
        <v>4</v>
      </c>
      <c r="I486">
        <v>708.45</v>
      </c>
      <c r="J486" t="s">
        <v>968</v>
      </c>
      <c r="K486" t="s">
        <v>38</v>
      </c>
      <c r="L486" t="s">
        <v>23</v>
      </c>
      <c r="M486">
        <v>3</v>
      </c>
      <c r="N486">
        <v>2833.8</v>
      </c>
    </row>
    <row r="487" spans="1:14" x14ac:dyDescent="0.3">
      <c r="A487" t="s">
        <v>969</v>
      </c>
      <c r="B487" t="s">
        <v>11</v>
      </c>
      <c r="C487" s="1">
        <v>45175</v>
      </c>
      <c r="D487" s="2">
        <f>YEAR(Table1[[#This Row],[PurchaseDate]])</f>
        <v>2023</v>
      </c>
      <c r="E487" s="2" t="str">
        <f>"Q"&amp;ROUNDUP(MONTH(Table1[[#This Row],[PurchaseDate]])/3,0)</f>
        <v>Q3</v>
      </c>
      <c r="F487" s="2">
        <f>MONTH(Table1[[#This Row],[PurchaseDate]])</f>
        <v>9</v>
      </c>
      <c r="G487" s="2" t="str">
        <f>TEXT(Table1[[#This Row],[PurchaseDate]],"MMM")</f>
        <v>Sep</v>
      </c>
      <c r="H487">
        <v>7</v>
      </c>
      <c r="I487">
        <v>86.92</v>
      </c>
      <c r="J487" t="s">
        <v>970</v>
      </c>
      <c r="K487" t="s">
        <v>13</v>
      </c>
      <c r="L487" t="s">
        <v>14</v>
      </c>
      <c r="M487">
        <v>2</v>
      </c>
      <c r="N487">
        <v>608.44000000000005</v>
      </c>
    </row>
    <row r="488" spans="1:14" x14ac:dyDescent="0.3">
      <c r="A488" t="s">
        <v>971</v>
      </c>
      <c r="B488" t="s">
        <v>25</v>
      </c>
      <c r="C488" s="1">
        <v>45229</v>
      </c>
      <c r="D488" s="2">
        <f>YEAR(Table1[[#This Row],[PurchaseDate]])</f>
        <v>2023</v>
      </c>
      <c r="E488" s="2" t="str">
        <f>"Q"&amp;ROUNDUP(MONTH(Table1[[#This Row],[PurchaseDate]])/3,0)</f>
        <v>Q4</v>
      </c>
      <c r="F488" s="2">
        <f>MONTH(Table1[[#This Row],[PurchaseDate]])</f>
        <v>10</v>
      </c>
      <c r="G488" s="2" t="str">
        <f>TEXT(Table1[[#This Row],[PurchaseDate]],"MMM")</f>
        <v>Oct</v>
      </c>
      <c r="H488">
        <v>1</v>
      </c>
      <c r="I488">
        <v>376.02</v>
      </c>
      <c r="J488" t="s">
        <v>972</v>
      </c>
      <c r="K488" t="s">
        <v>18</v>
      </c>
      <c r="L488" t="s">
        <v>14</v>
      </c>
      <c r="M488">
        <v>5</v>
      </c>
      <c r="N488">
        <v>376.02</v>
      </c>
    </row>
    <row r="489" spans="1:14" x14ac:dyDescent="0.3">
      <c r="A489" t="s">
        <v>973</v>
      </c>
      <c r="B489" t="s">
        <v>25</v>
      </c>
      <c r="C489" s="1">
        <v>45783</v>
      </c>
      <c r="D489" s="2">
        <f>YEAR(Table1[[#This Row],[PurchaseDate]])</f>
        <v>2025</v>
      </c>
      <c r="E489" s="2" t="str">
        <f>"Q"&amp;ROUNDUP(MONTH(Table1[[#This Row],[PurchaseDate]])/3,0)</f>
        <v>Q2</v>
      </c>
      <c r="F489" s="2">
        <f>MONTH(Table1[[#This Row],[PurchaseDate]])</f>
        <v>5</v>
      </c>
      <c r="G489" s="2" t="str">
        <f>TEXT(Table1[[#This Row],[PurchaseDate]],"MMM")</f>
        <v>May</v>
      </c>
      <c r="H489">
        <v>4</v>
      </c>
      <c r="I489">
        <v>533.61</v>
      </c>
      <c r="J489" t="s">
        <v>974</v>
      </c>
      <c r="K489" t="s">
        <v>38</v>
      </c>
      <c r="L489" t="s">
        <v>23</v>
      </c>
      <c r="M489">
        <v>1</v>
      </c>
      <c r="N489">
        <v>2134.44</v>
      </c>
    </row>
    <row r="490" spans="1:14" x14ac:dyDescent="0.3">
      <c r="A490" t="s">
        <v>975</v>
      </c>
      <c r="B490" t="s">
        <v>11</v>
      </c>
      <c r="C490" s="1">
        <v>45063</v>
      </c>
      <c r="D490" s="2">
        <f>YEAR(Table1[[#This Row],[PurchaseDate]])</f>
        <v>2023</v>
      </c>
      <c r="E490" s="2" t="str">
        <f>"Q"&amp;ROUNDUP(MONTH(Table1[[#This Row],[PurchaseDate]])/3,0)</f>
        <v>Q2</v>
      </c>
      <c r="F490" s="2">
        <f>MONTH(Table1[[#This Row],[PurchaseDate]])</f>
        <v>5</v>
      </c>
      <c r="G490" s="2" t="str">
        <f>TEXT(Table1[[#This Row],[PurchaseDate]],"MMM")</f>
        <v>May</v>
      </c>
      <c r="H490">
        <v>8</v>
      </c>
      <c r="I490">
        <v>367.53</v>
      </c>
      <c r="J490" t="s">
        <v>976</v>
      </c>
      <c r="K490" t="s">
        <v>13</v>
      </c>
      <c r="L490" t="s">
        <v>58</v>
      </c>
      <c r="M490">
        <v>1</v>
      </c>
      <c r="N490">
        <v>2940.24</v>
      </c>
    </row>
    <row r="491" spans="1:14" x14ac:dyDescent="0.3">
      <c r="A491" t="s">
        <v>977</v>
      </c>
      <c r="B491" t="s">
        <v>34</v>
      </c>
      <c r="C491" s="1">
        <v>45262</v>
      </c>
      <c r="D491" s="2">
        <f>YEAR(Table1[[#This Row],[PurchaseDate]])</f>
        <v>2023</v>
      </c>
      <c r="E491" s="2" t="str">
        <f>"Q"&amp;ROUNDUP(MONTH(Table1[[#This Row],[PurchaseDate]])/3,0)</f>
        <v>Q4</v>
      </c>
      <c r="F491" s="2">
        <f>MONTH(Table1[[#This Row],[PurchaseDate]])</f>
        <v>12</v>
      </c>
      <c r="G491" s="2" t="str">
        <f>TEXT(Table1[[#This Row],[PurchaseDate]],"MMM")</f>
        <v>Dec</v>
      </c>
      <c r="H491">
        <v>2</v>
      </c>
      <c r="I491">
        <v>27.94</v>
      </c>
      <c r="J491" t="s">
        <v>978</v>
      </c>
      <c r="K491" t="s">
        <v>13</v>
      </c>
      <c r="L491" t="s">
        <v>23</v>
      </c>
      <c r="M491">
        <v>5</v>
      </c>
      <c r="N491">
        <v>55.88</v>
      </c>
    </row>
    <row r="492" spans="1:14" x14ac:dyDescent="0.3">
      <c r="A492" t="s">
        <v>979</v>
      </c>
      <c r="B492" t="s">
        <v>34</v>
      </c>
      <c r="C492" s="1">
        <v>45322</v>
      </c>
      <c r="D492" s="2">
        <f>YEAR(Table1[[#This Row],[PurchaseDate]])</f>
        <v>2024</v>
      </c>
      <c r="E492" s="2" t="str">
        <f>"Q"&amp;ROUNDUP(MONTH(Table1[[#This Row],[PurchaseDate]])/3,0)</f>
        <v>Q1</v>
      </c>
      <c r="F492" s="2">
        <f>MONTH(Table1[[#This Row],[PurchaseDate]])</f>
        <v>1</v>
      </c>
      <c r="G492" s="2" t="str">
        <f>TEXT(Table1[[#This Row],[PurchaseDate]],"MMM")</f>
        <v>Jan</v>
      </c>
      <c r="H492">
        <v>7</v>
      </c>
      <c r="I492">
        <v>249.65</v>
      </c>
      <c r="J492" t="s">
        <v>980</v>
      </c>
      <c r="K492" t="s">
        <v>13</v>
      </c>
      <c r="L492" t="s">
        <v>27</v>
      </c>
      <c r="M492">
        <v>5</v>
      </c>
      <c r="N492">
        <v>1747.55</v>
      </c>
    </row>
    <row r="493" spans="1:14" x14ac:dyDescent="0.3">
      <c r="A493" t="s">
        <v>981</v>
      </c>
      <c r="B493" t="s">
        <v>16</v>
      </c>
      <c r="C493" s="1">
        <v>45647</v>
      </c>
      <c r="D493" s="2">
        <f>YEAR(Table1[[#This Row],[PurchaseDate]])</f>
        <v>2024</v>
      </c>
      <c r="E493" s="2" t="str">
        <f>"Q"&amp;ROUNDUP(MONTH(Table1[[#This Row],[PurchaseDate]])/3,0)</f>
        <v>Q4</v>
      </c>
      <c r="F493" s="2">
        <f>MONTH(Table1[[#This Row],[PurchaseDate]])</f>
        <v>12</v>
      </c>
      <c r="G493" s="2" t="str">
        <f>TEXT(Table1[[#This Row],[PurchaseDate]],"MMM")</f>
        <v>Dec</v>
      </c>
      <c r="H493">
        <v>5</v>
      </c>
      <c r="I493">
        <v>37.74</v>
      </c>
      <c r="J493" t="s">
        <v>982</v>
      </c>
      <c r="K493" t="s">
        <v>13</v>
      </c>
      <c r="L493" t="s">
        <v>58</v>
      </c>
      <c r="M493">
        <v>5</v>
      </c>
      <c r="N493">
        <v>188.7</v>
      </c>
    </row>
    <row r="494" spans="1:14" x14ac:dyDescent="0.3">
      <c r="A494" t="s">
        <v>983</v>
      </c>
      <c r="B494" t="s">
        <v>42</v>
      </c>
      <c r="C494" s="1">
        <v>45782</v>
      </c>
      <c r="D494" s="2">
        <f>YEAR(Table1[[#This Row],[PurchaseDate]])</f>
        <v>2025</v>
      </c>
      <c r="E494" s="2" t="str">
        <f>"Q"&amp;ROUNDUP(MONTH(Table1[[#This Row],[PurchaseDate]])/3,0)</f>
        <v>Q2</v>
      </c>
      <c r="F494" s="2">
        <f>MONTH(Table1[[#This Row],[PurchaseDate]])</f>
        <v>5</v>
      </c>
      <c r="G494" s="2" t="str">
        <f>TEXT(Table1[[#This Row],[PurchaseDate]],"MMM")</f>
        <v>May</v>
      </c>
      <c r="H494">
        <v>8</v>
      </c>
      <c r="I494">
        <v>286.36</v>
      </c>
      <c r="J494" t="s">
        <v>984</v>
      </c>
      <c r="K494" t="s">
        <v>38</v>
      </c>
      <c r="L494" t="s">
        <v>14</v>
      </c>
      <c r="M494">
        <v>1</v>
      </c>
      <c r="N494">
        <v>2290.88</v>
      </c>
    </row>
    <row r="495" spans="1:14" x14ac:dyDescent="0.3">
      <c r="A495" t="s">
        <v>985</v>
      </c>
      <c r="B495" t="s">
        <v>42</v>
      </c>
      <c r="C495" s="1">
        <v>45641</v>
      </c>
      <c r="D495" s="2">
        <f>YEAR(Table1[[#This Row],[PurchaseDate]])</f>
        <v>2024</v>
      </c>
      <c r="E495" s="2" t="str">
        <f>"Q"&amp;ROUNDUP(MONTH(Table1[[#This Row],[PurchaseDate]])/3,0)</f>
        <v>Q4</v>
      </c>
      <c r="F495" s="2">
        <f>MONTH(Table1[[#This Row],[PurchaseDate]])</f>
        <v>12</v>
      </c>
      <c r="G495" s="2" t="str">
        <f>TEXT(Table1[[#This Row],[PurchaseDate]],"MMM")</f>
        <v>Dec</v>
      </c>
      <c r="H495">
        <v>5</v>
      </c>
      <c r="I495">
        <v>614.32000000000005</v>
      </c>
      <c r="J495" t="s">
        <v>986</v>
      </c>
      <c r="K495" t="s">
        <v>38</v>
      </c>
      <c r="L495" t="s">
        <v>19</v>
      </c>
      <c r="M495">
        <v>3</v>
      </c>
      <c r="N495">
        <v>3071.6</v>
      </c>
    </row>
    <row r="496" spans="1:14" x14ac:dyDescent="0.3">
      <c r="A496" t="s">
        <v>987</v>
      </c>
      <c r="B496" t="s">
        <v>21</v>
      </c>
      <c r="C496" s="1">
        <v>45635</v>
      </c>
      <c r="D496" s="2">
        <f>YEAR(Table1[[#This Row],[PurchaseDate]])</f>
        <v>2024</v>
      </c>
      <c r="E496" s="2" t="str">
        <f>"Q"&amp;ROUNDUP(MONTH(Table1[[#This Row],[PurchaseDate]])/3,0)</f>
        <v>Q4</v>
      </c>
      <c r="F496" s="2">
        <f>MONTH(Table1[[#This Row],[PurchaseDate]])</f>
        <v>12</v>
      </c>
      <c r="G496" s="2" t="str">
        <f>TEXT(Table1[[#This Row],[PurchaseDate]],"MMM")</f>
        <v>Dec</v>
      </c>
      <c r="H496">
        <v>7</v>
      </c>
      <c r="I496">
        <v>172.77</v>
      </c>
      <c r="J496" t="s">
        <v>988</v>
      </c>
      <c r="K496" t="s">
        <v>38</v>
      </c>
      <c r="L496" t="s">
        <v>19</v>
      </c>
      <c r="M496">
        <v>4</v>
      </c>
      <c r="N496">
        <v>1209.3900000000001</v>
      </c>
    </row>
    <row r="497" spans="1:14" x14ac:dyDescent="0.3">
      <c r="A497" t="s">
        <v>989</v>
      </c>
      <c r="B497" t="s">
        <v>34</v>
      </c>
      <c r="C497" s="1">
        <v>45524</v>
      </c>
      <c r="D497" s="2">
        <f>YEAR(Table1[[#This Row],[PurchaseDate]])</f>
        <v>2024</v>
      </c>
      <c r="E497" s="2" t="str">
        <f>"Q"&amp;ROUNDUP(MONTH(Table1[[#This Row],[PurchaseDate]])/3,0)</f>
        <v>Q3</v>
      </c>
      <c r="F497" s="2">
        <f>MONTH(Table1[[#This Row],[PurchaseDate]])</f>
        <v>8</v>
      </c>
      <c r="G497" s="2" t="str">
        <f>TEXT(Table1[[#This Row],[PurchaseDate]],"MMM")</f>
        <v>Aug</v>
      </c>
      <c r="H497">
        <v>7</v>
      </c>
      <c r="I497">
        <v>458.02</v>
      </c>
      <c r="J497" t="s">
        <v>990</v>
      </c>
      <c r="K497" t="s">
        <v>38</v>
      </c>
      <c r="L497" t="s">
        <v>23</v>
      </c>
      <c r="M497">
        <v>5</v>
      </c>
      <c r="N497">
        <v>3206.14</v>
      </c>
    </row>
    <row r="498" spans="1:14" x14ac:dyDescent="0.3">
      <c r="A498" t="s">
        <v>991</v>
      </c>
      <c r="B498" t="s">
        <v>29</v>
      </c>
      <c r="C498" s="1">
        <v>45643</v>
      </c>
      <c r="D498" s="2">
        <f>YEAR(Table1[[#This Row],[PurchaseDate]])</f>
        <v>2024</v>
      </c>
      <c r="E498" s="2" t="str">
        <f>"Q"&amp;ROUNDUP(MONTH(Table1[[#This Row],[PurchaseDate]])/3,0)</f>
        <v>Q4</v>
      </c>
      <c r="F498" s="2">
        <f>MONTH(Table1[[#This Row],[PurchaseDate]])</f>
        <v>12</v>
      </c>
      <c r="G498" s="2" t="str">
        <f>TEXT(Table1[[#This Row],[PurchaseDate]],"MMM")</f>
        <v>Dec</v>
      </c>
      <c r="H498">
        <v>1</v>
      </c>
      <c r="I498">
        <v>40.96</v>
      </c>
      <c r="J498" t="s">
        <v>992</v>
      </c>
      <c r="K498" t="s">
        <v>13</v>
      </c>
      <c r="L498" t="s">
        <v>27</v>
      </c>
      <c r="M498">
        <v>2</v>
      </c>
      <c r="N498">
        <v>40.96</v>
      </c>
    </row>
    <row r="499" spans="1:14" x14ac:dyDescent="0.3">
      <c r="A499" t="s">
        <v>993</v>
      </c>
      <c r="B499" t="s">
        <v>11</v>
      </c>
      <c r="C499" s="1">
        <v>45829</v>
      </c>
      <c r="D499" s="2">
        <f>YEAR(Table1[[#This Row],[PurchaseDate]])</f>
        <v>2025</v>
      </c>
      <c r="E499" s="2" t="str">
        <f>"Q"&amp;ROUNDUP(MONTH(Table1[[#This Row],[PurchaseDate]])/3,0)</f>
        <v>Q2</v>
      </c>
      <c r="F499" s="2">
        <f>MONTH(Table1[[#This Row],[PurchaseDate]])</f>
        <v>6</v>
      </c>
      <c r="G499" s="2" t="str">
        <f>TEXT(Table1[[#This Row],[PurchaseDate]],"MMM")</f>
        <v>Jun</v>
      </c>
      <c r="H499">
        <v>2</v>
      </c>
      <c r="I499">
        <v>82.97</v>
      </c>
      <c r="J499" t="s">
        <v>994</v>
      </c>
      <c r="K499" t="s">
        <v>13</v>
      </c>
      <c r="L499" t="s">
        <v>23</v>
      </c>
      <c r="M499">
        <v>4</v>
      </c>
      <c r="N499">
        <v>165.94</v>
      </c>
    </row>
    <row r="500" spans="1:14" x14ac:dyDescent="0.3">
      <c r="A500" t="s">
        <v>995</v>
      </c>
      <c r="B500" t="s">
        <v>29</v>
      </c>
      <c r="C500" s="1">
        <v>45469</v>
      </c>
      <c r="D500" s="2">
        <f>YEAR(Table1[[#This Row],[PurchaseDate]])</f>
        <v>2024</v>
      </c>
      <c r="E500" s="2" t="str">
        <f>"Q"&amp;ROUNDUP(MONTH(Table1[[#This Row],[PurchaseDate]])/3,0)</f>
        <v>Q2</v>
      </c>
      <c r="F500" s="2">
        <f>MONTH(Table1[[#This Row],[PurchaseDate]])</f>
        <v>6</v>
      </c>
      <c r="G500" s="2" t="str">
        <f>TEXT(Table1[[#This Row],[PurchaseDate]],"MMM")</f>
        <v>Jun</v>
      </c>
      <c r="H500">
        <v>1</v>
      </c>
      <c r="I500">
        <v>211.3</v>
      </c>
      <c r="J500" t="s">
        <v>996</v>
      </c>
      <c r="K500" t="s">
        <v>13</v>
      </c>
      <c r="L500" t="s">
        <v>14</v>
      </c>
      <c r="M500">
        <v>5</v>
      </c>
      <c r="N500">
        <v>211.3</v>
      </c>
    </row>
    <row r="501" spans="1:14" x14ac:dyDescent="0.3">
      <c r="A501" t="s">
        <v>997</v>
      </c>
      <c r="B501" t="s">
        <v>29</v>
      </c>
      <c r="C501" s="1">
        <v>45760</v>
      </c>
      <c r="D501" s="2">
        <f>YEAR(Table1[[#This Row],[PurchaseDate]])</f>
        <v>2025</v>
      </c>
      <c r="E501" s="2" t="str">
        <f>"Q"&amp;ROUNDUP(MONTH(Table1[[#This Row],[PurchaseDate]])/3,0)</f>
        <v>Q2</v>
      </c>
      <c r="F501" s="2">
        <f>MONTH(Table1[[#This Row],[PurchaseDate]])</f>
        <v>4</v>
      </c>
      <c r="G501" s="2" t="str">
        <f>TEXT(Table1[[#This Row],[PurchaseDate]],"MMM")</f>
        <v>Apr</v>
      </c>
      <c r="H501">
        <v>5</v>
      </c>
      <c r="I501">
        <v>206.8</v>
      </c>
      <c r="J501" t="s">
        <v>998</v>
      </c>
      <c r="K501" t="s">
        <v>18</v>
      </c>
      <c r="L501" t="s">
        <v>19</v>
      </c>
      <c r="M501">
        <v>4</v>
      </c>
      <c r="N501">
        <v>1034</v>
      </c>
    </row>
    <row r="502" spans="1:14" x14ac:dyDescent="0.3">
      <c r="A502" t="s">
        <v>999</v>
      </c>
      <c r="B502" t="s">
        <v>42</v>
      </c>
      <c r="C502" s="1">
        <v>45192</v>
      </c>
      <c r="D502" s="2">
        <f>YEAR(Table1[[#This Row],[PurchaseDate]])</f>
        <v>2023</v>
      </c>
      <c r="E502" s="2" t="str">
        <f>"Q"&amp;ROUNDUP(MONTH(Table1[[#This Row],[PurchaseDate]])/3,0)</f>
        <v>Q3</v>
      </c>
      <c r="F502" s="2">
        <f>MONTH(Table1[[#This Row],[PurchaseDate]])</f>
        <v>9</v>
      </c>
      <c r="G502" s="2" t="str">
        <f>TEXT(Table1[[#This Row],[PurchaseDate]],"MMM")</f>
        <v>Sep</v>
      </c>
      <c r="H502">
        <v>3</v>
      </c>
      <c r="I502">
        <v>234.42</v>
      </c>
      <c r="J502" t="s">
        <v>1000</v>
      </c>
      <c r="K502" t="s">
        <v>18</v>
      </c>
      <c r="L502" t="s">
        <v>14</v>
      </c>
      <c r="M502">
        <v>2</v>
      </c>
      <c r="N502">
        <v>703.26</v>
      </c>
    </row>
    <row r="503" spans="1:14" x14ac:dyDescent="0.3">
      <c r="A503" t="s">
        <v>1001</v>
      </c>
      <c r="B503" t="s">
        <v>21</v>
      </c>
      <c r="C503" s="1">
        <v>45410</v>
      </c>
      <c r="D503" s="2">
        <f>YEAR(Table1[[#This Row],[PurchaseDate]])</f>
        <v>2024</v>
      </c>
      <c r="E503" s="2" t="str">
        <f>"Q"&amp;ROUNDUP(MONTH(Table1[[#This Row],[PurchaseDate]])/3,0)</f>
        <v>Q2</v>
      </c>
      <c r="F503" s="2">
        <f>MONTH(Table1[[#This Row],[PurchaseDate]])</f>
        <v>4</v>
      </c>
      <c r="G503" s="2" t="str">
        <f>TEXT(Table1[[#This Row],[PurchaseDate]],"MMM")</f>
        <v>Apr</v>
      </c>
      <c r="H503">
        <v>5</v>
      </c>
      <c r="I503">
        <v>92.37</v>
      </c>
      <c r="J503" t="s">
        <v>1002</v>
      </c>
      <c r="K503" t="s">
        <v>18</v>
      </c>
      <c r="L503" t="s">
        <v>14</v>
      </c>
      <c r="M503">
        <v>5</v>
      </c>
      <c r="N503">
        <v>461.85</v>
      </c>
    </row>
    <row r="504" spans="1:14" x14ac:dyDescent="0.3">
      <c r="A504" t="s">
        <v>1003</v>
      </c>
      <c r="B504" t="s">
        <v>34</v>
      </c>
      <c r="C504" s="1">
        <v>45262</v>
      </c>
      <c r="D504" s="2">
        <f>YEAR(Table1[[#This Row],[PurchaseDate]])</f>
        <v>2023</v>
      </c>
      <c r="E504" s="2" t="str">
        <f>"Q"&amp;ROUNDUP(MONTH(Table1[[#This Row],[PurchaseDate]])/3,0)</f>
        <v>Q4</v>
      </c>
      <c r="F504" s="2">
        <f>MONTH(Table1[[#This Row],[PurchaseDate]])</f>
        <v>12</v>
      </c>
      <c r="G504" s="2" t="str">
        <f>TEXT(Table1[[#This Row],[PurchaseDate]],"MMM")</f>
        <v>Dec</v>
      </c>
      <c r="H504">
        <v>1</v>
      </c>
      <c r="I504">
        <v>417.54</v>
      </c>
      <c r="J504" t="s">
        <v>1004</v>
      </c>
      <c r="K504" t="s">
        <v>18</v>
      </c>
      <c r="L504" t="s">
        <v>58</v>
      </c>
      <c r="M504">
        <v>1</v>
      </c>
      <c r="N504">
        <v>417.54</v>
      </c>
    </row>
    <row r="505" spans="1:14" x14ac:dyDescent="0.3">
      <c r="A505" t="s">
        <v>1005</v>
      </c>
      <c r="B505" t="s">
        <v>21</v>
      </c>
      <c r="C505" s="1">
        <v>45458</v>
      </c>
      <c r="D505" s="2">
        <f>YEAR(Table1[[#This Row],[PurchaseDate]])</f>
        <v>2024</v>
      </c>
      <c r="E505" s="2" t="str">
        <f>"Q"&amp;ROUNDUP(MONTH(Table1[[#This Row],[PurchaseDate]])/3,0)</f>
        <v>Q2</v>
      </c>
      <c r="F505" s="2">
        <f>MONTH(Table1[[#This Row],[PurchaseDate]])</f>
        <v>6</v>
      </c>
      <c r="G505" s="2" t="str">
        <f>TEXT(Table1[[#This Row],[PurchaseDate]],"MMM")</f>
        <v>Jun</v>
      </c>
      <c r="H505">
        <v>6</v>
      </c>
      <c r="I505">
        <v>565.54</v>
      </c>
      <c r="J505" t="s">
        <v>1006</v>
      </c>
      <c r="K505" t="s">
        <v>13</v>
      </c>
      <c r="L505" t="s">
        <v>58</v>
      </c>
      <c r="M505">
        <v>1</v>
      </c>
      <c r="N505">
        <v>3393.24</v>
      </c>
    </row>
    <row r="506" spans="1:14" x14ac:dyDescent="0.3">
      <c r="A506" t="s">
        <v>48</v>
      </c>
      <c r="B506" t="s">
        <v>21</v>
      </c>
      <c r="C506" s="1">
        <v>45797</v>
      </c>
      <c r="D506" s="2">
        <f>YEAR(Table1[[#This Row],[PurchaseDate]])</f>
        <v>2025</v>
      </c>
      <c r="E506" s="2" t="str">
        <f>"Q"&amp;ROUNDUP(MONTH(Table1[[#This Row],[PurchaseDate]])/3,0)</f>
        <v>Q2</v>
      </c>
      <c r="F506" s="2">
        <f>MONTH(Table1[[#This Row],[PurchaseDate]])</f>
        <v>5</v>
      </c>
      <c r="G506" s="2" t="str">
        <f>TEXT(Table1[[#This Row],[PurchaseDate]],"MMM")</f>
        <v>May</v>
      </c>
      <c r="H506">
        <v>3</v>
      </c>
      <c r="I506">
        <v>539.44000000000005</v>
      </c>
      <c r="J506" t="s">
        <v>49</v>
      </c>
      <c r="K506" t="s">
        <v>18</v>
      </c>
      <c r="L506" t="s">
        <v>19</v>
      </c>
      <c r="M506">
        <v>1</v>
      </c>
      <c r="N506">
        <v>1618.32</v>
      </c>
    </row>
    <row r="507" spans="1:14" x14ac:dyDescent="0.3">
      <c r="A507" t="s">
        <v>1007</v>
      </c>
      <c r="B507" t="s">
        <v>16</v>
      </c>
      <c r="C507" s="1">
        <v>45819</v>
      </c>
      <c r="D507" s="2">
        <f>YEAR(Table1[[#This Row],[PurchaseDate]])</f>
        <v>2025</v>
      </c>
      <c r="E507" s="2" t="str">
        <f>"Q"&amp;ROUNDUP(MONTH(Table1[[#This Row],[PurchaseDate]])/3,0)</f>
        <v>Q2</v>
      </c>
      <c r="F507" s="2">
        <f>MONTH(Table1[[#This Row],[PurchaseDate]])</f>
        <v>6</v>
      </c>
      <c r="G507" s="2" t="str">
        <f>TEXT(Table1[[#This Row],[PurchaseDate]],"MMM")</f>
        <v>Jun</v>
      </c>
      <c r="H507">
        <v>5</v>
      </c>
      <c r="I507">
        <v>764.37</v>
      </c>
      <c r="J507" t="s">
        <v>1008</v>
      </c>
      <c r="K507" t="s">
        <v>38</v>
      </c>
      <c r="L507" t="s">
        <v>19</v>
      </c>
      <c r="M507">
        <v>1</v>
      </c>
      <c r="N507">
        <v>3821.85</v>
      </c>
    </row>
    <row r="508" spans="1:14" x14ac:dyDescent="0.3">
      <c r="A508" t="s">
        <v>1009</v>
      </c>
      <c r="B508" t="s">
        <v>21</v>
      </c>
      <c r="C508" s="1">
        <v>45641</v>
      </c>
      <c r="D508" s="2">
        <f>YEAR(Table1[[#This Row],[PurchaseDate]])</f>
        <v>2024</v>
      </c>
      <c r="E508" s="2" t="str">
        <f>"Q"&amp;ROUNDUP(MONTH(Table1[[#This Row],[PurchaseDate]])/3,0)</f>
        <v>Q4</v>
      </c>
      <c r="F508" s="2">
        <f>MONTH(Table1[[#This Row],[PurchaseDate]])</f>
        <v>12</v>
      </c>
      <c r="G508" s="2" t="str">
        <f>TEXT(Table1[[#This Row],[PurchaseDate]],"MMM")</f>
        <v>Dec</v>
      </c>
      <c r="H508">
        <v>7</v>
      </c>
      <c r="I508">
        <v>584.79999999999995</v>
      </c>
      <c r="J508" t="s">
        <v>1010</v>
      </c>
      <c r="K508" t="s">
        <v>13</v>
      </c>
      <c r="L508" t="s">
        <v>58</v>
      </c>
      <c r="M508">
        <v>4</v>
      </c>
      <c r="N508">
        <v>4093.6</v>
      </c>
    </row>
    <row r="509" spans="1:14" x14ac:dyDescent="0.3">
      <c r="A509" t="s">
        <v>1011</v>
      </c>
      <c r="B509" t="s">
        <v>16</v>
      </c>
      <c r="C509" s="1">
        <v>45458</v>
      </c>
      <c r="D509" s="2">
        <f>YEAR(Table1[[#This Row],[PurchaseDate]])</f>
        <v>2024</v>
      </c>
      <c r="E509" s="2" t="str">
        <f>"Q"&amp;ROUNDUP(MONTH(Table1[[#This Row],[PurchaseDate]])/3,0)</f>
        <v>Q2</v>
      </c>
      <c r="F509" s="2">
        <f>MONTH(Table1[[#This Row],[PurchaseDate]])</f>
        <v>6</v>
      </c>
      <c r="G509" s="2" t="str">
        <f>TEXT(Table1[[#This Row],[PurchaseDate]],"MMM")</f>
        <v>Jun</v>
      </c>
      <c r="H509">
        <v>5</v>
      </c>
      <c r="I509">
        <v>448.93</v>
      </c>
      <c r="J509" t="s">
        <v>1012</v>
      </c>
      <c r="K509" t="s">
        <v>38</v>
      </c>
      <c r="L509" t="s">
        <v>27</v>
      </c>
      <c r="M509">
        <v>1</v>
      </c>
      <c r="N509">
        <v>2244.65</v>
      </c>
    </row>
    <row r="510" spans="1:14" x14ac:dyDescent="0.3">
      <c r="A510" t="s">
        <v>1013</v>
      </c>
      <c r="B510" t="s">
        <v>11</v>
      </c>
      <c r="C510" s="1">
        <v>45282</v>
      </c>
      <c r="D510" s="2">
        <f>YEAR(Table1[[#This Row],[PurchaseDate]])</f>
        <v>2023</v>
      </c>
      <c r="E510" s="2" t="str">
        <f>"Q"&amp;ROUNDUP(MONTH(Table1[[#This Row],[PurchaseDate]])/3,0)</f>
        <v>Q4</v>
      </c>
      <c r="F510" s="2">
        <f>MONTH(Table1[[#This Row],[PurchaseDate]])</f>
        <v>12</v>
      </c>
      <c r="G510" s="2" t="str">
        <f>TEXT(Table1[[#This Row],[PurchaseDate]],"MMM")</f>
        <v>Dec</v>
      </c>
      <c r="H510">
        <v>4</v>
      </c>
      <c r="I510">
        <v>573.19000000000005</v>
      </c>
      <c r="J510" t="s">
        <v>1014</v>
      </c>
      <c r="K510" t="s">
        <v>38</v>
      </c>
      <c r="L510" t="s">
        <v>23</v>
      </c>
      <c r="M510">
        <v>1</v>
      </c>
      <c r="N510">
        <v>2292.7600000000002</v>
      </c>
    </row>
    <row r="511" spans="1:14" x14ac:dyDescent="0.3">
      <c r="A511" t="s">
        <v>1015</v>
      </c>
      <c r="B511" t="s">
        <v>25</v>
      </c>
      <c r="C511" s="1">
        <v>45714</v>
      </c>
      <c r="D511" s="2">
        <f>YEAR(Table1[[#This Row],[PurchaseDate]])</f>
        <v>2025</v>
      </c>
      <c r="E511" s="2" t="str">
        <f>"Q"&amp;ROUNDUP(MONTH(Table1[[#This Row],[PurchaseDate]])/3,0)</f>
        <v>Q1</v>
      </c>
      <c r="F511" s="2">
        <f>MONTH(Table1[[#This Row],[PurchaseDate]])</f>
        <v>2</v>
      </c>
      <c r="G511" s="2" t="str">
        <f>TEXT(Table1[[#This Row],[PurchaseDate]],"MMM")</f>
        <v>Feb</v>
      </c>
      <c r="H511">
        <v>2</v>
      </c>
      <c r="I511">
        <v>15.63</v>
      </c>
      <c r="J511" t="s">
        <v>1016</v>
      </c>
      <c r="K511" t="s">
        <v>38</v>
      </c>
      <c r="L511" t="s">
        <v>23</v>
      </c>
      <c r="M511">
        <v>1</v>
      </c>
      <c r="N511">
        <v>31.26</v>
      </c>
    </row>
    <row r="512" spans="1:14" x14ac:dyDescent="0.3">
      <c r="A512" t="s">
        <v>1017</v>
      </c>
      <c r="B512" t="s">
        <v>11</v>
      </c>
      <c r="C512" s="1">
        <v>45814</v>
      </c>
      <c r="D512" s="2">
        <f>YEAR(Table1[[#This Row],[PurchaseDate]])</f>
        <v>2025</v>
      </c>
      <c r="E512" s="2" t="str">
        <f>"Q"&amp;ROUNDUP(MONTH(Table1[[#This Row],[PurchaseDate]])/3,0)</f>
        <v>Q2</v>
      </c>
      <c r="F512" s="2">
        <f>MONTH(Table1[[#This Row],[PurchaseDate]])</f>
        <v>6</v>
      </c>
      <c r="G512" s="2" t="str">
        <f>TEXT(Table1[[#This Row],[PurchaseDate]],"MMM")</f>
        <v>Jun</v>
      </c>
      <c r="H512">
        <v>1</v>
      </c>
      <c r="I512">
        <v>580.53</v>
      </c>
      <c r="J512" t="s">
        <v>1018</v>
      </c>
      <c r="K512" t="s">
        <v>18</v>
      </c>
      <c r="L512" t="s">
        <v>27</v>
      </c>
      <c r="M512">
        <v>2</v>
      </c>
      <c r="N512">
        <v>580.53</v>
      </c>
    </row>
    <row r="513" spans="1:14" x14ac:dyDescent="0.3">
      <c r="A513" t="s">
        <v>1019</v>
      </c>
      <c r="B513" t="s">
        <v>25</v>
      </c>
      <c r="C513" s="1">
        <v>45250</v>
      </c>
      <c r="D513" s="2">
        <f>YEAR(Table1[[#This Row],[PurchaseDate]])</f>
        <v>2023</v>
      </c>
      <c r="E513" s="2" t="str">
        <f>"Q"&amp;ROUNDUP(MONTH(Table1[[#This Row],[PurchaseDate]])/3,0)</f>
        <v>Q4</v>
      </c>
      <c r="F513" s="2">
        <f>MONTH(Table1[[#This Row],[PurchaseDate]])</f>
        <v>11</v>
      </c>
      <c r="G513" s="2" t="str">
        <f>TEXT(Table1[[#This Row],[PurchaseDate]],"MMM")</f>
        <v>Nov</v>
      </c>
      <c r="H513">
        <v>3</v>
      </c>
      <c r="I513">
        <v>380.5</v>
      </c>
      <c r="J513" t="s">
        <v>1020</v>
      </c>
      <c r="K513" t="s">
        <v>18</v>
      </c>
      <c r="L513" t="s">
        <v>27</v>
      </c>
      <c r="M513">
        <v>3</v>
      </c>
      <c r="N513">
        <v>1141.5</v>
      </c>
    </row>
    <row r="514" spans="1:14" x14ac:dyDescent="0.3">
      <c r="A514" t="s">
        <v>1021</v>
      </c>
      <c r="B514" t="s">
        <v>29</v>
      </c>
      <c r="C514" s="1">
        <v>45353</v>
      </c>
      <c r="D514" s="2">
        <f>YEAR(Table1[[#This Row],[PurchaseDate]])</f>
        <v>2024</v>
      </c>
      <c r="E514" s="2" t="str">
        <f>"Q"&amp;ROUNDUP(MONTH(Table1[[#This Row],[PurchaseDate]])/3,0)</f>
        <v>Q1</v>
      </c>
      <c r="F514" s="2">
        <f>MONTH(Table1[[#This Row],[PurchaseDate]])</f>
        <v>3</v>
      </c>
      <c r="G514" s="2" t="str">
        <f>TEXT(Table1[[#This Row],[PurchaseDate]],"MMM")</f>
        <v>Mar</v>
      </c>
      <c r="H514">
        <v>3</v>
      </c>
      <c r="I514">
        <v>357.45</v>
      </c>
      <c r="J514" t="s">
        <v>1022</v>
      </c>
      <c r="K514" t="s">
        <v>18</v>
      </c>
      <c r="L514" t="s">
        <v>58</v>
      </c>
      <c r="M514">
        <v>3</v>
      </c>
      <c r="N514">
        <v>1072.3499999999999</v>
      </c>
    </row>
    <row r="515" spans="1:14" x14ac:dyDescent="0.3">
      <c r="A515" t="s">
        <v>1023</v>
      </c>
      <c r="B515" t="s">
        <v>25</v>
      </c>
      <c r="C515" s="1">
        <v>45720</v>
      </c>
      <c r="D515" s="2">
        <f>YEAR(Table1[[#This Row],[PurchaseDate]])</f>
        <v>2025</v>
      </c>
      <c r="E515" s="2" t="str">
        <f>"Q"&amp;ROUNDUP(MONTH(Table1[[#This Row],[PurchaseDate]])/3,0)</f>
        <v>Q1</v>
      </c>
      <c r="F515" s="2">
        <f>MONTH(Table1[[#This Row],[PurchaseDate]])</f>
        <v>3</v>
      </c>
      <c r="G515" s="2" t="str">
        <f>TEXT(Table1[[#This Row],[PurchaseDate]],"MMM")</f>
        <v>Mar</v>
      </c>
      <c r="H515">
        <v>8</v>
      </c>
      <c r="I515">
        <v>549.37</v>
      </c>
      <c r="J515" t="s">
        <v>1024</v>
      </c>
      <c r="K515" t="s">
        <v>18</v>
      </c>
      <c r="L515" t="s">
        <v>27</v>
      </c>
      <c r="M515">
        <v>3</v>
      </c>
      <c r="N515">
        <v>4394.96</v>
      </c>
    </row>
    <row r="516" spans="1:14" x14ac:dyDescent="0.3">
      <c r="A516" t="s">
        <v>1025</v>
      </c>
      <c r="B516" t="s">
        <v>34</v>
      </c>
      <c r="C516" s="1">
        <v>45437</v>
      </c>
      <c r="D516" s="2">
        <f>YEAR(Table1[[#This Row],[PurchaseDate]])</f>
        <v>2024</v>
      </c>
      <c r="E516" s="2" t="str">
        <f>"Q"&amp;ROUNDUP(MONTH(Table1[[#This Row],[PurchaseDate]])/3,0)</f>
        <v>Q2</v>
      </c>
      <c r="F516" s="2">
        <f>MONTH(Table1[[#This Row],[PurchaseDate]])</f>
        <v>5</v>
      </c>
      <c r="G516" s="2" t="str">
        <f>TEXT(Table1[[#This Row],[PurchaseDate]],"MMM")</f>
        <v>May</v>
      </c>
      <c r="H516">
        <v>1</v>
      </c>
      <c r="I516">
        <v>511.82</v>
      </c>
      <c r="J516" t="s">
        <v>1026</v>
      </c>
      <c r="K516" t="s">
        <v>13</v>
      </c>
      <c r="L516" t="s">
        <v>58</v>
      </c>
      <c r="M516">
        <v>3</v>
      </c>
      <c r="N516">
        <v>511.82</v>
      </c>
    </row>
    <row r="517" spans="1:14" x14ac:dyDescent="0.3">
      <c r="A517" t="s">
        <v>1027</v>
      </c>
      <c r="B517" t="s">
        <v>11</v>
      </c>
      <c r="C517" s="1">
        <v>45038</v>
      </c>
      <c r="D517" s="2">
        <f>YEAR(Table1[[#This Row],[PurchaseDate]])</f>
        <v>2023</v>
      </c>
      <c r="E517" s="2" t="str">
        <f>"Q"&amp;ROUNDUP(MONTH(Table1[[#This Row],[PurchaseDate]])/3,0)</f>
        <v>Q2</v>
      </c>
      <c r="F517" s="2">
        <f>MONTH(Table1[[#This Row],[PurchaseDate]])</f>
        <v>4</v>
      </c>
      <c r="G517" s="2" t="str">
        <f>TEXT(Table1[[#This Row],[PurchaseDate]],"MMM")</f>
        <v>Apr</v>
      </c>
      <c r="H517">
        <v>7</v>
      </c>
      <c r="I517">
        <v>191.68</v>
      </c>
      <c r="J517" t="s">
        <v>1028</v>
      </c>
      <c r="K517" t="s">
        <v>38</v>
      </c>
      <c r="L517" t="s">
        <v>14</v>
      </c>
      <c r="M517">
        <v>4</v>
      </c>
      <c r="N517">
        <v>1341.76</v>
      </c>
    </row>
    <row r="518" spans="1:14" x14ac:dyDescent="0.3">
      <c r="A518" t="s">
        <v>305</v>
      </c>
      <c r="B518" t="s">
        <v>42</v>
      </c>
      <c r="C518" s="1">
        <v>45582</v>
      </c>
      <c r="D518" s="2">
        <f>YEAR(Table1[[#This Row],[PurchaseDate]])</f>
        <v>2024</v>
      </c>
      <c r="E518" s="2" t="str">
        <f>"Q"&amp;ROUNDUP(MONTH(Table1[[#This Row],[PurchaseDate]])/3,0)</f>
        <v>Q4</v>
      </c>
      <c r="F518" s="2">
        <f>MONTH(Table1[[#This Row],[PurchaseDate]])</f>
        <v>10</v>
      </c>
      <c r="G518" s="2" t="str">
        <f>TEXT(Table1[[#This Row],[PurchaseDate]],"MMM")</f>
        <v>Oct</v>
      </c>
      <c r="H518">
        <v>5</v>
      </c>
      <c r="I518">
        <v>689.03</v>
      </c>
      <c r="J518" t="s">
        <v>306</v>
      </c>
      <c r="K518" t="s">
        <v>38</v>
      </c>
      <c r="L518" t="s">
        <v>58</v>
      </c>
      <c r="M518">
        <v>2</v>
      </c>
      <c r="N518">
        <v>3445.15</v>
      </c>
    </row>
    <row r="519" spans="1:14" x14ac:dyDescent="0.3">
      <c r="A519" t="s">
        <v>1029</v>
      </c>
      <c r="B519" t="s">
        <v>29</v>
      </c>
      <c r="C519" s="1">
        <v>45790</v>
      </c>
      <c r="D519" s="2">
        <f>YEAR(Table1[[#This Row],[PurchaseDate]])</f>
        <v>2025</v>
      </c>
      <c r="E519" s="2" t="str">
        <f>"Q"&amp;ROUNDUP(MONTH(Table1[[#This Row],[PurchaseDate]])/3,0)</f>
        <v>Q2</v>
      </c>
      <c r="F519" s="2">
        <f>MONTH(Table1[[#This Row],[PurchaseDate]])</f>
        <v>5</v>
      </c>
      <c r="G519" s="2" t="str">
        <f>TEXT(Table1[[#This Row],[PurchaseDate]],"MMM")</f>
        <v>May</v>
      </c>
      <c r="H519">
        <v>1</v>
      </c>
      <c r="I519">
        <v>47.66</v>
      </c>
      <c r="J519" t="s">
        <v>1030</v>
      </c>
      <c r="K519" t="s">
        <v>13</v>
      </c>
      <c r="L519" t="s">
        <v>14</v>
      </c>
      <c r="M519">
        <v>4</v>
      </c>
      <c r="N519">
        <v>47.66</v>
      </c>
    </row>
    <row r="520" spans="1:14" x14ac:dyDescent="0.3">
      <c r="A520" t="s">
        <v>1031</v>
      </c>
      <c r="B520" t="s">
        <v>11</v>
      </c>
      <c r="C520" s="1">
        <v>45707</v>
      </c>
      <c r="D520" s="2">
        <f>YEAR(Table1[[#This Row],[PurchaseDate]])</f>
        <v>2025</v>
      </c>
      <c r="E520" s="2" t="str">
        <f>"Q"&amp;ROUNDUP(MONTH(Table1[[#This Row],[PurchaseDate]])/3,0)</f>
        <v>Q1</v>
      </c>
      <c r="F520" s="2">
        <f>MONTH(Table1[[#This Row],[PurchaseDate]])</f>
        <v>2</v>
      </c>
      <c r="G520" s="2" t="str">
        <f>TEXT(Table1[[#This Row],[PurchaseDate]],"MMM")</f>
        <v>Feb</v>
      </c>
      <c r="H520">
        <v>8</v>
      </c>
      <c r="I520">
        <v>584.83000000000004</v>
      </c>
      <c r="J520" t="s">
        <v>1032</v>
      </c>
      <c r="K520" t="s">
        <v>13</v>
      </c>
      <c r="L520" t="s">
        <v>58</v>
      </c>
      <c r="M520">
        <v>3</v>
      </c>
      <c r="N520">
        <v>4678.6400000000003</v>
      </c>
    </row>
    <row r="521" spans="1:14" x14ac:dyDescent="0.3">
      <c r="A521" t="s">
        <v>1033</v>
      </c>
      <c r="B521" t="s">
        <v>42</v>
      </c>
      <c r="C521" s="1">
        <v>45348</v>
      </c>
      <c r="D521" s="2">
        <f>YEAR(Table1[[#This Row],[PurchaseDate]])</f>
        <v>2024</v>
      </c>
      <c r="E521" s="2" t="str">
        <f>"Q"&amp;ROUNDUP(MONTH(Table1[[#This Row],[PurchaseDate]])/3,0)</f>
        <v>Q1</v>
      </c>
      <c r="F521" s="2">
        <f>MONTH(Table1[[#This Row],[PurchaseDate]])</f>
        <v>2</v>
      </c>
      <c r="G521" s="2" t="str">
        <f>TEXT(Table1[[#This Row],[PurchaseDate]],"MMM")</f>
        <v>Feb</v>
      </c>
      <c r="H521">
        <v>6</v>
      </c>
      <c r="I521">
        <v>314.52999999999997</v>
      </c>
      <c r="J521" t="s">
        <v>1034</v>
      </c>
      <c r="K521" t="s">
        <v>13</v>
      </c>
      <c r="L521" t="s">
        <v>19</v>
      </c>
      <c r="M521">
        <v>2</v>
      </c>
      <c r="N521">
        <v>1887.18</v>
      </c>
    </row>
    <row r="522" spans="1:14" x14ac:dyDescent="0.3">
      <c r="A522" t="s">
        <v>1035</v>
      </c>
      <c r="B522" t="s">
        <v>42</v>
      </c>
      <c r="C522" s="1">
        <v>45216</v>
      </c>
      <c r="D522" s="2">
        <f>YEAR(Table1[[#This Row],[PurchaseDate]])</f>
        <v>2023</v>
      </c>
      <c r="E522" s="2" t="str">
        <f>"Q"&amp;ROUNDUP(MONTH(Table1[[#This Row],[PurchaseDate]])/3,0)</f>
        <v>Q4</v>
      </c>
      <c r="F522" s="2">
        <f>MONTH(Table1[[#This Row],[PurchaseDate]])</f>
        <v>10</v>
      </c>
      <c r="G522" s="2" t="str">
        <f>TEXT(Table1[[#This Row],[PurchaseDate]],"MMM")</f>
        <v>Oct</v>
      </c>
      <c r="H522">
        <v>6</v>
      </c>
      <c r="I522">
        <v>578.51</v>
      </c>
      <c r="J522" t="s">
        <v>1036</v>
      </c>
      <c r="K522" t="s">
        <v>13</v>
      </c>
      <c r="L522" t="s">
        <v>27</v>
      </c>
      <c r="M522">
        <v>4</v>
      </c>
      <c r="N522">
        <v>3471.06</v>
      </c>
    </row>
    <row r="523" spans="1:14" x14ac:dyDescent="0.3">
      <c r="A523" t="s">
        <v>1037</v>
      </c>
      <c r="B523" t="s">
        <v>16</v>
      </c>
      <c r="C523" s="1">
        <v>45202</v>
      </c>
      <c r="D523" s="2">
        <f>YEAR(Table1[[#This Row],[PurchaseDate]])</f>
        <v>2023</v>
      </c>
      <c r="E523" s="2" t="str">
        <f>"Q"&amp;ROUNDUP(MONTH(Table1[[#This Row],[PurchaseDate]])/3,0)</f>
        <v>Q4</v>
      </c>
      <c r="F523" s="2">
        <f>MONTH(Table1[[#This Row],[PurchaseDate]])</f>
        <v>10</v>
      </c>
      <c r="G523" s="2" t="str">
        <f>TEXT(Table1[[#This Row],[PurchaseDate]],"MMM")</f>
        <v>Oct</v>
      </c>
      <c r="H523">
        <v>8</v>
      </c>
      <c r="I523">
        <v>618.30999999999995</v>
      </c>
      <c r="J523" t="s">
        <v>1038</v>
      </c>
      <c r="K523" t="s">
        <v>13</v>
      </c>
      <c r="L523" t="s">
        <v>14</v>
      </c>
      <c r="M523">
        <v>1</v>
      </c>
      <c r="N523">
        <v>4946.4799999999996</v>
      </c>
    </row>
    <row r="524" spans="1:14" x14ac:dyDescent="0.3">
      <c r="A524" t="s">
        <v>1039</v>
      </c>
      <c r="B524" t="s">
        <v>29</v>
      </c>
      <c r="C524" s="1">
        <v>45574</v>
      </c>
      <c r="D524" s="2">
        <f>YEAR(Table1[[#This Row],[PurchaseDate]])</f>
        <v>2024</v>
      </c>
      <c r="E524" s="2" t="str">
        <f>"Q"&amp;ROUNDUP(MONTH(Table1[[#This Row],[PurchaseDate]])/3,0)</f>
        <v>Q4</v>
      </c>
      <c r="F524" s="2">
        <f>MONTH(Table1[[#This Row],[PurchaseDate]])</f>
        <v>10</v>
      </c>
      <c r="G524" s="2" t="str">
        <f>TEXT(Table1[[#This Row],[PurchaseDate]],"MMM")</f>
        <v>Oct</v>
      </c>
      <c r="H524">
        <v>1</v>
      </c>
      <c r="I524">
        <v>458.66</v>
      </c>
      <c r="J524" t="s">
        <v>1040</v>
      </c>
      <c r="K524" t="s">
        <v>38</v>
      </c>
      <c r="L524" t="s">
        <v>27</v>
      </c>
      <c r="M524">
        <v>4</v>
      </c>
      <c r="N524">
        <v>458.66</v>
      </c>
    </row>
    <row r="525" spans="1:14" x14ac:dyDescent="0.3">
      <c r="A525" t="s">
        <v>1041</v>
      </c>
      <c r="B525" t="s">
        <v>21</v>
      </c>
      <c r="C525" s="1">
        <v>45642</v>
      </c>
      <c r="D525" s="2">
        <f>YEAR(Table1[[#This Row],[PurchaseDate]])</f>
        <v>2024</v>
      </c>
      <c r="E525" s="2" t="str">
        <f>"Q"&amp;ROUNDUP(MONTH(Table1[[#This Row],[PurchaseDate]])/3,0)</f>
        <v>Q4</v>
      </c>
      <c r="F525" s="2">
        <f>MONTH(Table1[[#This Row],[PurchaseDate]])</f>
        <v>12</v>
      </c>
      <c r="G525" s="2" t="str">
        <f>TEXT(Table1[[#This Row],[PurchaseDate]],"MMM")</f>
        <v>Dec</v>
      </c>
      <c r="H525">
        <v>6</v>
      </c>
      <c r="I525">
        <v>396.06</v>
      </c>
      <c r="J525" t="s">
        <v>1042</v>
      </c>
      <c r="K525" t="s">
        <v>18</v>
      </c>
      <c r="L525" t="s">
        <v>23</v>
      </c>
      <c r="M525">
        <v>3</v>
      </c>
      <c r="N525">
        <v>2376.36</v>
      </c>
    </row>
    <row r="526" spans="1:14" x14ac:dyDescent="0.3">
      <c r="A526" t="s">
        <v>1043</v>
      </c>
      <c r="B526" t="s">
        <v>25</v>
      </c>
      <c r="C526" s="1">
        <v>45830</v>
      </c>
      <c r="D526" s="2">
        <f>YEAR(Table1[[#This Row],[PurchaseDate]])</f>
        <v>2025</v>
      </c>
      <c r="E526" s="2" t="str">
        <f>"Q"&amp;ROUNDUP(MONTH(Table1[[#This Row],[PurchaseDate]])/3,0)</f>
        <v>Q2</v>
      </c>
      <c r="F526" s="2">
        <f>MONTH(Table1[[#This Row],[PurchaseDate]])</f>
        <v>6</v>
      </c>
      <c r="G526" s="2" t="str">
        <f>TEXT(Table1[[#This Row],[PurchaseDate]],"MMM")</f>
        <v>Jun</v>
      </c>
      <c r="H526">
        <v>7</v>
      </c>
      <c r="I526">
        <v>285.58999999999997</v>
      </c>
      <c r="J526" t="s">
        <v>1044</v>
      </c>
      <c r="K526" t="s">
        <v>13</v>
      </c>
      <c r="L526" t="s">
        <v>14</v>
      </c>
      <c r="M526">
        <v>2</v>
      </c>
      <c r="N526">
        <v>1999.13</v>
      </c>
    </row>
    <row r="527" spans="1:14" x14ac:dyDescent="0.3">
      <c r="A527" t="s">
        <v>1045</v>
      </c>
      <c r="B527" t="s">
        <v>34</v>
      </c>
      <c r="C527" s="1">
        <v>45617</v>
      </c>
      <c r="D527" s="2">
        <f>YEAR(Table1[[#This Row],[PurchaseDate]])</f>
        <v>2024</v>
      </c>
      <c r="E527" s="2" t="str">
        <f>"Q"&amp;ROUNDUP(MONTH(Table1[[#This Row],[PurchaseDate]])/3,0)</f>
        <v>Q4</v>
      </c>
      <c r="F527" s="2">
        <f>MONTH(Table1[[#This Row],[PurchaseDate]])</f>
        <v>11</v>
      </c>
      <c r="G527" s="2" t="str">
        <f>TEXT(Table1[[#This Row],[PurchaseDate]],"MMM")</f>
        <v>Nov</v>
      </c>
      <c r="H527">
        <v>8</v>
      </c>
      <c r="I527">
        <v>589.92999999999995</v>
      </c>
      <c r="J527" t="s">
        <v>1046</v>
      </c>
      <c r="K527" t="s">
        <v>38</v>
      </c>
      <c r="L527" t="s">
        <v>19</v>
      </c>
      <c r="M527">
        <v>3</v>
      </c>
      <c r="N527">
        <v>4719.4399999999996</v>
      </c>
    </row>
    <row r="528" spans="1:14" x14ac:dyDescent="0.3">
      <c r="A528" t="s">
        <v>1047</v>
      </c>
      <c r="B528" t="s">
        <v>42</v>
      </c>
      <c r="C528" s="1">
        <v>45662</v>
      </c>
      <c r="D528" s="2">
        <f>YEAR(Table1[[#This Row],[PurchaseDate]])</f>
        <v>2025</v>
      </c>
      <c r="E528" s="2" t="str">
        <f>"Q"&amp;ROUNDUP(MONTH(Table1[[#This Row],[PurchaseDate]])/3,0)</f>
        <v>Q1</v>
      </c>
      <c r="F528" s="2">
        <f>MONTH(Table1[[#This Row],[PurchaseDate]])</f>
        <v>1</v>
      </c>
      <c r="G528" s="2" t="str">
        <f>TEXT(Table1[[#This Row],[PurchaseDate]],"MMM")</f>
        <v>Jan</v>
      </c>
      <c r="H528">
        <v>1</v>
      </c>
      <c r="I528">
        <v>85.22</v>
      </c>
      <c r="J528" t="s">
        <v>1048</v>
      </c>
      <c r="K528" t="s">
        <v>13</v>
      </c>
      <c r="L528" t="s">
        <v>14</v>
      </c>
      <c r="M528">
        <v>1</v>
      </c>
      <c r="N528">
        <v>85.22</v>
      </c>
    </row>
    <row r="529" spans="1:14" x14ac:dyDescent="0.3">
      <c r="A529" t="s">
        <v>1049</v>
      </c>
      <c r="B529" t="s">
        <v>16</v>
      </c>
      <c r="C529" s="1">
        <v>45039</v>
      </c>
      <c r="D529" s="2">
        <f>YEAR(Table1[[#This Row],[PurchaseDate]])</f>
        <v>2023</v>
      </c>
      <c r="E529" s="2" t="str">
        <f>"Q"&amp;ROUNDUP(MONTH(Table1[[#This Row],[PurchaseDate]])/3,0)</f>
        <v>Q2</v>
      </c>
      <c r="F529" s="2">
        <f>MONTH(Table1[[#This Row],[PurchaseDate]])</f>
        <v>4</v>
      </c>
      <c r="G529" s="2" t="str">
        <f>TEXT(Table1[[#This Row],[PurchaseDate]],"MMM")</f>
        <v>Apr</v>
      </c>
      <c r="H529">
        <v>1</v>
      </c>
      <c r="I529">
        <v>358.65</v>
      </c>
      <c r="J529" t="s">
        <v>1050</v>
      </c>
      <c r="K529" t="s">
        <v>18</v>
      </c>
      <c r="L529" t="s">
        <v>58</v>
      </c>
      <c r="M529">
        <v>4</v>
      </c>
      <c r="N529">
        <v>358.65</v>
      </c>
    </row>
    <row r="530" spans="1:14" x14ac:dyDescent="0.3">
      <c r="A530" t="s">
        <v>1051</v>
      </c>
      <c r="B530" t="s">
        <v>21</v>
      </c>
      <c r="C530" s="1">
        <v>45608</v>
      </c>
      <c r="D530" s="2">
        <f>YEAR(Table1[[#This Row],[PurchaseDate]])</f>
        <v>2024</v>
      </c>
      <c r="E530" s="2" t="str">
        <f>"Q"&amp;ROUNDUP(MONTH(Table1[[#This Row],[PurchaseDate]])/3,0)</f>
        <v>Q4</v>
      </c>
      <c r="F530" s="2">
        <f>MONTH(Table1[[#This Row],[PurchaseDate]])</f>
        <v>11</v>
      </c>
      <c r="G530" s="2" t="str">
        <f>TEXT(Table1[[#This Row],[PurchaseDate]],"MMM")</f>
        <v>Nov</v>
      </c>
      <c r="H530">
        <v>3</v>
      </c>
      <c r="I530">
        <v>565.63</v>
      </c>
      <c r="J530" t="s">
        <v>1052</v>
      </c>
      <c r="K530" t="s">
        <v>38</v>
      </c>
      <c r="L530" t="s">
        <v>14</v>
      </c>
      <c r="M530">
        <v>3</v>
      </c>
      <c r="N530">
        <v>1696.89</v>
      </c>
    </row>
    <row r="531" spans="1:14" x14ac:dyDescent="0.3">
      <c r="A531" t="s">
        <v>1053</v>
      </c>
      <c r="B531" t="s">
        <v>34</v>
      </c>
      <c r="C531" s="1">
        <v>45116</v>
      </c>
      <c r="D531" s="2">
        <f>YEAR(Table1[[#This Row],[PurchaseDate]])</f>
        <v>2023</v>
      </c>
      <c r="E531" s="2" t="str">
        <f>"Q"&amp;ROUNDUP(MONTH(Table1[[#This Row],[PurchaseDate]])/3,0)</f>
        <v>Q3</v>
      </c>
      <c r="F531" s="2">
        <f>MONTH(Table1[[#This Row],[PurchaseDate]])</f>
        <v>7</v>
      </c>
      <c r="G531" s="2" t="str">
        <f>TEXT(Table1[[#This Row],[PurchaseDate]],"MMM")</f>
        <v>Jul</v>
      </c>
      <c r="H531">
        <v>7</v>
      </c>
      <c r="I531">
        <v>560.67999999999995</v>
      </c>
      <c r="J531" t="s">
        <v>1054</v>
      </c>
      <c r="K531" t="s">
        <v>18</v>
      </c>
      <c r="L531" t="s">
        <v>19</v>
      </c>
      <c r="M531">
        <v>2</v>
      </c>
      <c r="N531">
        <v>3924.76</v>
      </c>
    </row>
    <row r="532" spans="1:14" x14ac:dyDescent="0.3">
      <c r="A532" t="s">
        <v>1055</v>
      </c>
      <c r="B532" t="s">
        <v>25</v>
      </c>
      <c r="C532" s="1">
        <v>45660</v>
      </c>
      <c r="D532" s="2">
        <f>YEAR(Table1[[#This Row],[PurchaseDate]])</f>
        <v>2025</v>
      </c>
      <c r="E532" s="2" t="str">
        <f>"Q"&amp;ROUNDUP(MONTH(Table1[[#This Row],[PurchaseDate]])/3,0)</f>
        <v>Q1</v>
      </c>
      <c r="F532" s="2">
        <f>MONTH(Table1[[#This Row],[PurchaseDate]])</f>
        <v>1</v>
      </c>
      <c r="G532" s="2" t="str">
        <f>TEXT(Table1[[#This Row],[PurchaseDate]],"MMM")</f>
        <v>Jan</v>
      </c>
      <c r="H532">
        <v>1</v>
      </c>
      <c r="I532">
        <v>12.7</v>
      </c>
      <c r="J532" t="s">
        <v>1056</v>
      </c>
      <c r="K532" t="s">
        <v>18</v>
      </c>
      <c r="L532" t="s">
        <v>58</v>
      </c>
      <c r="M532">
        <v>1</v>
      </c>
      <c r="N532">
        <v>12.7</v>
      </c>
    </row>
    <row r="533" spans="1:14" x14ac:dyDescent="0.3">
      <c r="A533" t="s">
        <v>1057</v>
      </c>
      <c r="B533" t="s">
        <v>16</v>
      </c>
      <c r="C533" s="1">
        <v>45621</v>
      </c>
      <c r="D533" s="2">
        <f>YEAR(Table1[[#This Row],[PurchaseDate]])</f>
        <v>2024</v>
      </c>
      <c r="E533" s="2" t="str">
        <f>"Q"&amp;ROUNDUP(MONTH(Table1[[#This Row],[PurchaseDate]])/3,0)</f>
        <v>Q4</v>
      </c>
      <c r="F533" s="2">
        <f>MONTH(Table1[[#This Row],[PurchaseDate]])</f>
        <v>11</v>
      </c>
      <c r="G533" s="2" t="str">
        <f>TEXT(Table1[[#This Row],[PurchaseDate]],"MMM")</f>
        <v>Nov</v>
      </c>
      <c r="H533">
        <v>7</v>
      </c>
      <c r="I533">
        <v>352.27</v>
      </c>
      <c r="J533" t="s">
        <v>1058</v>
      </c>
      <c r="K533" t="s">
        <v>13</v>
      </c>
      <c r="L533" t="s">
        <v>27</v>
      </c>
      <c r="M533">
        <v>2</v>
      </c>
      <c r="N533">
        <v>2465.89</v>
      </c>
    </row>
    <row r="534" spans="1:14" x14ac:dyDescent="0.3">
      <c r="A534" t="s">
        <v>1059</v>
      </c>
      <c r="B534" t="s">
        <v>42</v>
      </c>
      <c r="C534" s="1">
        <v>44950</v>
      </c>
      <c r="D534" s="2">
        <f>YEAR(Table1[[#This Row],[PurchaseDate]])</f>
        <v>2023</v>
      </c>
      <c r="E534" s="2" t="str">
        <f>"Q"&amp;ROUNDUP(MONTH(Table1[[#This Row],[PurchaseDate]])/3,0)</f>
        <v>Q1</v>
      </c>
      <c r="F534" s="2">
        <f>MONTH(Table1[[#This Row],[PurchaseDate]])</f>
        <v>1</v>
      </c>
      <c r="G534" s="2" t="str">
        <f>TEXT(Table1[[#This Row],[PurchaseDate]],"MMM")</f>
        <v>Jan</v>
      </c>
      <c r="H534">
        <v>1</v>
      </c>
      <c r="I534">
        <v>50.03</v>
      </c>
      <c r="J534" t="s">
        <v>1060</v>
      </c>
      <c r="K534" t="s">
        <v>13</v>
      </c>
      <c r="L534" t="s">
        <v>27</v>
      </c>
      <c r="M534">
        <v>5</v>
      </c>
      <c r="N534">
        <v>50.03</v>
      </c>
    </row>
    <row r="535" spans="1:14" x14ac:dyDescent="0.3">
      <c r="A535" t="s">
        <v>1061</v>
      </c>
      <c r="B535" t="s">
        <v>11</v>
      </c>
      <c r="C535" s="1">
        <v>45810</v>
      </c>
      <c r="D535" s="2">
        <f>YEAR(Table1[[#This Row],[PurchaseDate]])</f>
        <v>2025</v>
      </c>
      <c r="E535" s="2" t="str">
        <f>"Q"&amp;ROUNDUP(MONTH(Table1[[#This Row],[PurchaseDate]])/3,0)</f>
        <v>Q2</v>
      </c>
      <c r="F535" s="2">
        <f>MONTH(Table1[[#This Row],[PurchaseDate]])</f>
        <v>6</v>
      </c>
      <c r="G535" s="2" t="str">
        <f>TEXT(Table1[[#This Row],[PurchaseDate]],"MMM")</f>
        <v>Jun</v>
      </c>
      <c r="H535">
        <v>5</v>
      </c>
      <c r="I535">
        <v>730.2</v>
      </c>
      <c r="J535" t="s">
        <v>1062</v>
      </c>
      <c r="K535" t="s">
        <v>38</v>
      </c>
      <c r="L535" t="s">
        <v>14</v>
      </c>
      <c r="M535">
        <v>2</v>
      </c>
      <c r="N535">
        <v>3651</v>
      </c>
    </row>
    <row r="536" spans="1:14" x14ac:dyDescent="0.3">
      <c r="A536" t="s">
        <v>1063</v>
      </c>
      <c r="B536" t="s">
        <v>11</v>
      </c>
      <c r="C536" s="1">
        <v>45637</v>
      </c>
      <c r="D536" s="2">
        <f>YEAR(Table1[[#This Row],[PurchaseDate]])</f>
        <v>2024</v>
      </c>
      <c r="E536" s="2" t="str">
        <f>"Q"&amp;ROUNDUP(MONTH(Table1[[#This Row],[PurchaseDate]])/3,0)</f>
        <v>Q4</v>
      </c>
      <c r="F536" s="2">
        <f>MONTH(Table1[[#This Row],[PurchaseDate]])</f>
        <v>12</v>
      </c>
      <c r="G536" s="2" t="str">
        <f>TEXT(Table1[[#This Row],[PurchaseDate]],"MMM")</f>
        <v>Dec</v>
      </c>
      <c r="H536">
        <v>8</v>
      </c>
      <c r="I536">
        <v>78.099999999999994</v>
      </c>
      <c r="J536" t="s">
        <v>1064</v>
      </c>
      <c r="K536" t="s">
        <v>18</v>
      </c>
      <c r="L536" t="s">
        <v>27</v>
      </c>
      <c r="M536">
        <v>5</v>
      </c>
      <c r="N536">
        <v>624.79999999999995</v>
      </c>
    </row>
    <row r="537" spans="1:14" x14ac:dyDescent="0.3">
      <c r="A537" t="s">
        <v>1065</v>
      </c>
      <c r="B537" t="s">
        <v>29</v>
      </c>
      <c r="C537" s="1">
        <v>45094</v>
      </c>
      <c r="D537" s="2">
        <f>YEAR(Table1[[#This Row],[PurchaseDate]])</f>
        <v>2023</v>
      </c>
      <c r="E537" s="2" t="str">
        <f>"Q"&amp;ROUNDUP(MONTH(Table1[[#This Row],[PurchaseDate]])/3,0)</f>
        <v>Q2</v>
      </c>
      <c r="F537" s="2">
        <f>MONTH(Table1[[#This Row],[PurchaseDate]])</f>
        <v>6</v>
      </c>
      <c r="G537" s="2" t="str">
        <f>TEXT(Table1[[#This Row],[PurchaseDate]],"MMM")</f>
        <v>Jun</v>
      </c>
      <c r="H537">
        <v>2</v>
      </c>
      <c r="I537">
        <v>679.03</v>
      </c>
      <c r="J537" t="s">
        <v>1066</v>
      </c>
      <c r="K537" t="s">
        <v>38</v>
      </c>
      <c r="L537" t="s">
        <v>27</v>
      </c>
      <c r="M537">
        <v>1</v>
      </c>
      <c r="N537">
        <v>1358.06</v>
      </c>
    </row>
    <row r="538" spans="1:14" x14ac:dyDescent="0.3">
      <c r="A538" t="s">
        <v>1067</v>
      </c>
      <c r="B538" t="s">
        <v>21</v>
      </c>
      <c r="C538" s="1">
        <v>45837</v>
      </c>
      <c r="D538" s="2">
        <f>YEAR(Table1[[#This Row],[PurchaseDate]])</f>
        <v>2025</v>
      </c>
      <c r="E538" s="2" t="str">
        <f>"Q"&amp;ROUNDUP(MONTH(Table1[[#This Row],[PurchaseDate]])/3,0)</f>
        <v>Q2</v>
      </c>
      <c r="F538" s="2">
        <f>MONTH(Table1[[#This Row],[PurchaseDate]])</f>
        <v>6</v>
      </c>
      <c r="G538" s="2" t="str">
        <f>TEXT(Table1[[#This Row],[PurchaseDate]],"MMM")</f>
        <v>Jun</v>
      </c>
      <c r="H538">
        <v>4</v>
      </c>
      <c r="I538">
        <v>317.13</v>
      </c>
      <c r="J538" t="s">
        <v>1068</v>
      </c>
      <c r="K538" t="s">
        <v>18</v>
      </c>
      <c r="L538" t="s">
        <v>19</v>
      </c>
      <c r="M538">
        <v>3</v>
      </c>
      <c r="N538">
        <v>1268.52</v>
      </c>
    </row>
    <row r="539" spans="1:14" x14ac:dyDescent="0.3">
      <c r="A539" t="s">
        <v>1069</v>
      </c>
      <c r="B539" t="s">
        <v>16</v>
      </c>
      <c r="C539" s="1">
        <v>45696</v>
      </c>
      <c r="D539" s="2">
        <f>YEAR(Table1[[#This Row],[PurchaseDate]])</f>
        <v>2025</v>
      </c>
      <c r="E539" s="2" t="str">
        <f>"Q"&amp;ROUNDUP(MONTH(Table1[[#This Row],[PurchaseDate]])/3,0)</f>
        <v>Q1</v>
      </c>
      <c r="F539" s="2">
        <f>MONTH(Table1[[#This Row],[PurchaseDate]])</f>
        <v>2</v>
      </c>
      <c r="G539" s="2" t="str">
        <f>TEXT(Table1[[#This Row],[PurchaseDate]],"MMM")</f>
        <v>Feb</v>
      </c>
      <c r="H539">
        <v>2</v>
      </c>
      <c r="I539">
        <v>21.24</v>
      </c>
      <c r="J539" t="s">
        <v>1070</v>
      </c>
      <c r="K539" t="s">
        <v>13</v>
      </c>
      <c r="L539" t="s">
        <v>58</v>
      </c>
      <c r="M539">
        <v>2</v>
      </c>
      <c r="N539">
        <v>42.48</v>
      </c>
    </row>
    <row r="540" spans="1:14" x14ac:dyDescent="0.3">
      <c r="A540" t="s">
        <v>1071</v>
      </c>
      <c r="B540" t="s">
        <v>42</v>
      </c>
      <c r="C540" s="1">
        <v>45250</v>
      </c>
      <c r="D540" s="2">
        <f>YEAR(Table1[[#This Row],[PurchaseDate]])</f>
        <v>2023</v>
      </c>
      <c r="E540" s="2" t="str">
        <f>"Q"&amp;ROUNDUP(MONTH(Table1[[#This Row],[PurchaseDate]])/3,0)</f>
        <v>Q4</v>
      </c>
      <c r="F540" s="2">
        <f>MONTH(Table1[[#This Row],[PurchaseDate]])</f>
        <v>11</v>
      </c>
      <c r="G540" s="2" t="str">
        <f>TEXT(Table1[[#This Row],[PurchaseDate]],"MMM")</f>
        <v>Nov</v>
      </c>
      <c r="H540">
        <v>8</v>
      </c>
      <c r="I540">
        <v>568.71</v>
      </c>
      <c r="J540" t="s">
        <v>1072</v>
      </c>
      <c r="K540" t="s">
        <v>18</v>
      </c>
      <c r="L540" t="s">
        <v>19</v>
      </c>
      <c r="M540">
        <v>1</v>
      </c>
      <c r="N540">
        <v>4549.68</v>
      </c>
    </row>
    <row r="541" spans="1:14" x14ac:dyDescent="0.3">
      <c r="A541" t="s">
        <v>1073</v>
      </c>
      <c r="B541" t="s">
        <v>34</v>
      </c>
      <c r="C541" s="1">
        <v>45175</v>
      </c>
      <c r="D541" s="2">
        <f>YEAR(Table1[[#This Row],[PurchaseDate]])</f>
        <v>2023</v>
      </c>
      <c r="E541" s="2" t="str">
        <f>"Q"&amp;ROUNDUP(MONTH(Table1[[#This Row],[PurchaseDate]])/3,0)</f>
        <v>Q3</v>
      </c>
      <c r="F541" s="2">
        <f>MONTH(Table1[[#This Row],[PurchaseDate]])</f>
        <v>9</v>
      </c>
      <c r="G541" s="2" t="str">
        <f>TEXT(Table1[[#This Row],[PurchaseDate]],"MMM")</f>
        <v>Sep</v>
      </c>
      <c r="H541">
        <v>4</v>
      </c>
      <c r="I541">
        <v>240.85</v>
      </c>
      <c r="J541" t="s">
        <v>1074</v>
      </c>
      <c r="K541" t="s">
        <v>38</v>
      </c>
      <c r="L541" t="s">
        <v>14</v>
      </c>
      <c r="M541">
        <v>2</v>
      </c>
      <c r="N541">
        <v>963.4</v>
      </c>
    </row>
    <row r="542" spans="1:14" x14ac:dyDescent="0.3">
      <c r="A542" t="s">
        <v>1075</v>
      </c>
      <c r="B542" t="s">
        <v>34</v>
      </c>
      <c r="C542" s="1">
        <v>45403</v>
      </c>
      <c r="D542" s="2">
        <f>YEAR(Table1[[#This Row],[PurchaseDate]])</f>
        <v>2024</v>
      </c>
      <c r="E542" s="2" t="str">
        <f>"Q"&amp;ROUNDUP(MONTH(Table1[[#This Row],[PurchaseDate]])/3,0)</f>
        <v>Q2</v>
      </c>
      <c r="F542" s="2">
        <f>MONTH(Table1[[#This Row],[PurchaseDate]])</f>
        <v>4</v>
      </c>
      <c r="G542" s="2" t="str">
        <f>TEXT(Table1[[#This Row],[PurchaseDate]],"MMM")</f>
        <v>Apr</v>
      </c>
      <c r="H542">
        <v>1</v>
      </c>
      <c r="I542">
        <v>782.12</v>
      </c>
      <c r="J542" t="s">
        <v>1076</v>
      </c>
      <c r="K542" t="s">
        <v>38</v>
      </c>
      <c r="L542" t="s">
        <v>14</v>
      </c>
      <c r="M542">
        <v>4</v>
      </c>
      <c r="N542">
        <v>782.12</v>
      </c>
    </row>
    <row r="543" spans="1:14" x14ac:dyDescent="0.3">
      <c r="A543" t="s">
        <v>1077</v>
      </c>
      <c r="B543" t="s">
        <v>42</v>
      </c>
      <c r="C543" s="1">
        <v>45384</v>
      </c>
      <c r="D543" s="2">
        <f>YEAR(Table1[[#This Row],[PurchaseDate]])</f>
        <v>2024</v>
      </c>
      <c r="E543" s="2" t="str">
        <f>"Q"&amp;ROUNDUP(MONTH(Table1[[#This Row],[PurchaseDate]])/3,0)</f>
        <v>Q2</v>
      </c>
      <c r="F543" s="2">
        <f>MONTH(Table1[[#This Row],[PurchaseDate]])</f>
        <v>4</v>
      </c>
      <c r="G543" s="2" t="str">
        <f>TEXT(Table1[[#This Row],[PurchaseDate]],"MMM")</f>
        <v>Apr</v>
      </c>
      <c r="H543">
        <v>3</v>
      </c>
      <c r="I543">
        <v>241.55</v>
      </c>
      <c r="J543" t="s">
        <v>1078</v>
      </c>
      <c r="K543" t="s">
        <v>13</v>
      </c>
      <c r="L543" t="s">
        <v>19</v>
      </c>
      <c r="M543">
        <v>5</v>
      </c>
      <c r="N543">
        <v>724.65</v>
      </c>
    </row>
    <row r="544" spans="1:14" x14ac:dyDescent="0.3">
      <c r="A544" t="s">
        <v>1079</v>
      </c>
      <c r="B544" t="s">
        <v>42</v>
      </c>
      <c r="C544" s="1">
        <v>45602</v>
      </c>
      <c r="D544" s="2">
        <f>YEAR(Table1[[#This Row],[PurchaseDate]])</f>
        <v>2024</v>
      </c>
      <c r="E544" s="2" t="str">
        <f>"Q"&amp;ROUNDUP(MONTH(Table1[[#This Row],[PurchaseDate]])/3,0)</f>
        <v>Q4</v>
      </c>
      <c r="F544" s="2">
        <f>MONTH(Table1[[#This Row],[PurchaseDate]])</f>
        <v>11</v>
      </c>
      <c r="G544" s="2" t="str">
        <f>TEXT(Table1[[#This Row],[PurchaseDate]],"MMM")</f>
        <v>Nov</v>
      </c>
      <c r="H544">
        <v>7</v>
      </c>
      <c r="I544">
        <v>587.48</v>
      </c>
      <c r="J544" t="s">
        <v>1080</v>
      </c>
      <c r="K544" t="s">
        <v>18</v>
      </c>
      <c r="L544" t="s">
        <v>58</v>
      </c>
      <c r="M544">
        <v>3</v>
      </c>
      <c r="N544">
        <v>4112.3599999999997</v>
      </c>
    </row>
    <row r="545" spans="1:14" x14ac:dyDescent="0.3">
      <c r="A545" t="s">
        <v>1081</v>
      </c>
      <c r="B545" t="s">
        <v>25</v>
      </c>
      <c r="C545" s="1">
        <v>45622</v>
      </c>
      <c r="D545" s="2">
        <f>YEAR(Table1[[#This Row],[PurchaseDate]])</f>
        <v>2024</v>
      </c>
      <c r="E545" s="2" t="str">
        <f>"Q"&amp;ROUNDUP(MONTH(Table1[[#This Row],[PurchaseDate]])/3,0)</f>
        <v>Q4</v>
      </c>
      <c r="F545" s="2">
        <f>MONTH(Table1[[#This Row],[PurchaseDate]])</f>
        <v>11</v>
      </c>
      <c r="G545" s="2" t="str">
        <f>TEXT(Table1[[#This Row],[PurchaseDate]],"MMM")</f>
        <v>Nov</v>
      </c>
      <c r="H545">
        <v>8</v>
      </c>
      <c r="I545">
        <v>516.77</v>
      </c>
      <c r="J545" t="s">
        <v>1082</v>
      </c>
      <c r="K545" t="s">
        <v>13</v>
      </c>
      <c r="L545" t="s">
        <v>27</v>
      </c>
      <c r="M545">
        <v>1</v>
      </c>
      <c r="N545">
        <v>4134.16</v>
      </c>
    </row>
    <row r="546" spans="1:14" x14ac:dyDescent="0.3">
      <c r="A546" t="s">
        <v>1083</v>
      </c>
      <c r="B546" t="s">
        <v>34</v>
      </c>
      <c r="C546" s="1">
        <v>45696</v>
      </c>
      <c r="D546" s="2">
        <f>YEAR(Table1[[#This Row],[PurchaseDate]])</f>
        <v>2025</v>
      </c>
      <c r="E546" s="2" t="str">
        <f>"Q"&amp;ROUNDUP(MONTH(Table1[[#This Row],[PurchaseDate]])/3,0)</f>
        <v>Q1</v>
      </c>
      <c r="F546" s="2">
        <f>MONTH(Table1[[#This Row],[PurchaseDate]])</f>
        <v>2</v>
      </c>
      <c r="G546" s="2" t="str">
        <f>TEXT(Table1[[#This Row],[PurchaseDate]],"MMM")</f>
        <v>Feb</v>
      </c>
      <c r="H546">
        <v>4</v>
      </c>
      <c r="I546">
        <v>121.4</v>
      </c>
      <c r="J546" t="s">
        <v>1084</v>
      </c>
      <c r="K546" t="s">
        <v>38</v>
      </c>
      <c r="L546" t="s">
        <v>14</v>
      </c>
      <c r="M546">
        <v>1</v>
      </c>
      <c r="N546">
        <v>485.6</v>
      </c>
    </row>
    <row r="547" spans="1:14" x14ac:dyDescent="0.3">
      <c r="A547" t="s">
        <v>1085</v>
      </c>
      <c r="B547" t="s">
        <v>25</v>
      </c>
      <c r="C547" s="1">
        <v>45473</v>
      </c>
      <c r="D547" s="2">
        <f>YEAR(Table1[[#This Row],[PurchaseDate]])</f>
        <v>2024</v>
      </c>
      <c r="E547" s="2" t="str">
        <f>"Q"&amp;ROUNDUP(MONTH(Table1[[#This Row],[PurchaseDate]])/3,0)</f>
        <v>Q2</v>
      </c>
      <c r="F547" s="2">
        <f>MONTH(Table1[[#This Row],[PurchaseDate]])</f>
        <v>6</v>
      </c>
      <c r="G547" s="2" t="str">
        <f>TEXT(Table1[[#This Row],[PurchaseDate]],"MMM")</f>
        <v>Jun</v>
      </c>
      <c r="H547">
        <v>2</v>
      </c>
      <c r="I547">
        <v>521.12</v>
      </c>
      <c r="J547" t="s">
        <v>1086</v>
      </c>
      <c r="K547" t="s">
        <v>38</v>
      </c>
      <c r="L547" t="s">
        <v>23</v>
      </c>
      <c r="M547">
        <v>5</v>
      </c>
      <c r="N547">
        <v>1042.24</v>
      </c>
    </row>
    <row r="548" spans="1:14" x14ac:dyDescent="0.3">
      <c r="A548" t="s">
        <v>1087</v>
      </c>
      <c r="B548" t="s">
        <v>42</v>
      </c>
      <c r="C548" s="1">
        <v>45213</v>
      </c>
      <c r="D548" s="2">
        <f>YEAR(Table1[[#This Row],[PurchaseDate]])</f>
        <v>2023</v>
      </c>
      <c r="E548" s="2" t="str">
        <f>"Q"&amp;ROUNDUP(MONTH(Table1[[#This Row],[PurchaseDate]])/3,0)</f>
        <v>Q4</v>
      </c>
      <c r="F548" s="2">
        <f>MONTH(Table1[[#This Row],[PurchaseDate]])</f>
        <v>10</v>
      </c>
      <c r="G548" s="2" t="str">
        <f>TEXT(Table1[[#This Row],[PurchaseDate]],"MMM")</f>
        <v>Oct</v>
      </c>
      <c r="H548">
        <v>6</v>
      </c>
      <c r="I548">
        <v>448.1</v>
      </c>
      <c r="J548" t="s">
        <v>1088</v>
      </c>
      <c r="K548" t="s">
        <v>13</v>
      </c>
      <c r="L548" t="s">
        <v>58</v>
      </c>
      <c r="M548">
        <v>4</v>
      </c>
      <c r="N548">
        <v>2688.6</v>
      </c>
    </row>
    <row r="549" spans="1:14" x14ac:dyDescent="0.3">
      <c r="A549" t="s">
        <v>1089</v>
      </c>
      <c r="B549" t="s">
        <v>16</v>
      </c>
      <c r="C549" s="1">
        <v>45735</v>
      </c>
      <c r="D549" s="2">
        <f>YEAR(Table1[[#This Row],[PurchaseDate]])</f>
        <v>2025</v>
      </c>
      <c r="E549" s="2" t="str">
        <f>"Q"&amp;ROUNDUP(MONTH(Table1[[#This Row],[PurchaseDate]])/3,0)</f>
        <v>Q1</v>
      </c>
      <c r="F549" s="2">
        <f>MONTH(Table1[[#This Row],[PurchaseDate]])</f>
        <v>3</v>
      </c>
      <c r="G549" s="2" t="str">
        <f>TEXT(Table1[[#This Row],[PurchaseDate]],"MMM")</f>
        <v>Mar</v>
      </c>
      <c r="H549">
        <v>5</v>
      </c>
      <c r="I549">
        <v>422.44</v>
      </c>
      <c r="J549" t="s">
        <v>1090</v>
      </c>
      <c r="K549" t="s">
        <v>38</v>
      </c>
      <c r="L549" t="s">
        <v>14</v>
      </c>
      <c r="M549">
        <v>5</v>
      </c>
      <c r="N549">
        <v>2112.1999999999998</v>
      </c>
    </row>
    <row r="550" spans="1:14" x14ac:dyDescent="0.3">
      <c r="A550" t="s">
        <v>1091</v>
      </c>
      <c r="B550" t="s">
        <v>29</v>
      </c>
      <c r="C550" s="1">
        <v>45559</v>
      </c>
      <c r="D550" s="2">
        <f>YEAR(Table1[[#This Row],[PurchaseDate]])</f>
        <v>2024</v>
      </c>
      <c r="E550" s="2" t="str">
        <f>"Q"&amp;ROUNDUP(MONTH(Table1[[#This Row],[PurchaseDate]])/3,0)</f>
        <v>Q3</v>
      </c>
      <c r="F550" s="2">
        <f>MONTH(Table1[[#This Row],[PurchaseDate]])</f>
        <v>9</v>
      </c>
      <c r="G550" s="2" t="str">
        <f>TEXT(Table1[[#This Row],[PurchaseDate]],"MMM")</f>
        <v>Sep</v>
      </c>
      <c r="H550">
        <v>8</v>
      </c>
      <c r="I550">
        <v>87.35</v>
      </c>
      <c r="J550" t="s">
        <v>1092</v>
      </c>
      <c r="K550" t="s">
        <v>38</v>
      </c>
      <c r="L550" t="s">
        <v>14</v>
      </c>
      <c r="M550">
        <v>3</v>
      </c>
      <c r="N550">
        <v>698.8</v>
      </c>
    </row>
    <row r="551" spans="1:14" x14ac:dyDescent="0.3">
      <c r="A551" t="s">
        <v>355</v>
      </c>
      <c r="B551" t="s">
        <v>34</v>
      </c>
      <c r="C551" s="1">
        <v>45092</v>
      </c>
      <c r="D551" s="2">
        <f>YEAR(Table1[[#This Row],[PurchaseDate]])</f>
        <v>2023</v>
      </c>
      <c r="E551" s="2" t="str">
        <f>"Q"&amp;ROUNDUP(MONTH(Table1[[#This Row],[PurchaseDate]])/3,0)</f>
        <v>Q2</v>
      </c>
      <c r="F551" s="2">
        <f>MONTH(Table1[[#This Row],[PurchaseDate]])</f>
        <v>6</v>
      </c>
      <c r="G551" s="2" t="str">
        <f>TEXT(Table1[[#This Row],[PurchaseDate]],"MMM")</f>
        <v>Jun</v>
      </c>
      <c r="H551">
        <v>7</v>
      </c>
      <c r="I551">
        <v>420.12</v>
      </c>
      <c r="J551" t="s">
        <v>356</v>
      </c>
      <c r="K551" t="s">
        <v>18</v>
      </c>
      <c r="L551" t="s">
        <v>58</v>
      </c>
      <c r="M551">
        <v>5</v>
      </c>
      <c r="N551">
        <v>2940.84</v>
      </c>
    </row>
    <row r="552" spans="1:14" x14ac:dyDescent="0.3">
      <c r="A552" t="s">
        <v>1093</v>
      </c>
      <c r="B552" t="s">
        <v>34</v>
      </c>
      <c r="C552" s="1">
        <v>45598</v>
      </c>
      <c r="D552" s="2">
        <f>YEAR(Table1[[#This Row],[PurchaseDate]])</f>
        <v>2024</v>
      </c>
      <c r="E552" s="2" t="str">
        <f>"Q"&amp;ROUNDUP(MONTH(Table1[[#This Row],[PurchaseDate]])/3,0)</f>
        <v>Q4</v>
      </c>
      <c r="F552" s="2">
        <f>MONTH(Table1[[#This Row],[PurchaseDate]])</f>
        <v>11</v>
      </c>
      <c r="G552" s="2" t="str">
        <f>TEXT(Table1[[#This Row],[PurchaseDate]],"MMM")</f>
        <v>Nov</v>
      </c>
      <c r="H552">
        <v>2</v>
      </c>
      <c r="I552">
        <v>214.6</v>
      </c>
      <c r="J552" t="s">
        <v>1094</v>
      </c>
      <c r="K552" t="s">
        <v>38</v>
      </c>
      <c r="L552" t="s">
        <v>19</v>
      </c>
      <c r="M552">
        <v>4</v>
      </c>
      <c r="N552">
        <v>429.2</v>
      </c>
    </row>
    <row r="553" spans="1:14" x14ac:dyDescent="0.3">
      <c r="A553" t="s">
        <v>1095</v>
      </c>
      <c r="B553" t="s">
        <v>16</v>
      </c>
      <c r="C553" s="1">
        <v>45734</v>
      </c>
      <c r="D553" s="2">
        <f>YEAR(Table1[[#This Row],[PurchaseDate]])</f>
        <v>2025</v>
      </c>
      <c r="E553" s="2" t="str">
        <f>"Q"&amp;ROUNDUP(MONTH(Table1[[#This Row],[PurchaseDate]])/3,0)</f>
        <v>Q1</v>
      </c>
      <c r="F553" s="2">
        <f>MONTH(Table1[[#This Row],[PurchaseDate]])</f>
        <v>3</v>
      </c>
      <c r="G553" s="2" t="str">
        <f>TEXT(Table1[[#This Row],[PurchaseDate]],"MMM")</f>
        <v>Mar</v>
      </c>
      <c r="H553">
        <v>7</v>
      </c>
      <c r="I553">
        <v>260.24</v>
      </c>
      <c r="J553" t="s">
        <v>1096</v>
      </c>
      <c r="K553" t="s">
        <v>18</v>
      </c>
      <c r="L553" t="s">
        <v>14</v>
      </c>
      <c r="M553">
        <v>4</v>
      </c>
      <c r="N553">
        <v>1821.68</v>
      </c>
    </row>
    <row r="554" spans="1:14" x14ac:dyDescent="0.3">
      <c r="A554" t="s">
        <v>1097</v>
      </c>
      <c r="B554" t="s">
        <v>11</v>
      </c>
      <c r="C554" s="1">
        <v>45118</v>
      </c>
      <c r="D554" s="2">
        <f>YEAR(Table1[[#This Row],[PurchaseDate]])</f>
        <v>2023</v>
      </c>
      <c r="E554" s="2" t="str">
        <f>"Q"&amp;ROUNDUP(MONTH(Table1[[#This Row],[PurchaseDate]])/3,0)</f>
        <v>Q3</v>
      </c>
      <c r="F554" s="2">
        <f>MONTH(Table1[[#This Row],[PurchaseDate]])</f>
        <v>7</v>
      </c>
      <c r="G554" s="2" t="str">
        <f>TEXT(Table1[[#This Row],[PurchaseDate]],"MMM")</f>
        <v>Jul</v>
      </c>
      <c r="H554">
        <v>5</v>
      </c>
      <c r="I554">
        <v>342.09</v>
      </c>
      <c r="J554" t="s">
        <v>1098</v>
      </c>
      <c r="K554" t="s">
        <v>38</v>
      </c>
      <c r="L554" t="s">
        <v>23</v>
      </c>
      <c r="M554">
        <v>1</v>
      </c>
      <c r="N554">
        <v>1710.45</v>
      </c>
    </row>
    <row r="555" spans="1:14" x14ac:dyDescent="0.3">
      <c r="A555" t="s">
        <v>1099</v>
      </c>
      <c r="B555" t="s">
        <v>34</v>
      </c>
      <c r="C555" s="1">
        <v>45404</v>
      </c>
      <c r="D555" s="2">
        <f>YEAR(Table1[[#This Row],[PurchaseDate]])</f>
        <v>2024</v>
      </c>
      <c r="E555" s="2" t="str">
        <f>"Q"&amp;ROUNDUP(MONTH(Table1[[#This Row],[PurchaseDate]])/3,0)</f>
        <v>Q2</v>
      </c>
      <c r="F555" s="2">
        <f>MONTH(Table1[[#This Row],[PurchaseDate]])</f>
        <v>4</v>
      </c>
      <c r="G555" s="2" t="str">
        <f>TEXT(Table1[[#This Row],[PurchaseDate]],"MMM")</f>
        <v>Apr</v>
      </c>
      <c r="H555">
        <v>4</v>
      </c>
      <c r="I555">
        <v>214.18</v>
      </c>
      <c r="J555" t="s">
        <v>1100</v>
      </c>
      <c r="K555" t="s">
        <v>18</v>
      </c>
      <c r="L555" t="s">
        <v>27</v>
      </c>
      <c r="M555">
        <v>2</v>
      </c>
      <c r="N555">
        <v>856.72</v>
      </c>
    </row>
    <row r="556" spans="1:14" x14ac:dyDescent="0.3">
      <c r="A556" t="s">
        <v>1101</v>
      </c>
      <c r="B556" t="s">
        <v>42</v>
      </c>
      <c r="C556" s="1">
        <v>45573</v>
      </c>
      <c r="D556" s="2">
        <f>YEAR(Table1[[#This Row],[PurchaseDate]])</f>
        <v>2024</v>
      </c>
      <c r="E556" s="2" t="str">
        <f>"Q"&amp;ROUNDUP(MONTH(Table1[[#This Row],[PurchaseDate]])/3,0)</f>
        <v>Q4</v>
      </c>
      <c r="F556" s="2">
        <f>MONTH(Table1[[#This Row],[PurchaseDate]])</f>
        <v>10</v>
      </c>
      <c r="G556" s="2" t="str">
        <f>TEXT(Table1[[#This Row],[PurchaseDate]],"MMM")</f>
        <v>Oct</v>
      </c>
      <c r="H556">
        <v>6</v>
      </c>
      <c r="I556">
        <v>724.08</v>
      </c>
      <c r="J556" t="s">
        <v>1102</v>
      </c>
      <c r="K556" t="s">
        <v>13</v>
      </c>
      <c r="L556" t="s">
        <v>27</v>
      </c>
      <c r="M556">
        <v>2</v>
      </c>
      <c r="N556">
        <v>4344.4799999999996</v>
      </c>
    </row>
    <row r="557" spans="1:14" x14ac:dyDescent="0.3">
      <c r="A557" t="s">
        <v>1103</v>
      </c>
      <c r="B557" t="s">
        <v>34</v>
      </c>
      <c r="C557" s="1">
        <v>45191</v>
      </c>
      <c r="D557" s="2">
        <f>YEAR(Table1[[#This Row],[PurchaseDate]])</f>
        <v>2023</v>
      </c>
      <c r="E557" s="2" t="str">
        <f>"Q"&amp;ROUNDUP(MONTH(Table1[[#This Row],[PurchaseDate]])/3,0)</f>
        <v>Q3</v>
      </c>
      <c r="F557" s="2">
        <f>MONTH(Table1[[#This Row],[PurchaseDate]])</f>
        <v>9</v>
      </c>
      <c r="G557" s="2" t="str">
        <f>TEXT(Table1[[#This Row],[PurchaseDate]],"MMM")</f>
        <v>Sep</v>
      </c>
      <c r="H557">
        <v>2</v>
      </c>
      <c r="I557">
        <v>510.8</v>
      </c>
      <c r="J557" t="s">
        <v>1104</v>
      </c>
      <c r="K557" t="s">
        <v>38</v>
      </c>
      <c r="L557" t="s">
        <v>27</v>
      </c>
      <c r="M557">
        <v>2</v>
      </c>
      <c r="N557">
        <v>1021.6</v>
      </c>
    </row>
    <row r="558" spans="1:14" x14ac:dyDescent="0.3">
      <c r="A558" t="s">
        <v>1105</v>
      </c>
      <c r="B558" t="s">
        <v>42</v>
      </c>
      <c r="C558" s="1">
        <v>45656</v>
      </c>
      <c r="D558" s="2">
        <f>YEAR(Table1[[#This Row],[PurchaseDate]])</f>
        <v>2024</v>
      </c>
      <c r="E558" s="2" t="str">
        <f>"Q"&amp;ROUNDUP(MONTH(Table1[[#This Row],[PurchaseDate]])/3,0)</f>
        <v>Q4</v>
      </c>
      <c r="F558" s="2">
        <f>MONTH(Table1[[#This Row],[PurchaseDate]])</f>
        <v>12</v>
      </c>
      <c r="G558" s="2" t="str">
        <f>TEXT(Table1[[#This Row],[PurchaseDate]],"MMM")</f>
        <v>Dec</v>
      </c>
      <c r="H558">
        <v>4</v>
      </c>
      <c r="I558">
        <v>373.08</v>
      </c>
      <c r="J558" t="s">
        <v>1106</v>
      </c>
      <c r="K558" t="s">
        <v>38</v>
      </c>
      <c r="L558" t="s">
        <v>23</v>
      </c>
      <c r="M558">
        <v>5</v>
      </c>
      <c r="N558">
        <v>1492.32</v>
      </c>
    </row>
    <row r="559" spans="1:14" x14ac:dyDescent="0.3">
      <c r="A559" t="s">
        <v>1107</v>
      </c>
      <c r="B559" t="s">
        <v>25</v>
      </c>
      <c r="C559" s="1">
        <v>45319</v>
      </c>
      <c r="D559" s="2">
        <f>YEAR(Table1[[#This Row],[PurchaseDate]])</f>
        <v>2024</v>
      </c>
      <c r="E559" s="2" t="str">
        <f>"Q"&amp;ROUNDUP(MONTH(Table1[[#This Row],[PurchaseDate]])/3,0)</f>
        <v>Q1</v>
      </c>
      <c r="F559" s="2">
        <f>MONTH(Table1[[#This Row],[PurchaseDate]])</f>
        <v>1</v>
      </c>
      <c r="G559" s="2" t="str">
        <f>TEXT(Table1[[#This Row],[PurchaseDate]],"MMM")</f>
        <v>Jan</v>
      </c>
      <c r="H559">
        <v>3</v>
      </c>
      <c r="I559">
        <v>675.26</v>
      </c>
      <c r="J559" t="s">
        <v>1108</v>
      </c>
      <c r="K559" t="s">
        <v>18</v>
      </c>
      <c r="L559" t="s">
        <v>14</v>
      </c>
      <c r="M559">
        <v>2</v>
      </c>
      <c r="N559">
        <v>2025.78</v>
      </c>
    </row>
    <row r="560" spans="1:14" x14ac:dyDescent="0.3">
      <c r="A560" t="s">
        <v>1109</v>
      </c>
      <c r="B560" t="s">
        <v>11</v>
      </c>
      <c r="C560" s="1">
        <v>45596</v>
      </c>
      <c r="D560" s="2">
        <f>YEAR(Table1[[#This Row],[PurchaseDate]])</f>
        <v>2024</v>
      </c>
      <c r="E560" s="2" t="str">
        <f>"Q"&amp;ROUNDUP(MONTH(Table1[[#This Row],[PurchaseDate]])/3,0)</f>
        <v>Q4</v>
      </c>
      <c r="F560" s="2">
        <f>MONTH(Table1[[#This Row],[PurchaseDate]])</f>
        <v>10</v>
      </c>
      <c r="G560" s="2" t="str">
        <f>TEXT(Table1[[#This Row],[PurchaseDate]],"MMM")</f>
        <v>Oct</v>
      </c>
      <c r="H560">
        <v>8</v>
      </c>
      <c r="I560">
        <v>165.23</v>
      </c>
      <c r="J560" t="s">
        <v>1110</v>
      </c>
      <c r="K560" t="s">
        <v>18</v>
      </c>
      <c r="L560" t="s">
        <v>14</v>
      </c>
      <c r="M560">
        <v>2</v>
      </c>
      <c r="N560">
        <v>1321.84</v>
      </c>
    </row>
    <row r="561" spans="1:14" x14ac:dyDescent="0.3">
      <c r="A561" t="s">
        <v>1111</v>
      </c>
      <c r="B561" t="s">
        <v>21</v>
      </c>
      <c r="C561" s="1">
        <v>45669</v>
      </c>
      <c r="D561" s="2">
        <f>YEAR(Table1[[#This Row],[PurchaseDate]])</f>
        <v>2025</v>
      </c>
      <c r="E561" s="2" t="str">
        <f>"Q"&amp;ROUNDUP(MONTH(Table1[[#This Row],[PurchaseDate]])/3,0)</f>
        <v>Q1</v>
      </c>
      <c r="F561" s="2">
        <f>MONTH(Table1[[#This Row],[PurchaseDate]])</f>
        <v>1</v>
      </c>
      <c r="G561" s="2" t="str">
        <f>TEXT(Table1[[#This Row],[PurchaseDate]],"MMM")</f>
        <v>Jan</v>
      </c>
      <c r="H561">
        <v>8</v>
      </c>
      <c r="I561">
        <v>675.81</v>
      </c>
      <c r="J561" t="s">
        <v>1112</v>
      </c>
      <c r="K561" t="s">
        <v>13</v>
      </c>
      <c r="L561" t="s">
        <v>58</v>
      </c>
      <c r="M561">
        <v>2</v>
      </c>
      <c r="N561">
        <v>5406.48</v>
      </c>
    </row>
    <row r="562" spans="1:14" x14ac:dyDescent="0.3">
      <c r="A562" t="s">
        <v>1113</v>
      </c>
      <c r="B562" t="s">
        <v>21</v>
      </c>
      <c r="C562" s="1">
        <v>45727</v>
      </c>
      <c r="D562" s="2">
        <f>YEAR(Table1[[#This Row],[PurchaseDate]])</f>
        <v>2025</v>
      </c>
      <c r="E562" s="2" t="str">
        <f>"Q"&amp;ROUNDUP(MONTH(Table1[[#This Row],[PurchaseDate]])/3,0)</f>
        <v>Q1</v>
      </c>
      <c r="F562" s="2">
        <f>MONTH(Table1[[#This Row],[PurchaseDate]])</f>
        <v>3</v>
      </c>
      <c r="G562" s="2" t="str">
        <f>TEXT(Table1[[#This Row],[PurchaseDate]],"MMM")</f>
        <v>Mar</v>
      </c>
      <c r="H562">
        <v>6</v>
      </c>
      <c r="I562">
        <v>705.74</v>
      </c>
      <c r="J562" t="s">
        <v>1114</v>
      </c>
      <c r="K562" t="s">
        <v>13</v>
      </c>
      <c r="L562" t="s">
        <v>23</v>
      </c>
      <c r="M562">
        <v>3</v>
      </c>
      <c r="N562">
        <v>4234.4399999999996</v>
      </c>
    </row>
    <row r="563" spans="1:14" x14ac:dyDescent="0.3">
      <c r="A563" t="s">
        <v>1115</v>
      </c>
      <c r="B563" t="s">
        <v>34</v>
      </c>
      <c r="C563" s="1">
        <v>45540</v>
      </c>
      <c r="D563" s="2">
        <f>YEAR(Table1[[#This Row],[PurchaseDate]])</f>
        <v>2024</v>
      </c>
      <c r="E563" s="2" t="str">
        <f>"Q"&amp;ROUNDUP(MONTH(Table1[[#This Row],[PurchaseDate]])/3,0)</f>
        <v>Q3</v>
      </c>
      <c r="F563" s="2">
        <f>MONTH(Table1[[#This Row],[PurchaseDate]])</f>
        <v>9</v>
      </c>
      <c r="G563" s="2" t="str">
        <f>TEXT(Table1[[#This Row],[PurchaseDate]],"MMM")</f>
        <v>Sep</v>
      </c>
      <c r="H563">
        <v>8</v>
      </c>
      <c r="I563">
        <v>659.25</v>
      </c>
      <c r="J563" t="s">
        <v>1116</v>
      </c>
      <c r="K563" t="s">
        <v>38</v>
      </c>
      <c r="L563" t="s">
        <v>19</v>
      </c>
      <c r="M563">
        <v>3</v>
      </c>
      <c r="N563">
        <v>5274</v>
      </c>
    </row>
    <row r="564" spans="1:14" x14ac:dyDescent="0.3">
      <c r="A564" t="s">
        <v>1117</v>
      </c>
      <c r="B564" t="s">
        <v>34</v>
      </c>
      <c r="C564" s="1">
        <v>45243</v>
      </c>
      <c r="D564" s="2">
        <f>YEAR(Table1[[#This Row],[PurchaseDate]])</f>
        <v>2023</v>
      </c>
      <c r="E564" s="2" t="str">
        <f>"Q"&amp;ROUNDUP(MONTH(Table1[[#This Row],[PurchaseDate]])/3,0)</f>
        <v>Q4</v>
      </c>
      <c r="F564" s="2">
        <f>MONTH(Table1[[#This Row],[PurchaseDate]])</f>
        <v>11</v>
      </c>
      <c r="G564" s="2" t="str">
        <f>TEXT(Table1[[#This Row],[PurchaseDate]],"MMM")</f>
        <v>Nov</v>
      </c>
      <c r="H564">
        <v>3</v>
      </c>
      <c r="I564">
        <v>41.57</v>
      </c>
      <c r="J564" t="s">
        <v>1118</v>
      </c>
      <c r="K564" t="s">
        <v>13</v>
      </c>
      <c r="L564" t="s">
        <v>58</v>
      </c>
      <c r="M564">
        <v>4</v>
      </c>
      <c r="N564">
        <v>124.71</v>
      </c>
    </row>
    <row r="565" spans="1:14" x14ac:dyDescent="0.3">
      <c r="A565" t="s">
        <v>1119</v>
      </c>
      <c r="B565" t="s">
        <v>11</v>
      </c>
      <c r="C565" s="1">
        <v>45350</v>
      </c>
      <c r="D565" s="2">
        <f>YEAR(Table1[[#This Row],[PurchaseDate]])</f>
        <v>2024</v>
      </c>
      <c r="E565" s="2" t="str">
        <f>"Q"&amp;ROUNDUP(MONTH(Table1[[#This Row],[PurchaseDate]])/3,0)</f>
        <v>Q1</v>
      </c>
      <c r="F565" s="2">
        <f>MONTH(Table1[[#This Row],[PurchaseDate]])</f>
        <v>2</v>
      </c>
      <c r="G565" s="2" t="str">
        <f>TEXT(Table1[[#This Row],[PurchaseDate]],"MMM")</f>
        <v>Feb</v>
      </c>
      <c r="H565">
        <v>8</v>
      </c>
      <c r="I565">
        <v>578.05999999999995</v>
      </c>
      <c r="J565" t="s">
        <v>1120</v>
      </c>
      <c r="K565" t="s">
        <v>38</v>
      </c>
      <c r="L565" t="s">
        <v>23</v>
      </c>
      <c r="M565">
        <v>4</v>
      </c>
      <c r="N565">
        <v>4624.4799999999996</v>
      </c>
    </row>
    <row r="566" spans="1:14" x14ac:dyDescent="0.3">
      <c r="A566" t="s">
        <v>1121</v>
      </c>
      <c r="B566" t="s">
        <v>16</v>
      </c>
      <c r="C566" s="1">
        <v>45623</v>
      </c>
      <c r="D566" s="2">
        <f>YEAR(Table1[[#This Row],[PurchaseDate]])</f>
        <v>2024</v>
      </c>
      <c r="E566" s="2" t="str">
        <f>"Q"&amp;ROUNDUP(MONTH(Table1[[#This Row],[PurchaseDate]])/3,0)</f>
        <v>Q4</v>
      </c>
      <c r="F566" s="2">
        <f>MONTH(Table1[[#This Row],[PurchaseDate]])</f>
        <v>11</v>
      </c>
      <c r="G566" s="2" t="str">
        <f>TEXT(Table1[[#This Row],[PurchaseDate]],"MMM")</f>
        <v>Nov</v>
      </c>
      <c r="H566">
        <v>1</v>
      </c>
      <c r="I566">
        <v>165.45</v>
      </c>
      <c r="J566" t="s">
        <v>1122</v>
      </c>
      <c r="K566" t="s">
        <v>38</v>
      </c>
      <c r="L566" t="s">
        <v>19</v>
      </c>
      <c r="M566">
        <v>5</v>
      </c>
      <c r="N566">
        <v>165.45</v>
      </c>
    </row>
    <row r="567" spans="1:14" x14ac:dyDescent="0.3">
      <c r="A567" t="s">
        <v>1123</v>
      </c>
      <c r="B567" t="s">
        <v>34</v>
      </c>
      <c r="C567" s="1">
        <v>45514</v>
      </c>
      <c r="D567" s="2">
        <f>YEAR(Table1[[#This Row],[PurchaseDate]])</f>
        <v>2024</v>
      </c>
      <c r="E567" s="2" t="str">
        <f>"Q"&amp;ROUNDUP(MONTH(Table1[[#This Row],[PurchaseDate]])/3,0)</f>
        <v>Q3</v>
      </c>
      <c r="F567" s="2">
        <f>MONTH(Table1[[#This Row],[PurchaseDate]])</f>
        <v>8</v>
      </c>
      <c r="G567" s="2" t="str">
        <f>TEXT(Table1[[#This Row],[PurchaseDate]],"MMM")</f>
        <v>Aug</v>
      </c>
      <c r="H567">
        <v>7</v>
      </c>
      <c r="I567">
        <v>604.79999999999995</v>
      </c>
      <c r="J567" t="s">
        <v>1124</v>
      </c>
      <c r="K567" t="s">
        <v>13</v>
      </c>
      <c r="L567" t="s">
        <v>14</v>
      </c>
      <c r="M567">
        <v>1</v>
      </c>
      <c r="N567">
        <v>4233.6000000000004</v>
      </c>
    </row>
    <row r="568" spans="1:14" x14ac:dyDescent="0.3">
      <c r="A568" t="s">
        <v>1125</v>
      </c>
      <c r="B568" t="s">
        <v>21</v>
      </c>
      <c r="C568" s="1">
        <v>45489</v>
      </c>
      <c r="D568" s="2">
        <f>YEAR(Table1[[#This Row],[PurchaseDate]])</f>
        <v>2024</v>
      </c>
      <c r="E568" s="2" t="str">
        <f>"Q"&amp;ROUNDUP(MONTH(Table1[[#This Row],[PurchaseDate]])/3,0)</f>
        <v>Q3</v>
      </c>
      <c r="F568" s="2">
        <f>MONTH(Table1[[#This Row],[PurchaseDate]])</f>
        <v>7</v>
      </c>
      <c r="G568" s="2" t="str">
        <f>TEXT(Table1[[#This Row],[PurchaseDate]],"MMM")</f>
        <v>Jul</v>
      </c>
      <c r="H568">
        <v>5</v>
      </c>
      <c r="I568">
        <v>449.91</v>
      </c>
      <c r="J568" t="s">
        <v>1126</v>
      </c>
      <c r="K568" t="s">
        <v>38</v>
      </c>
      <c r="L568" t="s">
        <v>19</v>
      </c>
      <c r="M568">
        <v>4</v>
      </c>
      <c r="N568">
        <v>2249.5500000000002</v>
      </c>
    </row>
    <row r="569" spans="1:14" x14ac:dyDescent="0.3">
      <c r="A569" t="s">
        <v>1127</v>
      </c>
      <c r="B569" t="s">
        <v>21</v>
      </c>
      <c r="C569" s="1">
        <v>45706</v>
      </c>
      <c r="D569" s="2">
        <f>YEAR(Table1[[#This Row],[PurchaseDate]])</f>
        <v>2025</v>
      </c>
      <c r="E569" s="2" t="str">
        <f>"Q"&amp;ROUNDUP(MONTH(Table1[[#This Row],[PurchaseDate]])/3,0)</f>
        <v>Q1</v>
      </c>
      <c r="F569" s="2">
        <f>MONTH(Table1[[#This Row],[PurchaseDate]])</f>
        <v>2</v>
      </c>
      <c r="G569" s="2" t="str">
        <f>TEXT(Table1[[#This Row],[PurchaseDate]],"MMM")</f>
        <v>Feb</v>
      </c>
      <c r="H569">
        <v>5</v>
      </c>
      <c r="I569">
        <v>390.97</v>
      </c>
      <c r="J569" t="s">
        <v>1128</v>
      </c>
      <c r="K569" t="s">
        <v>18</v>
      </c>
      <c r="L569" t="s">
        <v>23</v>
      </c>
      <c r="M569">
        <v>4</v>
      </c>
      <c r="N569">
        <v>1954.85</v>
      </c>
    </row>
    <row r="570" spans="1:14" x14ac:dyDescent="0.3">
      <c r="A570" t="s">
        <v>1129</v>
      </c>
      <c r="B570" t="s">
        <v>21</v>
      </c>
      <c r="C570" s="1">
        <v>45354</v>
      </c>
      <c r="D570" s="2">
        <f>YEAR(Table1[[#This Row],[PurchaseDate]])</f>
        <v>2024</v>
      </c>
      <c r="E570" s="2" t="str">
        <f>"Q"&amp;ROUNDUP(MONTH(Table1[[#This Row],[PurchaseDate]])/3,0)</f>
        <v>Q1</v>
      </c>
      <c r="F570" s="2">
        <f>MONTH(Table1[[#This Row],[PurchaseDate]])</f>
        <v>3</v>
      </c>
      <c r="G570" s="2" t="str">
        <f>TEXT(Table1[[#This Row],[PurchaseDate]],"MMM")</f>
        <v>Mar</v>
      </c>
      <c r="H570">
        <v>6</v>
      </c>
      <c r="I570">
        <v>667.06</v>
      </c>
      <c r="J570" t="s">
        <v>1130</v>
      </c>
      <c r="K570" t="s">
        <v>38</v>
      </c>
      <c r="L570" t="s">
        <v>23</v>
      </c>
      <c r="M570">
        <v>2</v>
      </c>
      <c r="N570">
        <v>4002.36</v>
      </c>
    </row>
    <row r="571" spans="1:14" x14ac:dyDescent="0.3">
      <c r="A571" t="s">
        <v>523</v>
      </c>
      <c r="B571" t="s">
        <v>25</v>
      </c>
      <c r="C571" s="1">
        <v>45597</v>
      </c>
      <c r="D571" s="2">
        <f>YEAR(Table1[[#This Row],[PurchaseDate]])</f>
        <v>2024</v>
      </c>
      <c r="E571" s="2" t="str">
        <f>"Q"&amp;ROUNDUP(MONTH(Table1[[#This Row],[PurchaseDate]])/3,0)</f>
        <v>Q4</v>
      </c>
      <c r="F571" s="2">
        <f>MONTH(Table1[[#This Row],[PurchaseDate]])</f>
        <v>11</v>
      </c>
      <c r="G571" s="2" t="str">
        <f>TEXT(Table1[[#This Row],[PurchaseDate]],"MMM")</f>
        <v>Nov</v>
      </c>
      <c r="H571">
        <v>8</v>
      </c>
      <c r="I571">
        <v>49.37</v>
      </c>
      <c r="J571" t="s">
        <v>524</v>
      </c>
      <c r="K571" t="s">
        <v>18</v>
      </c>
      <c r="L571" t="s">
        <v>14</v>
      </c>
      <c r="M571">
        <v>5</v>
      </c>
      <c r="N571">
        <v>394.96</v>
      </c>
    </row>
    <row r="572" spans="1:14" x14ac:dyDescent="0.3">
      <c r="A572" t="s">
        <v>1131</v>
      </c>
      <c r="B572" t="s">
        <v>29</v>
      </c>
      <c r="C572" s="1">
        <v>45057</v>
      </c>
      <c r="D572" s="2">
        <f>YEAR(Table1[[#This Row],[PurchaseDate]])</f>
        <v>2023</v>
      </c>
      <c r="E572" s="2" t="str">
        <f>"Q"&amp;ROUNDUP(MONTH(Table1[[#This Row],[PurchaseDate]])/3,0)</f>
        <v>Q2</v>
      </c>
      <c r="F572" s="2">
        <f>MONTH(Table1[[#This Row],[PurchaseDate]])</f>
        <v>5</v>
      </c>
      <c r="G572" s="2" t="str">
        <f>TEXT(Table1[[#This Row],[PurchaseDate]],"MMM")</f>
        <v>May</v>
      </c>
      <c r="H572">
        <v>6</v>
      </c>
      <c r="I572">
        <v>155.5</v>
      </c>
      <c r="J572" t="s">
        <v>1132</v>
      </c>
      <c r="K572" t="s">
        <v>13</v>
      </c>
      <c r="L572" t="s">
        <v>58</v>
      </c>
      <c r="M572">
        <v>5</v>
      </c>
      <c r="N572">
        <v>933</v>
      </c>
    </row>
    <row r="573" spans="1:14" x14ac:dyDescent="0.3">
      <c r="A573" t="s">
        <v>1133</v>
      </c>
      <c r="B573" t="s">
        <v>16</v>
      </c>
      <c r="C573" s="1">
        <v>45655</v>
      </c>
      <c r="D573" s="2">
        <f>YEAR(Table1[[#This Row],[PurchaseDate]])</f>
        <v>2024</v>
      </c>
      <c r="E573" s="2" t="str">
        <f>"Q"&amp;ROUNDUP(MONTH(Table1[[#This Row],[PurchaseDate]])/3,0)</f>
        <v>Q4</v>
      </c>
      <c r="F573" s="2">
        <f>MONTH(Table1[[#This Row],[PurchaseDate]])</f>
        <v>12</v>
      </c>
      <c r="G573" s="2" t="str">
        <f>TEXT(Table1[[#This Row],[PurchaseDate]],"MMM")</f>
        <v>Dec</v>
      </c>
      <c r="H573">
        <v>4</v>
      </c>
      <c r="I573">
        <v>779.36</v>
      </c>
      <c r="J573" t="s">
        <v>1134</v>
      </c>
      <c r="K573" t="s">
        <v>18</v>
      </c>
      <c r="L573" t="s">
        <v>19</v>
      </c>
      <c r="M573">
        <v>2</v>
      </c>
      <c r="N573">
        <v>3117.44</v>
      </c>
    </row>
    <row r="574" spans="1:14" x14ac:dyDescent="0.3">
      <c r="A574" t="s">
        <v>1135</v>
      </c>
      <c r="B574" t="s">
        <v>42</v>
      </c>
      <c r="C574" s="1">
        <v>45606</v>
      </c>
      <c r="D574" s="2">
        <f>YEAR(Table1[[#This Row],[PurchaseDate]])</f>
        <v>2024</v>
      </c>
      <c r="E574" s="2" t="str">
        <f>"Q"&amp;ROUNDUP(MONTH(Table1[[#This Row],[PurchaseDate]])/3,0)</f>
        <v>Q4</v>
      </c>
      <c r="F574" s="2">
        <f>MONTH(Table1[[#This Row],[PurchaseDate]])</f>
        <v>11</v>
      </c>
      <c r="G574" s="2" t="str">
        <f>TEXT(Table1[[#This Row],[PurchaseDate]],"MMM")</f>
        <v>Nov</v>
      </c>
      <c r="H574">
        <v>8</v>
      </c>
      <c r="I574">
        <v>393.28</v>
      </c>
      <c r="J574" t="s">
        <v>1136</v>
      </c>
      <c r="K574" t="s">
        <v>13</v>
      </c>
      <c r="L574" t="s">
        <v>14</v>
      </c>
      <c r="M574">
        <v>4</v>
      </c>
      <c r="N574">
        <v>3146.24</v>
      </c>
    </row>
    <row r="575" spans="1:14" x14ac:dyDescent="0.3">
      <c r="A575" t="s">
        <v>1137</v>
      </c>
      <c r="B575" t="s">
        <v>42</v>
      </c>
      <c r="C575" s="1">
        <v>45715</v>
      </c>
      <c r="D575" s="2">
        <f>YEAR(Table1[[#This Row],[PurchaseDate]])</f>
        <v>2025</v>
      </c>
      <c r="E575" s="2" t="str">
        <f>"Q"&amp;ROUNDUP(MONTH(Table1[[#This Row],[PurchaseDate]])/3,0)</f>
        <v>Q1</v>
      </c>
      <c r="F575" s="2">
        <f>MONTH(Table1[[#This Row],[PurchaseDate]])</f>
        <v>2</v>
      </c>
      <c r="G575" s="2" t="str">
        <f>TEXT(Table1[[#This Row],[PurchaseDate]],"MMM")</f>
        <v>Feb</v>
      </c>
      <c r="H575">
        <v>8</v>
      </c>
      <c r="I575">
        <v>388.83</v>
      </c>
      <c r="J575" t="s">
        <v>1138</v>
      </c>
      <c r="K575" t="s">
        <v>18</v>
      </c>
      <c r="L575" t="s">
        <v>23</v>
      </c>
      <c r="M575">
        <v>5</v>
      </c>
      <c r="N575">
        <v>3110.64</v>
      </c>
    </row>
    <row r="576" spans="1:14" x14ac:dyDescent="0.3">
      <c r="A576" t="s">
        <v>1139</v>
      </c>
      <c r="B576" t="s">
        <v>29</v>
      </c>
      <c r="C576" s="1">
        <v>45725</v>
      </c>
      <c r="D576" s="2">
        <f>YEAR(Table1[[#This Row],[PurchaseDate]])</f>
        <v>2025</v>
      </c>
      <c r="E576" s="2" t="str">
        <f>"Q"&amp;ROUNDUP(MONTH(Table1[[#This Row],[PurchaseDate]])/3,0)</f>
        <v>Q1</v>
      </c>
      <c r="F576" s="2">
        <f>MONTH(Table1[[#This Row],[PurchaseDate]])</f>
        <v>3</v>
      </c>
      <c r="G576" s="2" t="str">
        <f>TEXT(Table1[[#This Row],[PurchaseDate]],"MMM")</f>
        <v>Mar</v>
      </c>
      <c r="H576">
        <v>8</v>
      </c>
      <c r="I576">
        <v>621.65</v>
      </c>
      <c r="J576" t="s">
        <v>1140</v>
      </c>
      <c r="K576" t="s">
        <v>18</v>
      </c>
      <c r="L576" t="s">
        <v>58</v>
      </c>
      <c r="M576">
        <v>4</v>
      </c>
      <c r="N576">
        <v>4973.2</v>
      </c>
    </row>
    <row r="577" spans="1:14" x14ac:dyDescent="0.3">
      <c r="A577" t="s">
        <v>1141</v>
      </c>
      <c r="B577" t="s">
        <v>11</v>
      </c>
      <c r="C577" s="1">
        <v>45506</v>
      </c>
      <c r="D577" s="2">
        <f>YEAR(Table1[[#This Row],[PurchaseDate]])</f>
        <v>2024</v>
      </c>
      <c r="E577" s="2" t="str">
        <f>"Q"&amp;ROUNDUP(MONTH(Table1[[#This Row],[PurchaseDate]])/3,0)</f>
        <v>Q3</v>
      </c>
      <c r="F577" s="2">
        <f>MONTH(Table1[[#This Row],[PurchaseDate]])</f>
        <v>8</v>
      </c>
      <c r="G577" s="2" t="str">
        <f>TEXT(Table1[[#This Row],[PurchaseDate]],"MMM")</f>
        <v>Aug</v>
      </c>
      <c r="H577">
        <v>5</v>
      </c>
      <c r="I577">
        <v>727.71</v>
      </c>
      <c r="J577" t="s">
        <v>1142</v>
      </c>
      <c r="K577" t="s">
        <v>38</v>
      </c>
      <c r="L577" t="s">
        <v>27</v>
      </c>
      <c r="M577">
        <v>2</v>
      </c>
      <c r="N577">
        <v>3638.55</v>
      </c>
    </row>
    <row r="578" spans="1:14" x14ac:dyDescent="0.3">
      <c r="A578" t="s">
        <v>193</v>
      </c>
      <c r="B578" t="s">
        <v>21</v>
      </c>
      <c r="C578" s="1">
        <v>45650</v>
      </c>
      <c r="D578" s="2">
        <f>YEAR(Table1[[#This Row],[PurchaseDate]])</f>
        <v>2024</v>
      </c>
      <c r="E578" s="2" t="str">
        <f>"Q"&amp;ROUNDUP(MONTH(Table1[[#This Row],[PurchaseDate]])/3,0)</f>
        <v>Q4</v>
      </c>
      <c r="F578" s="2">
        <f>MONTH(Table1[[#This Row],[PurchaseDate]])</f>
        <v>12</v>
      </c>
      <c r="G578" s="2" t="str">
        <f>TEXT(Table1[[#This Row],[PurchaseDate]],"MMM")</f>
        <v>Dec</v>
      </c>
      <c r="H578">
        <v>4</v>
      </c>
      <c r="I578">
        <v>196.86</v>
      </c>
      <c r="J578" t="s">
        <v>194</v>
      </c>
      <c r="K578" t="s">
        <v>13</v>
      </c>
      <c r="L578" t="s">
        <v>19</v>
      </c>
      <c r="M578">
        <v>3</v>
      </c>
      <c r="N578">
        <v>787.44</v>
      </c>
    </row>
    <row r="579" spans="1:14" x14ac:dyDescent="0.3">
      <c r="A579" t="s">
        <v>389</v>
      </c>
      <c r="B579" t="s">
        <v>34</v>
      </c>
      <c r="C579" s="1">
        <v>45449</v>
      </c>
      <c r="D579" s="2">
        <f>YEAR(Table1[[#This Row],[PurchaseDate]])</f>
        <v>2024</v>
      </c>
      <c r="E579" s="2" t="str">
        <f>"Q"&amp;ROUNDUP(MONTH(Table1[[#This Row],[PurchaseDate]])/3,0)</f>
        <v>Q2</v>
      </c>
      <c r="F579" s="2">
        <f>MONTH(Table1[[#This Row],[PurchaseDate]])</f>
        <v>6</v>
      </c>
      <c r="G579" s="2" t="str">
        <f>TEXT(Table1[[#This Row],[PurchaseDate]],"MMM")</f>
        <v>Jun</v>
      </c>
      <c r="H579">
        <v>8</v>
      </c>
      <c r="I579">
        <v>237.68</v>
      </c>
      <c r="J579" t="s">
        <v>390</v>
      </c>
      <c r="K579" t="s">
        <v>13</v>
      </c>
      <c r="L579" t="s">
        <v>14</v>
      </c>
      <c r="M579">
        <v>5</v>
      </c>
      <c r="N579">
        <v>1901.44</v>
      </c>
    </row>
    <row r="580" spans="1:14" x14ac:dyDescent="0.3">
      <c r="A580" t="s">
        <v>1143</v>
      </c>
      <c r="B580" t="s">
        <v>42</v>
      </c>
      <c r="C580" s="1">
        <v>45751</v>
      </c>
      <c r="D580" s="2">
        <f>YEAR(Table1[[#This Row],[PurchaseDate]])</f>
        <v>2025</v>
      </c>
      <c r="E580" s="2" t="str">
        <f>"Q"&amp;ROUNDUP(MONTH(Table1[[#This Row],[PurchaseDate]])/3,0)</f>
        <v>Q2</v>
      </c>
      <c r="F580" s="2">
        <f>MONTH(Table1[[#This Row],[PurchaseDate]])</f>
        <v>4</v>
      </c>
      <c r="G580" s="2" t="str">
        <f>TEXT(Table1[[#This Row],[PurchaseDate]],"MMM")</f>
        <v>Apr</v>
      </c>
      <c r="H580">
        <v>1</v>
      </c>
      <c r="I580">
        <v>373.32</v>
      </c>
      <c r="J580" t="s">
        <v>1144</v>
      </c>
      <c r="K580" t="s">
        <v>18</v>
      </c>
      <c r="L580" t="s">
        <v>19</v>
      </c>
      <c r="M580">
        <v>1</v>
      </c>
      <c r="N580">
        <v>373.32</v>
      </c>
    </row>
    <row r="581" spans="1:14" x14ac:dyDescent="0.3">
      <c r="A581" t="s">
        <v>1145</v>
      </c>
      <c r="B581" t="s">
        <v>42</v>
      </c>
      <c r="C581" s="1">
        <v>45719</v>
      </c>
      <c r="D581" s="2">
        <f>YEAR(Table1[[#This Row],[PurchaseDate]])</f>
        <v>2025</v>
      </c>
      <c r="E581" s="2" t="str">
        <f>"Q"&amp;ROUNDUP(MONTH(Table1[[#This Row],[PurchaseDate]])/3,0)</f>
        <v>Q1</v>
      </c>
      <c r="F581" s="2">
        <f>MONTH(Table1[[#This Row],[PurchaseDate]])</f>
        <v>3</v>
      </c>
      <c r="G581" s="2" t="str">
        <f>TEXT(Table1[[#This Row],[PurchaseDate]],"MMM")</f>
        <v>Mar</v>
      </c>
      <c r="H581">
        <v>8</v>
      </c>
      <c r="I581">
        <v>294.62</v>
      </c>
      <c r="J581" t="s">
        <v>1146</v>
      </c>
      <c r="K581" t="s">
        <v>13</v>
      </c>
      <c r="L581" t="s">
        <v>58</v>
      </c>
      <c r="M581">
        <v>5</v>
      </c>
      <c r="N581">
        <v>2356.96</v>
      </c>
    </row>
    <row r="582" spans="1:14" x14ac:dyDescent="0.3">
      <c r="A582" t="s">
        <v>1147</v>
      </c>
      <c r="B582" t="s">
        <v>29</v>
      </c>
      <c r="C582" s="1">
        <v>45653</v>
      </c>
      <c r="D582" s="2">
        <f>YEAR(Table1[[#This Row],[PurchaseDate]])</f>
        <v>2024</v>
      </c>
      <c r="E582" s="2" t="str">
        <f>"Q"&amp;ROUNDUP(MONTH(Table1[[#This Row],[PurchaseDate]])/3,0)</f>
        <v>Q4</v>
      </c>
      <c r="F582" s="2">
        <f>MONTH(Table1[[#This Row],[PurchaseDate]])</f>
        <v>12</v>
      </c>
      <c r="G582" s="2" t="str">
        <f>TEXT(Table1[[#This Row],[PurchaseDate]],"MMM")</f>
        <v>Dec</v>
      </c>
      <c r="H582">
        <v>6</v>
      </c>
      <c r="I582">
        <v>39.68</v>
      </c>
      <c r="J582" t="s">
        <v>1148</v>
      </c>
      <c r="K582" t="s">
        <v>13</v>
      </c>
      <c r="L582" t="s">
        <v>14</v>
      </c>
      <c r="M582">
        <v>2</v>
      </c>
      <c r="N582">
        <v>238.08</v>
      </c>
    </row>
    <row r="583" spans="1:14" x14ac:dyDescent="0.3">
      <c r="A583" t="s">
        <v>1149</v>
      </c>
      <c r="B583" t="s">
        <v>29</v>
      </c>
      <c r="C583" s="1">
        <v>45451</v>
      </c>
      <c r="D583" s="2">
        <f>YEAR(Table1[[#This Row],[PurchaseDate]])</f>
        <v>2024</v>
      </c>
      <c r="E583" s="2" t="str">
        <f>"Q"&amp;ROUNDUP(MONTH(Table1[[#This Row],[PurchaseDate]])/3,0)</f>
        <v>Q2</v>
      </c>
      <c r="F583" s="2">
        <f>MONTH(Table1[[#This Row],[PurchaseDate]])</f>
        <v>6</v>
      </c>
      <c r="G583" s="2" t="str">
        <f>TEXT(Table1[[#This Row],[PurchaseDate]],"MMM")</f>
        <v>Jun</v>
      </c>
      <c r="H583">
        <v>7</v>
      </c>
      <c r="I583">
        <v>748.02</v>
      </c>
      <c r="J583" t="s">
        <v>1150</v>
      </c>
      <c r="K583" t="s">
        <v>38</v>
      </c>
      <c r="L583" t="s">
        <v>23</v>
      </c>
      <c r="M583">
        <v>4</v>
      </c>
      <c r="N583">
        <v>5236.1400000000003</v>
      </c>
    </row>
    <row r="584" spans="1:14" x14ac:dyDescent="0.3">
      <c r="A584" t="s">
        <v>1151</v>
      </c>
      <c r="B584" t="s">
        <v>42</v>
      </c>
      <c r="C584" s="1">
        <v>45399</v>
      </c>
      <c r="D584" s="2">
        <f>YEAR(Table1[[#This Row],[PurchaseDate]])</f>
        <v>2024</v>
      </c>
      <c r="E584" s="2" t="str">
        <f>"Q"&amp;ROUNDUP(MONTH(Table1[[#This Row],[PurchaseDate]])/3,0)</f>
        <v>Q2</v>
      </c>
      <c r="F584" s="2">
        <f>MONTH(Table1[[#This Row],[PurchaseDate]])</f>
        <v>4</v>
      </c>
      <c r="G584" s="2" t="str">
        <f>TEXT(Table1[[#This Row],[PurchaseDate]],"MMM")</f>
        <v>Apr</v>
      </c>
      <c r="H584">
        <v>3</v>
      </c>
      <c r="I584">
        <v>524.76</v>
      </c>
      <c r="J584" t="s">
        <v>1152</v>
      </c>
      <c r="K584" t="s">
        <v>38</v>
      </c>
      <c r="L584" t="s">
        <v>23</v>
      </c>
      <c r="M584">
        <v>4</v>
      </c>
      <c r="N584">
        <v>1574.28</v>
      </c>
    </row>
    <row r="585" spans="1:14" x14ac:dyDescent="0.3">
      <c r="A585" t="s">
        <v>211</v>
      </c>
      <c r="B585" t="s">
        <v>11</v>
      </c>
      <c r="C585" s="1">
        <v>44977</v>
      </c>
      <c r="D585" s="2">
        <f>YEAR(Table1[[#This Row],[PurchaseDate]])</f>
        <v>2023</v>
      </c>
      <c r="E585" s="2" t="str">
        <f>"Q"&amp;ROUNDUP(MONTH(Table1[[#This Row],[PurchaseDate]])/3,0)</f>
        <v>Q1</v>
      </c>
      <c r="F585" s="2">
        <f>MONTH(Table1[[#This Row],[PurchaseDate]])</f>
        <v>2</v>
      </c>
      <c r="G585" s="2" t="str">
        <f>TEXT(Table1[[#This Row],[PurchaseDate]],"MMM")</f>
        <v>Feb</v>
      </c>
      <c r="H585">
        <v>2</v>
      </c>
      <c r="I585">
        <v>697.82</v>
      </c>
      <c r="J585" t="s">
        <v>212</v>
      </c>
      <c r="K585" t="s">
        <v>18</v>
      </c>
      <c r="L585" t="s">
        <v>19</v>
      </c>
      <c r="M585">
        <v>4</v>
      </c>
      <c r="N585">
        <v>1395.64</v>
      </c>
    </row>
    <row r="586" spans="1:14" x14ac:dyDescent="0.3">
      <c r="A586" t="s">
        <v>1153</v>
      </c>
      <c r="B586" t="s">
        <v>16</v>
      </c>
      <c r="C586" s="1">
        <v>45373</v>
      </c>
      <c r="D586" s="2">
        <f>YEAR(Table1[[#This Row],[PurchaseDate]])</f>
        <v>2024</v>
      </c>
      <c r="E586" s="2" t="str">
        <f>"Q"&amp;ROUNDUP(MONTH(Table1[[#This Row],[PurchaseDate]])/3,0)</f>
        <v>Q1</v>
      </c>
      <c r="F586" s="2">
        <f>MONTH(Table1[[#This Row],[PurchaseDate]])</f>
        <v>3</v>
      </c>
      <c r="G586" s="2" t="str">
        <f>TEXT(Table1[[#This Row],[PurchaseDate]],"MMM")</f>
        <v>Mar</v>
      </c>
      <c r="H586">
        <v>8</v>
      </c>
      <c r="I586">
        <v>797.46</v>
      </c>
      <c r="J586" t="s">
        <v>1154</v>
      </c>
      <c r="K586" t="s">
        <v>13</v>
      </c>
      <c r="L586" t="s">
        <v>14</v>
      </c>
      <c r="M586">
        <v>4</v>
      </c>
      <c r="N586">
        <v>6379.68</v>
      </c>
    </row>
    <row r="587" spans="1:14" x14ac:dyDescent="0.3">
      <c r="A587" t="s">
        <v>1155</v>
      </c>
      <c r="B587" t="s">
        <v>16</v>
      </c>
      <c r="C587" s="1">
        <v>45295</v>
      </c>
      <c r="D587" s="2">
        <f>YEAR(Table1[[#This Row],[PurchaseDate]])</f>
        <v>2024</v>
      </c>
      <c r="E587" s="2" t="str">
        <f>"Q"&amp;ROUNDUP(MONTH(Table1[[#This Row],[PurchaseDate]])/3,0)</f>
        <v>Q1</v>
      </c>
      <c r="F587" s="2">
        <f>MONTH(Table1[[#This Row],[PurchaseDate]])</f>
        <v>1</v>
      </c>
      <c r="G587" s="2" t="str">
        <f>TEXT(Table1[[#This Row],[PurchaseDate]],"MMM")</f>
        <v>Jan</v>
      </c>
      <c r="H587">
        <v>1</v>
      </c>
      <c r="I587">
        <v>561.33000000000004</v>
      </c>
      <c r="J587" t="s">
        <v>1156</v>
      </c>
      <c r="K587" t="s">
        <v>13</v>
      </c>
      <c r="L587" t="s">
        <v>27</v>
      </c>
      <c r="M587">
        <v>3</v>
      </c>
      <c r="N587">
        <v>561.33000000000004</v>
      </c>
    </row>
    <row r="588" spans="1:14" x14ac:dyDescent="0.3">
      <c r="A588" t="s">
        <v>1157</v>
      </c>
      <c r="B588" t="s">
        <v>11</v>
      </c>
      <c r="C588" s="1">
        <v>45137</v>
      </c>
      <c r="D588" s="2">
        <f>YEAR(Table1[[#This Row],[PurchaseDate]])</f>
        <v>2023</v>
      </c>
      <c r="E588" s="2" t="str">
        <f>"Q"&amp;ROUNDUP(MONTH(Table1[[#This Row],[PurchaseDate]])/3,0)</f>
        <v>Q3</v>
      </c>
      <c r="F588" s="2">
        <f>MONTH(Table1[[#This Row],[PurchaseDate]])</f>
        <v>7</v>
      </c>
      <c r="G588" s="2" t="str">
        <f>TEXT(Table1[[#This Row],[PurchaseDate]],"MMM")</f>
        <v>Jul</v>
      </c>
      <c r="H588">
        <v>7</v>
      </c>
      <c r="I588">
        <v>756.85</v>
      </c>
      <c r="J588" t="s">
        <v>1158</v>
      </c>
      <c r="K588" t="s">
        <v>38</v>
      </c>
      <c r="L588" t="s">
        <v>23</v>
      </c>
      <c r="M588">
        <v>2</v>
      </c>
      <c r="N588">
        <v>5297.95</v>
      </c>
    </row>
    <row r="589" spans="1:14" x14ac:dyDescent="0.3">
      <c r="A589" t="s">
        <v>1159</v>
      </c>
      <c r="B589" t="s">
        <v>11</v>
      </c>
      <c r="C589" s="1">
        <v>45695</v>
      </c>
      <c r="D589" s="2">
        <f>YEAR(Table1[[#This Row],[PurchaseDate]])</f>
        <v>2025</v>
      </c>
      <c r="E589" s="2" t="str">
        <f>"Q"&amp;ROUNDUP(MONTH(Table1[[#This Row],[PurchaseDate]])/3,0)</f>
        <v>Q1</v>
      </c>
      <c r="F589" s="2">
        <f>MONTH(Table1[[#This Row],[PurchaseDate]])</f>
        <v>2</v>
      </c>
      <c r="G589" s="2" t="str">
        <f>TEXT(Table1[[#This Row],[PurchaseDate]],"MMM")</f>
        <v>Feb</v>
      </c>
      <c r="H589">
        <v>5</v>
      </c>
      <c r="I589">
        <v>586.02</v>
      </c>
      <c r="J589" t="s">
        <v>1160</v>
      </c>
      <c r="K589" t="s">
        <v>38</v>
      </c>
      <c r="L589" t="s">
        <v>19</v>
      </c>
      <c r="M589">
        <v>5</v>
      </c>
      <c r="N589">
        <v>2930.1</v>
      </c>
    </row>
    <row r="590" spans="1:14" x14ac:dyDescent="0.3">
      <c r="A590" t="s">
        <v>1161</v>
      </c>
      <c r="B590" t="s">
        <v>34</v>
      </c>
      <c r="C590" s="1">
        <v>45826</v>
      </c>
      <c r="D590" s="2">
        <f>YEAR(Table1[[#This Row],[PurchaseDate]])</f>
        <v>2025</v>
      </c>
      <c r="E590" s="2" t="str">
        <f>"Q"&amp;ROUNDUP(MONTH(Table1[[#This Row],[PurchaseDate]])/3,0)</f>
        <v>Q2</v>
      </c>
      <c r="F590" s="2">
        <f>MONTH(Table1[[#This Row],[PurchaseDate]])</f>
        <v>6</v>
      </c>
      <c r="G590" s="2" t="str">
        <f>TEXT(Table1[[#This Row],[PurchaseDate]],"MMM")</f>
        <v>Jun</v>
      </c>
      <c r="H590">
        <v>4</v>
      </c>
      <c r="I590">
        <v>392.13</v>
      </c>
      <c r="J590" t="s">
        <v>1162</v>
      </c>
      <c r="K590" t="s">
        <v>18</v>
      </c>
      <c r="L590" t="s">
        <v>58</v>
      </c>
      <c r="M590">
        <v>5</v>
      </c>
      <c r="N590">
        <v>1568.52</v>
      </c>
    </row>
    <row r="591" spans="1:14" x14ac:dyDescent="0.3">
      <c r="A591" t="s">
        <v>1163</v>
      </c>
      <c r="B591" t="s">
        <v>21</v>
      </c>
      <c r="C591" s="1">
        <v>45595</v>
      </c>
      <c r="D591" s="2">
        <f>YEAR(Table1[[#This Row],[PurchaseDate]])</f>
        <v>2024</v>
      </c>
      <c r="E591" s="2" t="str">
        <f>"Q"&amp;ROUNDUP(MONTH(Table1[[#This Row],[PurchaseDate]])/3,0)</f>
        <v>Q4</v>
      </c>
      <c r="F591" s="2">
        <f>MONTH(Table1[[#This Row],[PurchaseDate]])</f>
        <v>10</v>
      </c>
      <c r="G591" s="2" t="str">
        <f>TEXT(Table1[[#This Row],[PurchaseDate]],"MMM")</f>
        <v>Oct</v>
      </c>
      <c r="H591">
        <v>7</v>
      </c>
      <c r="I591">
        <v>294.3</v>
      </c>
      <c r="J591" t="s">
        <v>1164</v>
      </c>
      <c r="K591" t="s">
        <v>18</v>
      </c>
      <c r="L591" t="s">
        <v>23</v>
      </c>
      <c r="M591">
        <v>2</v>
      </c>
      <c r="N591">
        <v>2060.1</v>
      </c>
    </row>
    <row r="592" spans="1:14" x14ac:dyDescent="0.3">
      <c r="A592" t="s">
        <v>1165</v>
      </c>
      <c r="B592" t="s">
        <v>21</v>
      </c>
      <c r="C592" s="1">
        <v>45480</v>
      </c>
      <c r="D592" s="2">
        <f>YEAR(Table1[[#This Row],[PurchaseDate]])</f>
        <v>2024</v>
      </c>
      <c r="E592" s="2" t="str">
        <f>"Q"&amp;ROUNDUP(MONTH(Table1[[#This Row],[PurchaseDate]])/3,0)</f>
        <v>Q3</v>
      </c>
      <c r="F592" s="2">
        <f>MONTH(Table1[[#This Row],[PurchaseDate]])</f>
        <v>7</v>
      </c>
      <c r="G592" s="2" t="str">
        <f>TEXT(Table1[[#This Row],[PurchaseDate]],"MMM")</f>
        <v>Jul</v>
      </c>
      <c r="H592">
        <v>1</v>
      </c>
      <c r="I592">
        <v>127.54</v>
      </c>
      <c r="J592" t="s">
        <v>1166</v>
      </c>
      <c r="K592" t="s">
        <v>18</v>
      </c>
      <c r="L592" t="s">
        <v>19</v>
      </c>
      <c r="M592">
        <v>4</v>
      </c>
      <c r="N592">
        <v>127.54</v>
      </c>
    </row>
    <row r="593" spans="1:14" x14ac:dyDescent="0.3">
      <c r="A593" t="s">
        <v>1167</v>
      </c>
      <c r="B593" t="s">
        <v>34</v>
      </c>
      <c r="C593" s="1">
        <v>45625</v>
      </c>
      <c r="D593" s="2">
        <f>YEAR(Table1[[#This Row],[PurchaseDate]])</f>
        <v>2024</v>
      </c>
      <c r="E593" s="2" t="str">
        <f>"Q"&amp;ROUNDUP(MONTH(Table1[[#This Row],[PurchaseDate]])/3,0)</f>
        <v>Q4</v>
      </c>
      <c r="F593" s="2">
        <f>MONTH(Table1[[#This Row],[PurchaseDate]])</f>
        <v>11</v>
      </c>
      <c r="G593" s="2" t="str">
        <f>TEXT(Table1[[#This Row],[PurchaseDate]],"MMM")</f>
        <v>Nov</v>
      </c>
      <c r="H593">
        <v>3</v>
      </c>
      <c r="I593">
        <v>224.97</v>
      </c>
      <c r="J593" t="s">
        <v>1168</v>
      </c>
      <c r="K593" t="s">
        <v>18</v>
      </c>
      <c r="L593" t="s">
        <v>23</v>
      </c>
      <c r="M593">
        <v>2</v>
      </c>
      <c r="N593">
        <v>674.91</v>
      </c>
    </row>
    <row r="594" spans="1:14" x14ac:dyDescent="0.3">
      <c r="A594" t="s">
        <v>753</v>
      </c>
      <c r="B594" t="s">
        <v>34</v>
      </c>
      <c r="C594" s="1">
        <v>45385</v>
      </c>
      <c r="D594" s="2">
        <f>YEAR(Table1[[#This Row],[PurchaseDate]])</f>
        <v>2024</v>
      </c>
      <c r="E594" s="2" t="str">
        <f>"Q"&amp;ROUNDUP(MONTH(Table1[[#This Row],[PurchaseDate]])/3,0)</f>
        <v>Q2</v>
      </c>
      <c r="F594" s="2">
        <f>MONTH(Table1[[#This Row],[PurchaseDate]])</f>
        <v>4</v>
      </c>
      <c r="G594" s="2" t="str">
        <f>TEXT(Table1[[#This Row],[PurchaseDate]],"MMM")</f>
        <v>Apr</v>
      </c>
      <c r="H594">
        <v>1</v>
      </c>
      <c r="I594">
        <v>160.57</v>
      </c>
      <c r="J594" t="s">
        <v>754</v>
      </c>
      <c r="K594" t="s">
        <v>18</v>
      </c>
      <c r="L594" t="s">
        <v>23</v>
      </c>
      <c r="M594">
        <v>5</v>
      </c>
      <c r="N594">
        <v>160.57</v>
      </c>
    </row>
    <row r="595" spans="1:14" x14ac:dyDescent="0.3">
      <c r="A595" t="s">
        <v>1169</v>
      </c>
      <c r="B595" t="s">
        <v>21</v>
      </c>
      <c r="C595" s="1">
        <v>45634</v>
      </c>
      <c r="D595" s="2">
        <f>YEAR(Table1[[#This Row],[PurchaseDate]])</f>
        <v>2024</v>
      </c>
      <c r="E595" s="2" t="str">
        <f>"Q"&amp;ROUNDUP(MONTH(Table1[[#This Row],[PurchaseDate]])/3,0)</f>
        <v>Q4</v>
      </c>
      <c r="F595" s="2">
        <f>MONTH(Table1[[#This Row],[PurchaseDate]])</f>
        <v>12</v>
      </c>
      <c r="G595" s="2" t="str">
        <f>TEXT(Table1[[#This Row],[PurchaseDate]],"MMM")</f>
        <v>Dec</v>
      </c>
      <c r="H595">
        <v>4</v>
      </c>
      <c r="I595">
        <v>411.35</v>
      </c>
      <c r="J595" t="s">
        <v>1170</v>
      </c>
      <c r="K595" t="s">
        <v>18</v>
      </c>
      <c r="L595" t="s">
        <v>14</v>
      </c>
      <c r="M595">
        <v>2</v>
      </c>
      <c r="N595">
        <v>1645.4</v>
      </c>
    </row>
    <row r="596" spans="1:14" x14ac:dyDescent="0.3">
      <c r="A596" t="s">
        <v>1171</v>
      </c>
      <c r="B596" t="s">
        <v>21</v>
      </c>
      <c r="C596" s="1">
        <v>45370</v>
      </c>
      <c r="D596" s="2">
        <f>YEAR(Table1[[#This Row],[PurchaseDate]])</f>
        <v>2024</v>
      </c>
      <c r="E596" s="2" t="str">
        <f>"Q"&amp;ROUNDUP(MONTH(Table1[[#This Row],[PurchaseDate]])/3,0)</f>
        <v>Q1</v>
      </c>
      <c r="F596" s="2">
        <f>MONTH(Table1[[#This Row],[PurchaseDate]])</f>
        <v>3</v>
      </c>
      <c r="G596" s="2" t="str">
        <f>TEXT(Table1[[#This Row],[PurchaseDate]],"MMM")</f>
        <v>Mar</v>
      </c>
      <c r="H596">
        <v>1</v>
      </c>
      <c r="I596">
        <v>237.2</v>
      </c>
      <c r="J596" t="s">
        <v>1172</v>
      </c>
      <c r="K596" t="s">
        <v>18</v>
      </c>
      <c r="L596" t="s">
        <v>23</v>
      </c>
      <c r="M596">
        <v>5</v>
      </c>
      <c r="N596">
        <v>237.2</v>
      </c>
    </row>
    <row r="597" spans="1:14" x14ac:dyDescent="0.3">
      <c r="A597" t="s">
        <v>1173</v>
      </c>
      <c r="B597" t="s">
        <v>42</v>
      </c>
      <c r="C597" s="1">
        <v>45085</v>
      </c>
      <c r="D597" s="2">
        <f>YEAR(Table1[[#This Row],[PurchaseDate]])</f>
        <v>2023</v>
      </c>
      <c r="E597" s="2" t="str">
        <f>"Q"&amp;ROUNDUP(MONTH(Table1[[#This Row],[PurchaseDate]])/3,0)</f>
        <v>Q2</v>
      </c>
      <c r="F597" s="2">
        <f>MONTH(Table1[[#This Row],[PurchaseDate]])</f>
        <v>6</v>
      </c>
      <c r="G597" s="2" t="str">
        <f>TEXT(Table1[[#This Row],[PurchaseDate]],"MMM")</f>
        <v>Jun</v>
      </c>
      <c r="H597">
        <v>7</v>
      </c>
      <c r="I597">
        <v>430.84</v>
      </c>
      <c r="J597" t="s">
        <v>1174</v>
      </c>
      <c r="K597" t="s">
        <v>38</v>
      </c>
      <c r="L597" t="s">
        <v>58</v>
      </c>
      <c r="M597">
        <v>4</v>
      </c>
      <c r="N597">
        <v>3015.88</v>
      </c>
    </row>
    <row r="598" spans="1:14" x14ac:dyDescent="0.3">
      <c r="A598" t="s">
        <v>1175</v>
      </c>
      <c r="B598" t="s">
        <v>21</v>
      </c>
      <c r="C598" s="1">
        <v>45085</v>
      </c>
      <c r="D598" s="2">
        <f>YEAR(Table1[[#This Row],[PurchaseDate]])</f>
        <v>2023</v>
      </c>
      <c r="E598" s="2" t="str">
        <f>"Q"&amp;ROUNDUP(MONTH(Table1[[#This Row],[PurchaseDate]])/3,0)</f>
        <v>Q2</v>
      </c>
      <c r="F598" s="2">
        <f>MONTH(Table1[[#This Row],[PurchaseDate]])</f>
        <v>6</v>
      </c>
      <c r="G598" s="2" t="str">
        <f>TEXT(Table1[[#This Row],[PurchaseDate]],"MMM")</f>
        <v>Jun</v>
      </c>
      <c r="H598">
        <v>8</v>
      </c>
      <c r="I598">
        <v>368.38</v>
      </c>
      <c r="J598" t="s">
        <v>1176</v>
      </c>
      <c r="K598" t="s">
        <v>18</v>
      </c>
      <c r="L598" t="s">
        <v>19</v>
      </c>
      <c r="M598">
        <v>3</v>
      </c>
      <c r="N598">
        <v>2947.04</v>
      </c>
    </row>
    <row r="599" spans="1:14" x14ac:dyDescent="0.3">
      <c r="A599" t="s">
        <v>1177</v>
      </c>
      <c r="B599" t="s">
        <v>25</v>
      </c>
      <c r="C599" s="1">
        <v>45831</v>
      </c>
      <c r="D599" s="2">
        <f>YEAR(Table1[[#This Row],[PurchaseDate]])</f>
        <v>2025</v>
      </c>
      <c r="E599" s="2" t="str">
        <f>"Q"&amp;ROUNDUP(MONTH(Table1[[#This Row],[PurchaseDate]])/3,0)</f>
        <v>Q2</v>
      </c>
      <c r="F599" s="2">
        <f>MONTH(Table1[[#This Row],[PurchaseDate]])</f>
        <v>6</v>
      </c>
      <c r="G599" s="2" t="str">
        <f>TEXT(Table1[[#This Row],[PurchaseDate]],"MMM")</f>
        <v>Jun</v>
      </c>
      <c r="H599">
        <v>7</v>
      </c>
      <c r="I599">
        <v>109.67</v>
      </c>
      <c r="J599" t="s">
        <v>1178</v>
      </c>
      <c r="K599" t="s">
        <v>13</v>
      </c>
      <c r="L599" t="s">
        <v>23</v>
      </c>
      <c r="M599">
        <v>3</v>
      </c>
      <c r="N599">
        <v>767.69</v>
      </c>
    </row>
    <row r="600" spans="1:14" x14ac:dyDescent="0.3">
      <c r="A600" t="s">
        <v>1179</v>
      </c>
      <c r="B600" t="s">
        <v>42</v>
      </c>
      <c r="C600" s="1">
        <v>44932</v>
      </c>
      <c r="D600" s="2">
        <f>YEAR(Table1[[#This Row],[PurchaseDate]])</f>
        <v>2023</v>
      </c>
      <c r="E600" s="2" t="str">
        <f>"Q"&amp;ROUNDUP(MONTH(Table1[[#This Row],[PurchaseDate]])/3,0)</f>
        <v>Q1</v>
      </c>
      <c r="F600" s="2">
        <f>MONTH(Table1[[#This Row],[PurchaseDate]])</f>
        <v>1</v>
      </c>
      <c r="G600" s="2" t="str">
        <f>TEXT(Table1[[#This Row],[PurchaseDate]],"MMM")</f>
        <v>Jan</v>
      </c>
      <c r="H600">
        <v>3</v>
      </c>
      <c r="I600">
        <v>76.260000000000005</v>
      </c>
      <c r="J600" t="s">
        <v>1180</v>
      </c>
      <c r="K600" t="s">
        <v>18</v>
      </c>
      <c r="L600" t="s">
        <v>19</v>
      </c>
      <c r="M600">
        <v>5</v>
      </c>
      <c r="N600">
        <v>228.78</v>
      </c>
    </row>
    <row r="601" spans="1:14" x14ac:dyDescent="0.3">
      <c r="A601" t="s">
        <v>1181</v>
      </c>
      <c r="B601" t="s">
        <v>21</v>
      </c>
      <c r="C601" s="1">
        <v>45657</v>
      </c>
      <c r="D601" s="2">
        <f>YEAR(Table1[[#This Row],[PurchaseDate]])</f>
        <v>2024</v>
      </c>
      <c r="E601" s="2" t="str">
        <f>"Q"&amp;ROUNDUP(MONTH(Table1[[#This Row],[PurchaseDate]])/3,0)</f>
        <v>Q4</v>
      </c>
      <c r="F601" s="2">
        <f>MONTH(Table1[[#This Row],[PurchaseDate]])</f>
        <v>12</v>
      </c>
      <c r="G601" s="2" t="str">
        <f>TEXT(Table1[[#This Row],[PurchaseDate]],"MMM")</f>
        <v>Dec</v>
      </c>
      <c r="H601">
        <v>6</v>
      </c>
      <c r="I601">
        <v>353.11</v>
      </c>
      <c r="J601" t="s">
        <v>1182</v>
      </c>
      <c r="K601" t="s">
        <v>13</v>
      </c>
      <c r="L601" t="s">
        <v>23</v>
      </c>
      <c r="M601">
        <v>5</v>
      </c>
      <c r="N601">
        <v>2118.66</v>
      </c>
    </row>
    <row r="602" spans="1:14" x14ac:dyDescent="0.3">
      <c r="A602" t="s">
        <v>1183</v>
      </c>
      <c r="B602" t="s">
        <v>42</v>
      </c>
      <c r="C602" s="1">
        <v>45658</v>
      </c>
      <c r="D602" s="2">
        <f>YEAR(Table1[[#This Row],[PurchaseDate]])</f>
        <v>2025</v>
      </c>
      <c r="E602" s="2" t="str">
        <f>"Q"&amp;ROUNDUP(MONTH(Table1[[#This Row],[PurchaseDate]])/3,0)</f>
        <v>Q1</v>
      </c>
      <c r="F602" s="2">
        <f>MONTH(Table1[[#This Row],[PurchaseDate]])</f>
        <v>1</v>
      </c>
      <c r="G602" s="2" t="str">
        <f>TEXT(Table1[[#This Row],[PurchaseDate]],"MMM")</f>
        <v>Jan</v>
      </c>
      <c r="H602">
        <v>6</v>
      </c>
      <c r="I602">
        <v>509.2</v>
      </c>
      <c r="J602" t="s">
        <v>1184</v>
      </c>
      <c r="K602" t="s">
        <v>38</v>
      </c>
      <c r="L602" t="s">
        <v>14</v>
      </c>
      <c r="M602">
        <v>2</v>
      </c>
      <c r="N602">
        <v>3055.2</v>
      </c>
    </row>
    <row r="603" spans="1:14" x14ac:dyDescent="0.3">
      <c r="A603" t="s">
        <v>1185</v>
      </c>
      <c r="B603" t="s">
        <v>11</v>
      </c>
      <c r="C603" s="1">
        <v>45796</v>
      </c>
      <c r="D603" s="2">
        <f>YEAR(Table1[[#This Row],[PurchaseDate]])</f>
        <v>2025</v>
      </c>
      <c r="E603" s="2" t="str">
        <f>"Q"&amp;ROUNDUP(MONTH(Table1[[#This Row],[PurchaseDate]])/3,0)</f>
        <v>Q2</v>
      </c>
      <c r="F603" s="2">
        <f>MONTH(Table1[[#This Row],[PurchaseDate]])</f>
        <v>5</v>
      </c>
      <c r="G603" s="2" t="str">
        <f>TEXT(Table1[[#This Row],[PurchaseDate]],"MMM")</f>
        <v>May</v>
      </c>
      <c r="H603">
        <v>7</v>
      </c>
      <c r="I603">
        <v>237.3</v>
      </c>
      <c r="J603" t="s">
        <v>1186</v>
      </c>
      <c r="K603" t="s">
        <v>13</v>
      </c>
      <c r="L603" t="s">
        <v>14</v>
      </c>
      <c r="M603">
        <v>3</v>
      </c>
      <c r="N603">
        <v>1661.1</v>
      </c>
    </row>
    <row r="604" spans="1:14" x14ac:dyDescent="0.3">
      <c r="A604" t="s">
        <v>1187</v>
      </c>
      <c r="B604" t="s">
        <v>25</v>
      </c>
      <c r="C604" s="1">
        <v>45231</v>
      </c>
      <c r="D604" s="2">
        <f>YEAR(Table1[[#This Row],[PurchaseDate]])</f>
        <v>2023</v>
      </c>
      <c r="E604" s="2" t="str">
        <f>"Q"&amp;ROUNDUP(MONTH(Table1[[#This Row],[PurchaseDate]])/3,0)</f>
        <v>Q4</v>
      </c>
      <c r="F604" s="2">
        <f>MONTH(Table1[[#This Row],[PurchaseDate]])</f>
        <v>11</v>
      </c>
      <c r="G604" s="2" t="str">
        <f>TEXT(Table1[[#This Row],[PurchaseDate]],"MMM")</f>
        <v>Nov</v>
      </c>
      <c r="H604">
        <v>8</v>
      </c>
      <c r="I604">
        <v>509.8</v>
      </c>
      <c r="J604" t="s">
        <v>1188</v>
      </c>
      <c r="K604" t="s">
        <v>13</v>
      </c>
      <c r="L604" t="s">
        <v>23</v>
      </c>
      <c r="M604">
        <v>4</v>
      </c>
      <c r="N604">
        <v>4078.4</v>
      </c>
    </row>
    <row r="605" spans="1:14" x14ac:dyDescent="0.3">
      <c r="A605" t="s">
        <v>1189</v>
      </c>
      <c r="B605" t="s">
        <v>21</v>
      </c>
      <c r="C605" s="1">
        <v>44934</v>
      </c>
      <c r="D605" s="2">
        <f>YEAR(Table1[[#This Row],[PurchaseDate]])</f>
        <v>2023</v>
      </c>
      <c r="E605" s="2" t="str">
        <f>"Q"&amp;ROUNDUP(MONTH(Table1[[#This Row],[PurchaseDate]])/3,0)</f>
        <v>Q1</v>
      </c>
      <c r="F605" s="2">
        <f>MONTH(Table1[[#This Row],[PurchaseDate]])</f>
        <v>1</v>
      </c>
      <c r="G605" s="2" t="str">
        <f>TEXT(Table1[[#This Row],[PurchaseDate]],"MMM")</f>
        <v>Jan</v>
      </c>
      <c r="H605">
        <v>4</v>
      </c>
      <c r="I605">
        <v>236.91</v>
      </c>
      <c r="J605" t="s">
        <v>1190</v>
      </c>
      <c r="K605" t="s">
        <v>38</v>
      </c>
      <c r="L605" t="s">
        <v>27</v>
      </c>
      <c r="M605">
        <v>5</v>
      </c>
      <c r="N605">
        <v>947.64</v>
      </c>
    </row>
    <row r="606" spans="1:14" x14ac:dyDescent="0.3">
      <c r="A606" t="s">
        <v>1191</v>
      </c>
      <c r="B606" t="s">
        <v>29</v>
      </c>
      <c r="C606" s="1">
        <v>45595</v>
      </c>
      <c r="D606" s="2">
        <f>YEAR(Table1[[#This Row],[PurchaseDate]])</f>
        <v>2024</v>
      </c>
      <c r="E606" s="2" t="str">
        <f>"Q"&amp;ROUNDUP(MONTH(Table1[[#This Row],[PurchaseDate]])/3,0)</f>
        <v>Q4</v>
      </c>
      <c r="F606" s="2">
        <f>MONTH(Table1[[#This Row],[PurchaseDate]])</f>
        <v>10</v>
      </c>
      <c r="G606" s="2" t="str">
        <f>TEXT(Table1[[#This Row],[PurchaseDate]],"MMM")</f>
        <v>Oct</v>
      </c>
      <c r="H606">
        <v>2</v>
      </c>
      <c r="I606">
        <v>713.79</v>
      </c>
      <c r="J606" t="s">
        <v>1192</v>
      </c>
      <c r="K606" t="s">
        <v>18</v>
      </c>
      <c r="L606" t="s">
        <v>58</v>
      </c>
      <c r="M606">
        <v>3</v>
      </c>
      <c r="N606">
        <v>1427.58</v>
      </c>
    </row>
    <row r="607" spans="1:14" x14ac:dyDescent="0.3">
      <c r="A607" t="s">
        <v>1193</v>
      </c>
      <c r="B607" t="s">
        <v>42</v>
      </c>
      <c r="C607" s="1">
        <v>45093</v>
      </c>
      <c r="D607" s="2">
        <f>YEAR(Table1[[#This Row],[PurchaseDate]])</f>
        <v>2023</v>
      </c>
      <c r="E607" s="2" t="str">
        <f>"Q"&amp;ROUNDUP(MONTH(Table1[[#This Row],[PurchaseDate]])/3,0)</f>
        <v>Q2</v>
      </c>
      <c r="F607" s="2">
        <f>MONTH(Table1[[#This Row],[PurchaseDate]])</f>
        <v>6</v>
      </c>
      <c r="G607" s="2" t="str">
        <f>TEXT(Table1[[#This Row],[PurchaseDate]],"MMM")</f>
        <v>Jun</v>
      </c>
      <c r="H607">
        <v>2</v>
      </c>
      <c r="I607">
        <v>232.19</v>
      </c>
      <c r="J607" t="s">
        <v>1194</v>
      </c>
      <c r="K607" t="s">
        <v>38</v>
      </c>
      <c r="L607" t="s">
        <v>27</v>
      </c>
      <c r="M607">
        <v>3</v>
      </c>
      <c r="N607">
        <v>464.38</v>
      </c>
    </row>
    <row r="608" spans="1:14" x14ac:dyDescent="0.3">
      <c r="A608" t="s">
        <v>1195</v>
      </c>
      <c r="B608" t="s">
        <v>34</v>
      </c>
      <c r="C608" s="1">
        <v>45317</v>
      </c>
      <c r="D608" s="2">
        <f>YEAR(Table1[[#This Row],[PurchaseDate]])</f>
        <v>2024</v>
      </c>
      <c r="E608" s="2" t="str">
        <f>"Q"&amp;ROUNDUP(MONTH(Table1[[#This Row],[PurchaseDate]])/3,0)</f>
        <v>Q1</v>
      </c>
      <c r="F608" s="2">
        <f>MONTH(Table1[[#This Row],[PurchaseDate]])</f>
        <v>1</v>
      </c>
      <c r="G608" s="2" t="str">
        <f>TEXT(Table1[[#This Row],[PurchaseDate]],"MMM")</f>
        <v>Jan</v>
      </c>
      <c r="H608">
        <v>8</v>
      </c>
      <c r="I608">
        <v>513.16</v>
      </c>
      <c r="J608" t="s">
        <v>1196</v>
      </c>
      <c r="K608" t="s">
        <v>13</v>
      </c>
      <c r="L608" t="s">
        <v>14</v>
      </c>
      <c r="M608">
        <v>4</v>
      </c>
      <c r="N608">
        <v>4105.28</v>
      </c>
    </row>
    <row r="609" spans="1:14" x14ac:dyDescent="0.3">
      <c r="A609" t="s">
        <v>1197</v>
      </c>
      <c r="B609" t="s">
        <v>21</v>
      </c>
      <c r="C609" s="1">
        <v>45227</v>
      </c>
      <c r="D609" s="2">
        <f>YEAR(Table1[[#This Row],[PurchaseDate]])</f>
        <v>2023</v>
      </c>
      <c r="E609" s="2" t="str">
        <f>"Q"&amp;ROUNDUP(MONTH(Table1[[#This Row],[PurchaseDate]])/3,0)</f>
        <v>Q4</v>
      </c>
      <c r="F609" s="2">
        <f>MONTH(Table1[[#This Row],[PurchaseDate]])</f>
        <v>10</v>
      </c>
      <c r="G609" s="2" t="str">
        <f>TEXT(Table1[[#This Row],[PurchaseDate]],"MMM")</f>
        <v>Oct</v>
      </c>
      <c r="H609">
        <v>5</v>
      </c>
      <c r="I609">
        <v>435.2</v>
      </c>
      <c r="J609" t="s">
        <v>1198</v>
      </c>
      <c r="K609" t="s">
        <v>13</v>
      </c>
      <c r="L609" t="s">
        <v>14</v>
      </c>
      <c r="M609">
        <v>4</v>
      </c>
      <c r="N609">
        <v>2176</v>
      </c>
    </row>
    <row r="610" spans="1:14" x14ac:dyDescent="0.3">
      <c r="A610" t="s">
        <v>1199</v>
      </c>
      <c r="B610" t="s">
        <v>21</v>
      </c>
      <c r="C610" s="1">
        <v>45058</v>
      </c>
      <c r="D610" s="2">
        <f>YEAR(Table1[[#This Row],[PurchaseDate]])</f>
        <v>2023</v>
      </c>
      <c r="E610" s="2" t="str">
        <f>"Q"&amp;ROUNDUP(MONTH(Table1[[#This Row],[PurchaseDate]])/3,0)</f>
        <v>Q2</v>
      </c>
      <c r="F610" s="2">
        <f>MONTH(Table1[[#This Row],[PurchaseDate]])</f>
        <v>5</v>
      </c>
      <c r="G610" s="2" t="str">
        <f>TEXT(Table1[[#This Row],[PurchaseDate]],"MMM")</f>
        <v>May</v>
      </c>
      <c r="H610">
        <v>6</v>
      </c>
      <c r="I610">
        <v>542.99</v>
      </c>
      <c r="J610" t="s">
        <v>1200</v>
      </c>
      <c r="K610" t="s">
        <v>38</v>
      </c>
      <c r="L610" t="s">
        <v>58</v>
      </c>
      <c r="M610">
        <v>2</v>
      </c>
      <c r="N610">
        <v>3257.94</v>
      </c>
    </row>
    <row r="611" spans="1:14" x14ac:dyDescent="0.3">
      <c r="A611" t="s">
        <v>1201</v>
      </c>
      <c r="B611" t="s">
        <v>11</v>
      </c>
      <c r="C611" s="1">
        <v>45393</v>
      </c>
      <c r="D611" s="2">
        <f>YEAR(Table1[[#This Row],[PurchaseDate]])</f>
        <v>2024</v>
      </c>
      <c r="E611" s="2" t="str">
        <f>"Q"&amp;ROUNDUP(MONTH(Table1[[#This Row],[PurchaseDate]])/3,0)</f>
        <v>Q2</v>
      </c>
      <c r="F611" s="2">
        <f>MONTH(Table1[[#This Row],[PurchaseDate]])</f>
        <v>4</v>
      </c>
      <c r="G611" s="2" t="str">
        <f>TEXT(Table1[[#This Row],[PurchaseDate]],"MMM")</f>
        <v>Apr</v>
      </c>
      <c r="H611">
        <v>6</v>
      </c>
      <c r="I611">
        <v>8.17</v>
      </c>
      <c r="J611" t="s">
        <v>1202</v>
      </c>
      <c r="K611" t="s">
        <v>13</v>
      </c>
      <c r="L611" t="s">
        <v>19</v>
      </c>
      <c r="M611">
        <v>3</v>
      </c>
      <c r="N611">
        <v>49.02</v>
      </c>
    </row>
    <row r="612" spans="1:14" x14ac:dyDescent="0.3">
      <c r="A612" t="s">
        <v>1203</v>
      </c>
      <c r="B612" t="s">
        <v>42</v>
      </c>
      <c r="C612" s="1">
        <v>45507</v>
      </c>
      <c r="D612" s="2">
        <f>YEAR(Table1[[#This Row],[PurchaseDate]])</f>
        <v>2024</v>
      </c>
      <c r="E612" s="2" t="str">
        <f>"Q"&amp;ROUNDUP(MONTH(Table1[[#This Row],[PurchaseDate]])/3,0)</f>
        <v>Q3</v>
      </c>
      <c r="F612" s="2">
        <f>MONTH(Table1[[#This Row],[PurchaseDate]])</f>
        <v>8</v>
      </c>
      <c r="G612" s="2" t="str">
        <f>TEXT(Table1[[#This Row],[PurchaseDate]],"MMM")</f>
        <v>Aug</v>
      </c>
      <c r="H612">
        <v>8</v>
      </c>
      <c r="I612">
        <v>752.21</v>
      </c>
      <c r="J612" t="s">
        <v>1204</v>
      </c>
      <c r="K612" t="s">
        <v>18</v>
      </c>
      <c r="L612" t="s">
        <v>14</v>
      </c>
      <c r="M612">
        <v>2</v>
      </c>
      <c r="N612">
        <v>6017.68</v>
      </c>
    </row>
    <row r="613" spans="1:14" x14ac:dyDescent="0.3">
      <c r="A613" t="s">
        <v>1205</v>
      </c>
      <c r="B613" t="s">
        <v>42</v>
      </c>
      <c r="C613" s="1">
        <v>45163</v>
      </c>
      <c r="D613" s="2">
        <f>YEAR(Table1[[#This Row],[PurchaseDate]])</f>
        <v>2023</v>
      </c>
      <c r="E613" s="2" t="str">
        <f>"Q"&amp;ROUNDUP(MONTH(Table1[[#This Row],[PurchaseDate]])/3,0)</f>
        <v>Q3</v>
      </c>
      <c r="F613" s="2">
        <f>MONTH(Table1[[#This Row],[PurchaseDate]])</f>
        <v>8</v>
      </c>
      <c r="G613" s="2" t="str">
        <f>TEXT(Table1[[#This Row],[PurchaseDate]],"MMM")</f>
        <v>Aug</v>
      </c>
      <c r="H613">
        <v>7</v>
      </c>
      <c r="I613">
        <v>743.68</v>
      </c>
      <c r="J613" t="s">
        <v>1206</v>
      </c>
      <c r="K613" t="s">
        <v>18</v>
      </c>
      <c r="L613" t="s">
        <v>19</v>
      </c>
      <c r="M613">
        <v>1</v>
      </c>
      <c r="N613">
        <v>5205.76</v>
      </c>
    </row>
    <row r="614" spans="1:14" x14ac:dyDescent="0.3">
      <c r="A614" t="s">
        <v>1207</v>
      </c>
      <c r="B614" t="s">
        <v>21</v>
      </c>
      <c r="C614" s="1">
        <v>45288</v>
      </c>
      <c r="D614" s="2">
        <f>YEAR(Table1[[#This Row],[PurchaseDate]])</f>
        <v>2023</v>
      </c>
      <c r="E614" s="2" t="str">
        <f>"Q"&amp;ROUNDUP(MONTH(Table1[[#This Row],[PurchaseDate]])/3,0)</f>
        <v>Q4</v>
      </c>
      <c r="F614" s="2">
        <f>MONTH(Table1[[#This Row],[PurchaseDate]])</f>
        <v>12</v>
      </c>
      <c r="G614" s="2" t="str">
        <f>TEXT(Table1[[#This Row],[PurchaseDate]],"MMM")</f>
        <v>Dec</v>
      </c>
      <c r="H614">
        <v>1</v>
      </c>
      <c r="I614">
        <v>770.15</v>
      </c>
      <c r="J614" t="s">
        <v>1208</v>
      </c>
      <c r="K614" t="s">
        <v>13</v>
      </c>
      <c r="L614" t="s">
        <v>58</v>
      </c>
      <c r="M614">
        <v>4</v>
      </c>
      <c r="N614">
        <v>770.15</v>
      </c>
    </row>
    <row r="615" spans="1:14" x14ac:dyDescent="0.3">
      <c r="A615" t="s">
        <v>1209</v>
      </c>
      <c r="B615" t="s">
        <v>11</v>
      </c>
      <c r="C615" s="1">
        <v>44971</v>
      </c>
      <c r="D615" s="2">
        <f>YEAR(Table1[[#This Row],[PurchaseDate]])</f>
        <v>2023</v>
      </c>
      <c r="E615" s="2" t="str">
        <f>"Q"&amp;ROUNDUP(MONTH(Table1[[#This Row],[PurchaseDate]])/3,0)</f>
        <v>Q1</v>
      </c>
      <c r="F615" s="2">
        <f>MONTH(Table1[[#This Row],[PurchaseDate]])</f>
        <v>2</v>
      </c>
      <c r="G615" s="2" t="str">
        <f>TEXT(Table1[[#This Row],[PurchaseDate]],"MMM")</f>
        <v>Feb</v>
      </c>
      <c r="H615">
        <v>5</v>
      </c>
      <c r="I615">
        <v>494.19</v>
      </c>
      <c r="J615" t="s">
        <v>1210</v>
      </c>
      <c r="K615" t="s">
        <v>13</v>
      </c>
      <c r="L615" t="s">
        <v>27</v>
      </c>
      <c r="M615">
        <v>3</v>
      </c>
      <c r="N615">
        <v>2470.9499999999998</v>
      </c>
    </row>
    <row r="616" spans="1:14" x14ac:dyDescent="0.3">
      <c r="A616" t="s">
        <v>1211</v>
      </c>
      <c r="B616" t="s">
        <v>42</v>
      </c>
      <c r="C616" s="1">
        <v>45072</v>
      </c>
      <c r="D616" s="2">
        <f>YEAR(Table1[[#This Row],[PurchaseDate]])</f>
        <v>2023</v>
      </c>
      <c r="E616" s="2" t="str">
        <f>"Q"&amp;ROUNDUP(MONTH(Table1[[#This Row],[PurchaseDate]])/3,0)</f>
        <v>Q2</v>
      </c>
      <c r="F616" s="2">
        <f>MONTH(Table1[[#This Row],[PurchaseDate]])</f>
        <v>5</v>
      </c>
      <c r="G616" s="2" t="str">
        <f>TEXT(Table1[[#This Row],[PurchaseDate]],"MMM")</f>
        <v>May</v>
      </c>
      <c r="H616">
        <v>6</v>
      </c>
      <c r="I616">
        <v>357.44</v>
      </c>
      <c r="J616" t="s">
        <v>1212</v>
      </c>
      <c r="K616" t="s">
        <v>38</v>
      </c>
      <c r="L616" t="s">
        <v>27</v>
      </c>
      <c r="M616">
        <v>3</v>
      </c>
      <c r="N616">
        <v>2144.64</v>
      </c>
    </row>
    <row r="617" spans="1:14" x14ac:dyDescent="0.3">
      <c r="A617" t="s">
        <v>1213</v>
      </c>
      <c r="B617" t="s">
        <v>16</v>
      </c>
      <c r="C617" s="1">
        <v>45799</v>
      </c>
      <c r="D617" s="2">
        <f>YEAR(Table1[[#This Row],[PurchaseDate]])</f>
        <v>2025</v>
      </c>
      <c r="E617" s="2" t="str">
        <f>"Q"&amp;ROUNDUP(MONTH(Table1[[#This Row],[PurchaseDate]])/3,0)</f>
        <v>Q2</v>
      </c>
      <c r="F617" s="2">
        <f>MONTH(Table1[[#This Row],[PurchaseDate]])</f>
        <v>5</v>
      </c>
      <c r="G617" s="2" t="str">
        <f>TEXT(Table1[[#This Row],[PurchaseDate]],"MMM")</f>
        <v>May</v>
      </c>
      <c r="H617">
        <v>4</v>
      </c>
      <c r="I617">
        <v>508.49</v>
      </c>
      <c r="J617" t="s">
        <v>1214</v>
      </c>
      <c r="K617" t="s">
        <v>38</v>
      </c>
      <c r="L617" t="s">
        <v>58</v>
      </c>
      <c r="M617">
        <v>1</v>
      </c>
      <c r="N617">
        <v>2033.96</v>
      </c>
    </row>
    <row r="618" spans="1:14" x14ac:dyDescent="0.3">
      <c r="A618" t="s">
        <v>65</v>
      </c>
      <c r="B618" t="s">
        <v>16</v>
      </c>
      <c r="C618" s="1">
        <v>44962</v>
      </c>
      <c r="D618" s="2">
        <f>YEAR(Table1[[#This Row],[PurchaseDate]])</f>
        <v>2023</v>
      </c>
      <c r="E618" s="2" t="str">
        <f>"Q"&amp;ROUNDUP(MONTH(Table1[[#This Row],[PurchaseDate]])/3,0)</f>
        <v>Q1</v>
      </c>
      <c r="F618" s="2">
        <f>MONTH(Table1[[#This Row],[PurchaseDate]])</f>
        <v>2</v>
      </c>
      <c r="G618" s="2" t="str">
        <f>TEXT(Table1[[#This Row],[PurchaseDate]],"MMM")</f>
        <v>Feb</v>
      </c>
      <c r="H618">
        <v>1</v>
      </c>
      <c r="I618">
        <v>195.71</v>
      </c>
      <c r="J618" t="s">
        <v>66</v>
      </c>
      <c r="K618" t="s">
        <v>13</v>
      </c>
      <c r="L618" t="s">
        <v>23</v>
      </c>
      <c r="M618">
        <v>3</v>
      </c>
      <c r="N618">
        <v>195.71</v>
      </c>
    </row>
    <row r="619" spans="1:14" x14ac:dyDescent="0.3">
      <c r="A619" t="s">
        <v>1215</v>
      </c>
      <c r="B619" t="s">
        <v>11</v>
      </c>
      <c r="C619" s="1">
        <v>45702</v>
      </c>
      <c r="D619" s="2">
        <f>YEAR(Table1[[#This Row],[PurchaseDate]])</f>
        <v>2025</v>
      </c>
      <c r="E619" s="2" t="str">
        <f>"Q"&amp;ROUNDUP(MONTH(Table1[[#This Row],[PurchaseDate]])/3,0)</f>
        <v>Q1</v>
      </c>
      <c r="F619" s="2">
        <f>MONTH(Table1[[#This Row],[PurchaseDate]])</f>
        <v>2</v>
      </c>
      <c r="G619" s="2" t="str">
        <f>TEXT(Table1[[#This Row],[PurchaseDate]],"MMM")</f>
        <v>Feb</v>
      </c>
      <c r="H619">
        <v>3</v>
      </c>
      <c r="I619">
        <v>237.93</v>
      </c>
      <c r="J619" t="s">
        <v>1216</v>
      </c>
      <c r="K619" t="s">
        <v>18</v>
      </c>
      <c r="L619" t="s">
        <v>19</v>
      </c>
      <c r="M619">
        <v>4</v>
      </c>
      <c r="N619">
        <v>713.79</v>
      </c>
    </row>
    <row r="620" spans="1:14" x14ac:dyDescent="0.3">
      <c r="A620" t="s">
        <v>1217</v>
      </c>
      <c r="B620" t="s">
        <v>11</v>
      </c>
      <c r="C620" s="1">
        <v>45413</v>
      </c>
      <c r="D620" s="2">
        <f>YEAR(Table1[[#This Row],[PurchaseDate]])</f>
        <v>2024</v>
      </c>
      <c r="E620" s="2" t="str">
        <f>"Q"&amp;ROUNDUP(MONTH(Table1[[#This Row],[PurchaseDate]])/3,0)</f>
        <v>Q2</v>
      </c>
      <c r="F620" s="2">
        <f>MONTH(Table1[[#This Row],[PurchaseDate]])</f>
        <v>5</v>
      </c>
      <c r="G620" s="2" t="str">
        <f>TEXT(Table1[[#This Row],[PurchaseDate]],"MMM")</f>
        <v>May</v>
      </c>
      <c r="H620">
        <v>1</v>
      </c>
      <c r="I620">
        <v>50.19</v>
      </c>
      <c r="J620" t="s">
        <v>1218</v>
      </c>
      <c r="K620" t="s">
        <v>38</v>
      </c>
      <c r="L620" t="s">
        <v>27</v>
      </c>
      <c r="M620">
        <v>4</v>
      </c>
      <c r="N620">
        <v>50.19</v>
      </c>
    </row>
    <row r="621" spans="1:14" x14ac:dyDescent="0.3">
      <c r="A621" t="s">
        <v>1219</v>
      </c>
      <c r="B621" t="s">
        <v>16</v>
      </c>
      <c r="C621" s="1">
        <v>45792</v>
      </c>
      <c r="D621" s="2">
        <f>YEAR(Table1[[#This Row],[PurchaseDate]])</f>
        <v>2025</v>
      </c>
      <c r="E621" s="2" t="str">
        <f>"Q"&amp;ROUNDUP(MONTH(Table1[[#This Row],[PurchaseDate]])/3,0)</f>
        <v>Q2</v>
      </c>
      <c r="F621" s="2">
        <f>MONTH(Table1[[#This Row],[PurchaseDate]])</f>
        <v>5</v>
      </c>
      <c r="G621" s="2" t="str">
        <f>TEXT(Table1[[#This Row],[PurchaseDate]],"MMM")</f>
        <v>May</v>
      </c>
      <c r="H621">
        <v>5</v>
      </c>
      <c r="I621">
        <v>619.53</v>
      </c>
      <c r="J621" t="s">
        <v>1220</v>
      </c>
      <c r="K621" t="s">
        <v>18</v>
      </c>
      <c r="L621" t="s">
        <v>14</v>
      </c>
      <c r="M621">
        <v>2</v>
      </c>
      <c r="N621">
        <v>3097.65</v>
      </c>
    </row>
    <row r="622" spans="1:14" x14ac:dyDescent="0.3">
      <c r="A622" t="s">
        <v>1221</v>
      </c>
      <c r="B622" t="s">
        <v>21</v>
      </c>
      <c r="C622" s="1">
        <v>45492</v>
      </c>
      <c r="D622" s="2">
        <f>YEAR(Table1[[#This Row],[PurchaseDate]])</f>
        <v>2024</v>
      </c>
      <c r="E622" s="2" t="str">
        <f>"Q"&amp;ROUNDUP(MONTH(Table1[[#This Row],[PurchaseDate]])/3,0)</f>
        <v>Q3</v>
      </c>
      <c r="F622" s="2">
        <f>MONTH(Table1[[#This Row],[PurchaseDate]])</f>
        <v>7</v>
      </c>
      <c r="G622" s="2" t="str">
        <f>TEXT(Table1[[#This Row],[PurchaseDate]],"MMM")</f>
        <v>Jul</v>
      </c>
      <c r="H622">
        <v>2</v>
      </c>
      <c r="I622">
        <v>60.32</v>
      </c>
      <c r="J622" t="s">
        <v>1222</v>
      </c>
      <c r="K622" t="s">
        <v>13</v>
      </c>
      <c r="L622" t="s">
        <v>19</v>
      </c>
      <c r="M622">
        <v>2</v>
      </c>
      <c r="N622">
        <v>120.64</v>
      </c>
    </row>
    <row r="623" spans="1:14" x14ac:dyDescent="0.3">
      <c r="A623" t="s">
        <v>1223</v>
      </c>
      <c r="B623" t="s">
        <v>11</v>
      </c>
      <c r="C623" s="1">
        <v>45748</v>
      </c>
      <c r="D623" s="2">
        <f>YEAR(Table1[[#This Row],[PurchaseDate]])</f>
        <v>2025</v>
      </c>
      <c r="E623" s="2" t="str">
        <f>"Q"&amp;ROUNDUP(MONTH(Table1[[#This Row],[PurchaseDate]])/3,0)</f>
        <v>Q2</v>
      </c>
      <c r="F623" s="2">
        <f>MONTH(Table1[[#This Row],[PurchaseDate]])</f>
        <v>4</v>
      </c>
      <c r="G623" s="2" t="str">
        <f>TEXT(Table1[[#This Row],[PurchaseDate]],"MMM")</f>
        <v>Apr</v>
      </c>
      <c r="H623">
        <v>7</v>
      </c>
      <c r="I623">
        <v>167.82</v>
      </c>
      <c r="J623" t="s">
        <v>1224</v>
      </c>
      <c r="K623" t="s">
        <v>18</v>
      </c>
      <c r="L623" t="s">
        <v>58</v>
      </c>
      <c r="M623">
        <v>1</v>
      </c>
      <c r="N623">
        <v>1174.74</v>
      </c>
    </row>
    <row r="624" spans="1:14" x14ac:dyDescent="0.3">
      <c r="A624" t="s">
        <v>1225</v>
      </c>
      <c r="B624" t="s">
        <v>16</v>
      </c>
      <c r="C624" s="1">
        <v>45478</v>
      </c>
      <c r="D624" s="2">
        <f>YEAR(Table1[[#This Row],[PurchaseDate]])</f>
        <v>2024</v>
      </c>
      <c r="E624" s="2" t="str">
        <f>"Q"&amp;ROUNDUP(MONTH(Table1[[#This Row],[PurchaseDate]])/3,0)</f>
        <v>Q3</v>
      </c>
      <c r="F624" s="2">
        <f>MONTH(Table1[[#This Row],[PurchaseDate]])</f>
        <v>7</v>
      </c>
      <c r="G624" s="2" t="str">
        <f>TEXT(Table1[[#This Row],[PurchaseDate]],"MMM")</f>
        <v>Jul</v>
      </c>
      <c r="H624">
        <v>5</v>
      </c>
      <c r="I624">
        <v>563.47</v>
      </c>
      <c r="J624" t="s">
        <v>1226</v>
      </c>
      <c r="K624" t="s">
        <v>13</v>
      </c>
      <c r="L624" t="s">
        <v>14</v>
      </c>
      <c r="M624">
        <v>5</v>
      </c>
      <c r="N624">
        <v>2817.35</v>
      </c>
    </row>
    <row r="625" spans="1:14" x14ac:dyDescent="0.3">
      <c r="A625" t="s">
        <v>1227</v>
      </c>
      <c r="B625" t="s">
        <v>34</v>
      </c>
      <c r="C625" s="1">
        <v>45209</v>
      </c>
      <c r="D625" s="2">
        <f>YEAR(Table1[[#This Row],[PurchaseDate]])</f>
        <v>2023</v>
      </c>
      <c r="E625" s="2" t="str">
        <f>"Q"&amp;ROUNDUP(MONTH(Table1[[#This Row],[PurchaseDate]])/3,0)</f>
        <v>Q4</v>
      </c>
      <c r="F625" s="2">
        <f>MONTH(Table1[[#This Row],[PurchaseDate]])</f>
        <v>10</v>
      </c>
      <c r="G625" s="2" t="str">
        <f>TEXT(Table1[[#This Row],[PurchaseDate]],"MMM")</f>
        <v>Oct</v>
      </c>
      <c r="H625">
        <v>8</v>
      </c>
      <c r="I625">
        <v>264.31</v>
      </c>
      <c r="J625" t="s">
        <v>1228</v>
      </c>
      <c r="K625" t="s">
        <v>38</v>
      </c>
      <c r="L625" t="s">
        <v>23</v>
      </c>
      <c r="M625">
        <v>3</v>
      </c>
      <c r="N625">
        <v>2114.48</v>
      </c>
    </row>
    <row r="626" spans="1:14" x14ac:dyDescent="0.3">
      <c r="A626" t="s">
        <v>1005</v>
      </c>
      <c r="B626" t="s">
        <v>25</v>
      </c>
      <c r="C626" s="1">
        <v>45119</v>
      </c>
      <c r="D626" s="2">
        <f>YEAR(Table1[[#This Row],[PurchaseDate]])</f>
        <v>2023</v>
      </c>
      <c r="E626" s="2" t="str">
        <f>"Q"&amp;ROUNDUP(MONTH(Table1[[#This Row],[PurchaseDate]])/3,0)</f>
        <v>Q3</v>
      </c>
      <c r="F626" s="2">
        <f>MONTH(Table1[[#This Row],[PurchaseDate]])</f>
        <v>7</v>
      </c>
      <c r="G626" s="2" t="str">
        <f>TEXT(Table1[[#This Row],[PurchaseDate]],"MMM")</f>
        <v>Jul</v>
      </c>
      <c r="H626">
        <v>7</v>
      </c>
      <c r="I626">
        <v>443.89</v>
      </c>
      <c r="J626" t="s">
        <v>1006</v>
      </c>
      <c r="K626" t="s">
        <v>13</v>
      </c>
      <c r="L626" t="s">
        <v>19</v>
      </c>
      <c r="M626">
        <v>4</v>
      </c>
      <c r="N626">
        <v>3107.23</v>
      </c>
    </row>
    <row r="627" spans="1:14" x14ac:dyDescent="0.3">
      <c r="A627" t="s">
        <v>1229</v>
      </c>
      <c r="B627" t="s">
        <v>25</v>
      </c>
      <c r="C627" s="1">
        <v>45622</v>
      </c>
      <c r="D627" s="2">
        <f>YEAR(Table1[[#This Row],[PurchaseDate]])</f>
        <v>2024</v>
      </c>
      <c r="E627" s="2" t="str">
        <f>"Q"&amp;ROUNDUP(MONTH(Table1[[#This Row],[PurchaseDate]])/3,0)</f>
        <v>Q4</v>
      </c>
      <c r="F627" s="2">
        <f>MONTH(Table1[[#This Row],[PurchaseDate]])</f>
        <v>11</v>
      </c>
      <c r="G627" s="2" t="str">
        <f>TEXT(Table1[[#This Row],[PurchaseDate]],"MMM")</f>
        <v>Nov</v>
      </c>
      <c r="H627">
        <v>8</v>
      </c>
      <c r="I627">
        <v>395.46</v>
      </c>
      <c r="J627" t="s">
        <v>1230</v>
      </c>
      <c r="K627" t="s">
        <v>38</v>
      </c>
      <c r="L627" t="s">
        <v>19</v>
      </c>
      <c r="M627">
        <v>1</v>
      </c>
      <c r="N627">
        <v>3163.68</v>
      </c>
    </row>
    <row r="628" spans="1:14" x14ac:dyDescent="0.3">
      <c r="A628" t="s">
        <v>1231</v>
      </c>
      <c r="B628" t="s">
        <v>29</v>
      </c>
      <c r="C628" s="1">
        <v>44993</v>
      </c>
      <c r="D628" s="2">
        <f>YEAR(Table1[[#This Row],[PurchaseDate]])</f>
        <v>2023</v>
      </c>
      <c r="E628" s="2" t="str">
        <f>"Q"&amp;ROUNDUP(MONTH(Table1[[#This Row],[PurchaseDate]])/3,0)</f>
        <v>Q1</v>
      </c>
      <c r="F628" s="2">
        <f>MONTH(Table1[[#This Row],[PurchaseDate]])</f>
        <v>3</v>
      </c>
      <c r="G628" s="2" t="str">
        <f>TEXT(Table1[[#This Row],[PurchaseDate]],"MMM")</f>
        <v>Mar</v>
      </c>
      <c r="H628">
        <v>5</v>
      </c>
      <c r="I628">
        <v>57.44</v>
      </c>
      <c r="J628" t="s">
        <v>1232</v>
      </c>
      <c r="K628" t="s">
        <v>18</v>
      </c>
      <c r="L628" t="s">
        <v>23</v>
      </c>
      <c r="M628">
        <v>2</v>
      </c>
      <c r="N628">
        <v>287.2</v>
      </c>
    </row>
    <row r="629" spans="1:14" x14ac:dyDescent="0.3">
      <c r="A629" t="s">
        <v>1233</v>
      </c>
      <c r="B629" t="s">
        <v>34</v>
      </c>
      <c r="C629" s="1">
        <v>45379</v>
      </c>
      <c r="D629" s="2">
        <f>YEAR(Table1[[#This Row],[PurchaseDate]])</f>
        <v>2024</v>
      </c>
      <c r="E629" s="2" t="str">
        <f>"Q"&amp;ROUNDUP(MONTH(Table1[[#This Row],[PurchaseDate]])/3,0)</f>
        <v>Q1</v>
      </c>
      <c r="F629" s="2">
        <f>MONTH(Table1[[#This Row],[PurchaseDate]])</f>
        <v>3</v>
      </c>
      <c r="G629" s="2" t="str">
        <f>TEXT(Table1[[#This Row],[PurchaseDate]],"MMM")</f>
        <v>Mar</v>
      </c>
      <c r="H629">
        <v>8</v>
      </c>
      <c r="I629">
        <v>158.72999999999999</v>
      </c>
      <c r="J629" t="s">
        <v>1234</v>
      </c>
      <c r="K629" t="s">
        <v>38</v>
      </c>
      <c r="L629" t="s">
        <v>14</v>
      </c>
      <c r="M629">
        <v>1</v>
      </c>
      <c r="N629">
        <v>1269.8399999999999</v>
      </c>
    </row>
    <row r="630" spans="1:14" x14ac:dyDescent="0.3">
      <c r="A630" t="s">
        <v>1235</v>
      </c>
      <c r="B630" t="s">
        <v>25</v>
      </c>
      <c r="C630" s="1">
        <v>45184</v>
      </c>
      <c r="D630" s="2">
        <f>YEAR(Table1[[#This Row],[PurchaseDate]])</f>
        <v>2023</v>
      </c>
      <c r="E630" s="2" t="str">
        <f>"Q"&amp;ROUNDUP(MONTH(Table1[[#This Row],[PurchaseDate]])/3,0)</f>
        <v>Q3</v>
      </c>
      <c r="F630" s="2">
        <f>MONTH(Table1[[#This Row],[PurchaseDate]])</f>
        <v>9</v>
      </c>
      <c r="G630" s="2" t="str">
        <f>TEXT(Table1[[#This Row],[PurchaseDate]],"MMM")</f>
        <v>Sep</v>
      </c>
      <c r="H630">
        <v>6</v>
      </c>
      <c r="I630">
        <v>654.29</v>
      </c>
      <c r="J630" t="s">
        <v>1236</v>
      </c>
      <c r="K630" t="s">
        <v>18</v>
      </c>
      <c r="L630" t="s">
        <v>14</v>
      </c>
      <c r="M630">
        <v>2</v>
      </c>
      <c r="N630">
        <v>3925.74</v>
      </c>
    </row>
    <row r="631" spans="1:14" x14ac:dyDescent="0.3">
      <c r="A631" t="s">
        <v>1237</v>
      </c>
      <c r="B631" t="s">
        <v>16</v>
      </c>
      <c r="C631" s="1">
        <v>45242</v>
      </c>
      <c r="D631" s="2">
        <f>YEAR(Table1[[#This Row],[PurchaseDate]])</f>
        <v>2023</v>
      </c>
      <c r="E631" s="2" t="str">
        <f>"Q"&amp;ROUNDUP(MONTH(Table1[[#This Row],[PurchaseDate]])/3,0)</f>
        <v>Q4</v>
      </c>
      <c r="F631" s="2">
        <f>MONTH(Table1[[#This Row],[PurchaseDate]])</f>
        <v>11</v>
      </c>
      <c r="G631" s="2" t="str">
        <f>TEXT(Table1[[#This Row],[PurchaseDate]],"MMM")</f>
        <v>Nov</v>
      </c>
      <c r="H631">
        <v>5</v>
      </c>
      <c r="I631">
        <v>226.61</v>
      </c>
      <c r="J631" t="s">
        <v>1238</v>
      </c>
      <c r="K631" t="s">
        <v>38</v>
      </c>
      <c r="L631" t="s">
        <v>14</v>
      </c>
      <c r="M631">
        <v>2</v>
      </c>
      <c r="N631">
        <v>1133.05</v>
      </c>
    </row>
    <row r="632" spans="1:14" x14ac:dyDescent="0.3">
      <c r="A632" t="s">
        <v>1239</v>
      </c>
      <c r="B632" t="s">
        <v>21</v>
      </c>
      <c r="C632" s="1">
        <v>44927</v>
      </c>
      <c r="D632" s="2">
        <f>YEAR(Table1[[#This Row],[PurchaseDate]])</f>
        <v>2023</v>
      </c>
      <c r="E632" s="2" t="str">
        <f>"Q"&amp;ROUNDUP(MONTH(Table1[[#This Row],[PurchaseDate]])/3,0)</f>
        <v>Q1</v>
      </c>
      <c r="F632" s="2">
        <f>MONTH(Table1[[#This Row],[PurchaseDate]])</f>
        <v>1</v>
      </c>
      <c r="G632" s="2" t="str">
        <f>TEXT(Table1[[#This Row],[PurchaseDate]],"MMM")</f>
        <v>Jan</v>
      </c>
      <c r="H632">
        <v>5</v>
      </c>
      <c r="I632">
        <v>336.17</v>
      </c>
      <c r="J632" t="s">
        <v>1240</v>
      </c>
      <c r="K632" t="s">
        <v>38</v>
      </c>
      <c r="L632" t="s">
        <v>23</v>
      </c>
      <c r="M632">
        <v>1</v>
      </c>
      <c r="N632">
        <v>1680.85</v>
      </c>
    </row>
    <row r="633" spans="1:14" x14ac:dyDescent="0.3">
      <c r="A633" t="s">
        <v>1241</v>
      </c>
      <c r="B633" t="s">
        <v>16</v>
      </c>
      <c r="C633" s="1">
        <v>45506</v>
      </c>
      <c r="D633" s="2">
        <f>YEAR(Table1[[#This Row],[PurchaseDate]])</f>
        <v>2024</v>
      </c>
      <c r="E633" s="2" t="str">
        <f>"Q"&amp;ROUNDUP(MONTH(Table1[[#This Row],[PurchaseDate]])/3,0)</f>
        <v>Q3</v>
      </c>
      <c r="F633" s="2">
        <f>MONTH(Table1[[#This Row],[PurchaseDate]])</f>
        <v>8</v>
      </c>
      <c r="G633" s="2" t="str">
        <f>TEXT(Table1[[#This Row],[PurchaseDate]],"MMM")</f>
        <v>Aug</v>
      </c>
      <c r="H633">
        <v>2</v>
      </c>
      <c r="I633">
        <v>132.49</v>
      </c>
      <c r="J633" t="s">
        <v>1242</v>
      </c>
      <c r="K633" t="s">
        <v>13</v>
      </c>
      <c r="L633" t="s">
        <v>19</v>
      </c>
      <c r="M633">
        <v>4</v>
      </c>
      <c r="N633">
        <v>264.98</v>
      </c>
    </row>
    <row r="634" spans="1:14" x14ac:dyDescent="0.3">
      <c r="A634" t="s">
        <v>1243</v>
      </c>
      <c r="B634" t="s">
        <v>42</v>
      </c>
      <c r="C634" s="1">
        <v>45116</v>
      </c>
      <c r="D634" s="2">
        <f>YEAR(Table1[[#This Row],[PurchaseDate]])</f>
        <v>2023</v>
      </c>
      <c r="E634" s="2" t="str">
        <f>"Q"&amp;ROUNDUP(MONTH(Table1[[#This Row],[PurchaseDate]])/3,0)</f>
        <v>Q3</v>
      </c>
      <c r="F634" s="2">
        <f>MONTH(Table1[[#This Row],[PurchaseDate]])</f>
        <v>7</v>
      </c>
      <c r="G634" s="2" t="str">
        <f>TEXT(Table1[[#This Row],[PurchaseDate]],"MMM")</f>
        <v>Jul</v>
      </c>
      <c r="H634">
        <v>2</v>
      </c>
      <c r="I634">
        <v>664.71</v>
      </c>
      <c r="J634" t="s">
        <v>1244</v>
      </c>
      <c r="K634" t="s">
        <v>38</v>
      </c>
      <c r="L634" t="s">
        <v>27</v>
      </c>
      <c r="M634">
        <v>4</v>
      </c>
      <c r="N634">
        <v>1329.42</v>
      </c>
    </row>
    <row r="635" spans="1:14" x14ac:dyDescent="0.3">
      <c r="A635" t="s">
        <v>1245</v>
      </c>
      <c r="B635" t="s">
        <v>29</v>
      </c>
      <c r="C635" s="1">
        <v>45467</v>
      </c>
      <c r="D635" s="2">
        <f>YEAR(Table1[[#This Row],[PurchaseDate]])</f>
        <v>2024</v>
      </c>
      <c r="E635" s="2" t="str">
        <f>"Q"&amp;ROUNDUP(MONTH(Table1[[#This Row],[PurchaseDate]])/3,0)</f>
        <v>Q2</v>
      </c>
      <c r="F635" s="2">
        <f>MONTH(Table1[[#This Row],[PurchaseDate]])</f>
        <v>6</v>
      </c>
      <c r="G635" s="2" t="str">
        <f>TEXT(Table1[[#This Row],[PurchaseDate]],"MMM")</f>
        <v>Jun</v>
      </c>
      <c r="H635">
        <v>3</v>
      </c>
      <c r="I635">
        <v>414.11</v>
      </c>
      <c r="J635" t="s">
        <v>1246</v>
      </c>
      <c r="K635" t="s">
        <v>13</v>
      </c>
      <c r="L635" t="s">
        <v>19</v>
      </c>
      <c r="M635">
        <v>3</v>
      </c>
      <c r="N635">
        <v>1242.33</v>
      </c>
    </row>
    <row r="636" spans="1:14" x14ac:dyDescent="0.3">
      <c r="A636" t="s">
        <v>1247</v>
      </c>
      <c r="B636" t="s">
        <v>25</v>
      </c>
      <c r="C636" s="1">
        <v>45276</v>
      </c>
      <c r="D636" s="2">
        <f>YEAR(Table1[[#This Row],[PurchaseDate]])</f>
        <v>2023</v>
      </c>
      <c r="E636" s="2" t="str">
        <f>"Q"&amp;ROUNDUP(MONTH(Table1[[#This Row],[PurchaseDate]])/3,0)</f>
        <v>Q4</v>
      </c>
      <c r="F636" s="2">
        <f>MONTH(Table1[[#This Row],[PurchaseDate]])</f>
        <v>12</v>
      </c>
      <c r="G636" s="2" t="str">
        <f>TEXT(Table1[[#This Row],[PurchaseDate]],"MMM")</f>
        <v>Dec</v>
      </c>
      <c r="H636">
        <v>6</v>
      </c>
      <c r="I636">
        <v>110</v>
      </c>
      <c r="J636" t="s">
        <v>1248</v>
      </c>
      <c r="K636" t="s">
        <v>18</v>
      </c>
      <c r="L636" t="s">
        <v>58</v>
      </c>
      <c r="M636">
        <v>1</v>
      </c>
      <c r="N636">
        <v>660</v>
      </c>
    </row>
    <row r="637" spans="1:14" x14ac:dyDescent="0.3">
      <c r="A637" t="s">
        <v>1249</v>
      </c>
      <c r="B637" t="s">
        <v>21</v>
      </c>
      <c r="C637" s="1">
        <v>45589</v>
      </c>
      <c r="D637" s="2">
        <f>YEAR(Table1[[#This Row],[PurchaseDate]])</f>
        <v>2024</v>
      </c>
      <c r="E637" s="2" t="str">
        <f>"Q"&amp;ROUNDUP(MONTH(Table1[[#This Row],[PurchaseDate]])/3,0)</f>
        <v>Q4</v>
      </c>
      <c r="F637" s="2">
        <f>MONTH(Table1[[#This Row],[PurchaseDate]])</f>
        <v>10</v>
      </c>
      <c r="G637" s="2" t="str">
        <f>TEXT(Table1[[#This Row],[PurchaseDate]],"MMM")</f>
        <v>Oct</v>
      </c>
      <c r="H637">
        <v>5</v>
      </c>
      <c r="I637">
        <v>42.01</v>
      </c>
      <c r="J637" t="s">
        <v>1250</v>
      </c>
      <c r="K637" t="s">
        <v>38</v>
      </c>
      <c r="L637" t="s">
        <v>19</v>
      </c>
      <c r="M637">
        <v>1</v>
      </c>
      <c r="N637">
        <v>210.05</v>
      </c>
    </row>
    <row r="638" spans="1:14" x14ac:dyDescent="0.3">
      <c r="A638" t="s">
        <v>1251</v>
      </c>
      <c r="B638" t="s">
        <v>21</v>
      </c>
      <c r="C638" s="1">
        <v>45700</v>
      </c>
      <c r="D638" s="2">
        <f>YEAR(Table1[[#This Row],[PurchaseDate]])</f>
        <v>2025</v>
      </c>
      <c r="E638" s="2" t="str">
        <f>"Q"&amp;ROUNDUP(MONTH(Table1[[#This Row],[PurchaseDate]])/3,0)</f>
        <v>Q1</v>
      </c>
      <c r="F638" s="2">
        <f>MONTH(Table1[[#This Row],[PurchaseDate]])</f>
        <v>2</v>
      </c>
      <c r="G638" s="2" t="str">
        <f>TEXT(Table1[[#This Row],[PurchaseDate]],"MMM")</f>
        <v>Feb</v>
      </c>
      <c r="H638">
        <v>2</v>
      </c>
      <c r="I638">
        <v>173.26</v>
      </c>
      <c r="J638" t="s">
        <v>1252</v>
      </c>
      <c r="K638" t="s">
        <v>13</v>
      </c>
      <c r="L638" t="s">
        <v>23</v>
      </c>
      <c r="M638">
        <v>2</v>
      </c>
      <c r="N638">
        <v>346.52</v>
      </c>
    </row>
    <row r="639" spans="1:14" x14ac:dyDescent="0.3">
      <c r="A639" t="s">
        <v>617</v>
      </c>
      <c r="B639" t="s">
        <v>29</v>
      </c>
      <c r="C639" s="1">
        <v>45270</v>
      </c>
      <c r="D639" s="2">
        <f>YEAR(Table1[[#This Row],[PurchaseDate]])</f>
        <v>2023</v>
      </c>
      <c r="E639" s="2" t="str">
        <f>"Q"&amp;ROUNDUP(MONTH(Table1[[#This Row],[PurchaseDate]])/3,0)</f>
        <v>Q4</v>
      </c>
      <c r="F639" s="2">
        <f>MONTH(Table1[[#This Row],[PurchaseDate]])</f>
        <v>12</v>
      </c>
      <c r="G639" s="2" t="str">
        <f>TEXT(Table1[[#This Row],[PurchaseDate]],"MMM")</f>
        <v>Dec</v>
      </c>
      <c r="H639">
        <v>8</v>
      </c>
      <c r="I639">
        <v>297.94</v>
      </c>
      <c r="J639" t="s">
        <v>618</v>
      </c>
      <c r="K639" t="s">
        <v>18</v>
      </c>
      <c r="L639" t="s">
        <v>19</v>
      </c>
      <c r="M639">
        <v>4</v>
      </c>
      <c r="N639">
        <v>2383.52</v>
      </c>
    </row>
    <row r="640" spans="1:14" x14ac:dyDescent="0.3">
      <c r="A640" t="s">
        <v>1253</v>
      </c>
      <c r="B640" t="s">
        <v>34</v>
      </c>
      <c r="C640" s="1">
        <v>45318</v>
      </c>
      <c r="D640" s="2">
        <f>YEAR(Table1[[#This Row],[PurchaseDate]])</f>
        <v>2024</v>
      </c>
      <c r="E640" s="2" t="str">
        <f>"Q"&amp;ROUNDUP(MONTH(Table1[[#This Row],[PurchaseDate]])/3,0)</f>
        <v>Q1</v>
      </c>
      <c r="F640" s="2">
        <f>MONTH(Table1[[#This Row],[PurchaseDate]])</f>
        <v>1</v>
      </c>
      <c r="G640" s="2" t="str">
        <f>TEXT(Table1[[#This Row],[PurchaseDate]],"MMM")</f>
        <v>Jan</v>
      </c>
      <c r="H640">
        <v>1</v>
      </c>
      <c r="I640">
        <v>75.2</v>
      </c>
      <c r="J640" t="s">
        <v>1254</v>
      </c>
      <c r="K640" t="s">
        <v>38</v>
      </c>
      <c r="L640" t="s">
        <v>27</v>
      </c>
      <c r="M640">
        <v>2</v>
      </c>
      <c r="N640">
        <v>75.2</v>
      </c>
    </row>
    <row r="641" spans="1:14" x14ac:dyDescent="0.3">
      <c r="A641" t="s">
        <v>1255</v>
      </c>
      <c r="B641" t="s">
        <v>25</v>
      </c>
      <c r="C641" s="1">
        <v>45261</v>
      </c>
      <c r="D641" s="2">
        <f>YEAR(Table1[[#This Row],[PurchaseDate]])</f>
        <v>2023</v>
      </c>
      <c r="E641" s="2" t="str">
        <f>"Q"&amp;ROUNDUP(MONTH(Table1[[#This Row],[PurchaseDate]])/3,0)</f>
        <v>Q4</v>
      </c>
      <c r="F641" s="2">
        <f>MONTH(Table1[[#This Row],[PurchaseDate]])</f>
        <v>12</v>
      </c>
      <c r="G641" s="2" t="str">
        <f>TEXT(Table1[[#This Row],[PurchaseDate]],"MMM")</f>
        <v>Dec</v>
      </c>
      <c r="H641">
        <v>4</v>
      </c>
      <c r="I641">
        <v>186.25</v>
      </c>
      <c r="J641" t="s">
        <v>1256</v>
      </c>
      <c r="K641" t="s">
        <v>38</v>
      </c>
      <c r="L641" t="s">
        <v>14</v>
      </c>
      <c r="M641">
        <v>2</v>
      </c>
      <c r="N641">
        <v>745</v>
      </c>
    </row>
    <row r="642" spans="1:14" x14ac:dyDescent="0.3">
      <c r="A642" t="s">
        <v>1257</v>
      </c>
      <c r="B642" t="s">
        <v>21</v>
      </c>
      <c r="C642" s="1">
        <v>45619</v>
      </c>
      <c r="D642" s="2">
        <f>YEAR(Table1[[#This Row],[PurchaseDate]])</f>
        <v>2024</v>
      </c>
      <c r="E642" s="2" t="str">
        <f>"Q"&amp;ROUNDUP(MONTH(Table1[[#This Row],[PurchaseDate]])/3,0)</f>
        <v>Q4</v>
      </c>
      <c r="F642" s="2">
        <f>MONTH(Table1[[#This Row],[PurchaseDate]])</f>
        <v>11</v>
      </c>
      <c r="G642" s="2" t="str">
        <f>TEXT(Table1[[#This Row],[PurchaseDate]],"MMM")</f>
        <v>Nov</v>
      </c>
      <c r="H642">
        <v>8</v>
      </c>
      <c r="I642">
        <v>448.55</v>
      </c>
      <c r="J642" t="s">
        <v>1258</v>
      </c>
      <c r="K642" t="s">
        <v>18</v>
      </c>
      <c r="L642" t="s">
        <v>19</v>
      </c>
      <c r="M642">
        <v>1</v>
      </c>
      <c r="N642">
        <v>3588.4</v>
      </c>
    </row>
    <row r="643" spans="1:14" x14ac:dyDescent="0.3">
      <c r="A643" t="s">
        <v>343</v>
      </c>
      <c r="B643" t="s">
        <v>16</v>
      </c>
      <c r="C643" s="1">
        <v>45646</v>
      </c>
      <c r="D643" s="2">
        <f>YEAR(Table1[[#This Row],[PurchaseDate]])</f>
        <v>2024</v>
      </c>
      <c r="E643" s="2" t="str">
        <f>"Q"&amp;ROUNDUP(MONTH(Table1[[#This Row],[PurchaseDate]])/3,0)</f>
        <v>Q4</v>
      </c>
      <c r="F643" s="2">
        <f>MONTH(Table1[[#This Row],[PurchaseDate]])</f>
        <v>12</v>
      </c>
      <c r="G643" s="2" t="str">
        <f>TEXT(Table1[[#This Row],[PurchaseDate]],"MMM")</f>
        <v>Dec</v>
      </c>
      <c r="H643">
        <v>5</v>
      </c>
      <c r="I643">
        <v>682.8</v>
      </c>
      <c r="J643" t="s">
        <v>344</v>
      </c>
      <c r="K643" t="s">
        <v>18</v>
      </c>
      <c r="L643" t="s">
        <v>19</v>
      </c>
      <c r="M643">
        <v>3</v>
      </c>
      <c r="N643">
        <v>3414</v>
      </c>
    </row>
    <row r="644" spans="1:14" x14ac:dyDescent="0.3">
      <c r="A644" t="s">
        <v>1259</v>
      </c>
      <c r="B644" t="s">
        <v>42</v>
      </c>
      <c r="C644" s="1">
        <v>45835</v>
      </c>
      <c r="D644" s="2">
        <f>YEAR(Table1[[#This Row],[PurchaseDate]])</f>
        <v>2025</v>
      </c>
      <c r="E644" s="2" t="str">
        <f>"Q"&amp;ROUNDUP(MONTH(Table1[[#This Row],[PurchaseDate]])/3,0)</f>
        <v>Q2</v>
      </c>
      <c r="F644" s="2">
        <f>MONTH(Table1[[#This Row],[PurchaseDate]])</f>
        <v>6</v>
      </c>
      <c r="G644" s="2" t="str">
        <f>TEXT(Table1[[#This Row],[PurchaseDate]],"MMM")</f>
        <v>Jun</v>
      </c>
      <c r="H644">
        <v>8</v>
      </c>
      <c r="I644">
        <v>77.66</v>
      </c>
      <c r="J644" t="s">
        <v>1260</v>
      </c>
      <c r="K644" t="s">
        <v>38</v>
      </c>
      <c r="L644" t="s">
        <v>19</v>
      </c>
      <c r="M644">
        <v>1</v>
      </c>
      <c r="N644">
        <v>621.28</v>
      </c>
    </row>
    <row r="645" spans="1:14" x14ac:dyDescent="0.3">
      <c r="A645" t="s">
        <v>1261</v>
      </c>
      <c r="B645" t="s">
        <v>29</v>
      </c>
      <c r="C645" s="1">
        <v>45361</v>
      </c>
      <c r="D645" s="2">
        <f>YEAR(Table1[[#This Row],[PurchaseDate]])</f>
        <v>2024</v>
      </c>
      <c r="E645" s="2" t="str">
        <f>"Q"&amp;ROUNDUP(MONTH(Table1[[#This Row],[PurchaseDate]])/3,0)</f>
        <v>Q1</v>
      </c>
      <c r="F645" s="2">
        <f>MONTH(Table1[[#This Row],[PurchaseDate]])</f>
        <v>3</v>
      </c>
      <c r="G645" s="2" t="str">
        <f>TEXT(Table1[[#This Row],[PurchaseDate]],"MMM")</f>
        <v>Mar</v>
      </c>
      <c r="H645">
        <v>6</v>
      </c>
      <c r="I645">
        <v>17.149999999999999</v>
      </c>
      <c r="J645" t="s">
        <v>1262</v>
      </c>
      <c r="K645" t="s">
        <v>13</v>
      </c>
      <c r="L645" t="s">
        <v>14</v>
      </c>
      <c r="M645">
        <v>4</v>
      </c>
      <c r="N645">
        <v>102.9</v>
      </c>
    </row>
    <row r="646" spans="1:14" x14ac:dyDescent="0.3">
      <c r="A646" t="s">
        <v>1263</v>
      </c>
      <c r="B646" t="s">
        <v>29</v>
      </c>
      <c r="C646" s="1">
        <v>45430</v>
      </c>
      <c r="D646" s="2">
        <f>YEAR(Table1[[#This Row],[PurchaseDate]])</f>
        <v>2024</v>
      </c>
      <c r="E646" s="2" t="str">
        <f>"Q"&amp;ROUNDUP(MONTH(Table1[[#This Row],[PurchaseDate]])/3,0)</f>
        <v>Q2</v>
      </c>
      <c r="F646" s="2">
        <f>MONTH(Table1[[#This Row],[PurchaseDate]])</f>
        <v>5</v>
      </c>
      <c r="G646" s="2" t="str">
        <f>TEXT(Table1[[#This Row],[PurchaseDate]],"MMM")</f>
        <v>May</v>
      </c>
      <c r="H646">
        <v>8</v>
      </c>
      <c r="I646">
        <v>69.55</v>
      </c>
      <c r="J646" t="s">
        <v>1264</v>
      </c>
      <c r="K646" t="s">
        <v>13</v>
      </c>
      <c r="L646" t="s">
        <v>14</v>
      </c>
      <c r="M646">
        <v>3</v>
      </c>
      <c r="N646">
        <v>556.4</v>
      </c>
    </row>
    <row r="647" spans="1:14" x14ac:dyDescent="0.3">
      <c r="A647" t="s">
        <v>1265</v>
      </c>
      <c r="B647" t="s">
        <v>11</v>
      </c>
      <c r="C647" s="1">
        <v>45792</v>
      </c>
      <c r="D647" s="2">
        <f>YEAR(Table1[[#This Row],[PurchaseDate]])</f>
        <v>2025</v>
      </c>
      <c r="E647" s="2" t="str">
        <f>"Q"&amp;ROUNDUP(MONTH(Table1[[#This Row],[PurchaseDate]])/3,0)</f>
        <v>Q2</v>
      </c>
      <c r="F647" s="2">
        <f>MONTH(Table1[[#This Row],[PurchaseDate]])</f>
        <v>5</v>
      </c>
      <c r="G647" s="2" t="str">
        <f>TEXT(Table1[[#This Row],[PurchaseDate]],"MMM")</f>
        <v>May</v>
      </c>
      <c r="H647">
        <v>1</v>
      </c>
      <c r="I647">
        <v>51.54</v>
      </c>
      <c r="J647" t="s">
        <v>1266</v>
      </c>
      <c r="K647" t="s">
        <v>38</v>
      </c>
      <c r="L647" t="s">
        <v>19</v>
      </c>
      <c r="M647">
        <v>5</v>
      </c>
      <c r="N647">
        <v>51.54</v>
      </c>
    </row>
    <row r="648" spans="1:14" x14ac:dyDescent="0.3">
      <c r="A648" t="s">
        <v>1267</v>
      </c>
      <c r="B648" t="s">
        <v>11</v>
      </c>
      <c r="C648" s="1">
        <v>45248</v>
      </c>
      <c r="D648" s="2">
        <f>YEAR(Table1[[#This Row],[PurchaseDate]])</f>
        <v>2023</v>
      </c>
      <c r="E648" s="2" t="str">
        <f>"Q"&amp;ROUNDUP(MONTH(Table1[[#This Row],[PurchaseDate]])/3,0)</f>
        <v>Q4</v>
      </c>
      <c r="F648" s="2">
        <f>MONTH(Table1[[#This Row],[PurchaseDate]])</f>
        <v>11</v>
      </c>
      <c r="G648" s="2" t="str">
        <f>TEXT(Table1[[#This Row],[PurchaseDate]],"MMM")</f>
        <v>Nov</v>
      </c>
      <c r="H648">
        <v>5</v>
      </c>
      <c r="I648">
        <v>185.82</v>
      </c>
      <c r="J648" t="s">
        <v>1268</v>
      </c>
      <c r="K648" t="s">
        <v>13</v>
      </c>
      <c r="L648" t="s">
        <v>14</v>
      </c>
      <c r="M648">
        <v>1</v>
      </c>
      <c r="N648">
        <v>929.1</v>
      </c>
    </row>
    <row r="649" spans="1:14" x14ac:dyDescent="0.3">
      <c r="A649" t="s">
        <v>1269</v>
      </c>
      <c r="B649" t="s">
        <v>16</v>
      </c>
      <c r="C649" s="1">
        <v>45786</v>
      </c>
      <c r="D649" s="2">
        <f>YEAR(Table1[[#This Row],[PurchaseDate]])</f>
        <v>2025</v>
      </c>
      <c r="E649" s="2" t="str">
        <f>"Q"&amp;ROUNDUP(MONTH(Table1[[#This Row],[PurchaseDate]])/3,0)</f>
        <v>Q2</v>
      </c>
      <c r="F649" s="2">
        <f>MONTH(Table1[[#This Row],[PurchaseDate]])</f>
        <v>5</v>
      </c>
      <c r="G649" s="2" t="str">
        <f>TEXT(Table1[[#This Row],[PurchaseDate]],"MMM")</f>
        <v>May</v>
      </c>
      <c r="H649">
        <v>2</v>
      </c>
      <c r="I649">
        <v>420.24</v>
      </c>
      <c r="J649" t="s">
        <v>1270</v>
      </c>
      <c r="K649" t="s">
        <v>38</v>
      </c>
      <c r="L649" t="s">
        <v>58</v>
      </c>
      <c r="M649">
        <v>4</v>
      </c>
      <c r="N649">
        <v>840.48</v>
      </c>
    </row>
    <row r="650" spans="1:14" x14ac:dyDescent="0.3">
      <c r="A650" t="s">
        <v>1051</v>
      </c>
      <c r="B650" t="s">
        <v>11</v>
      </c>
      <c r="C650" s="1">
        <v>45528</v>
      </c>
      <c r="D650" s="2">
        <f>YEAR(Table1[[#This Row],[PurchaseDate]])</f>
        <v>2024</v>
      </c>
      <c r="E650" s="2" t="str">
        <f>"Q"&amp;ROUNDUP(MONTH(Table1[[#This Row],[PurchaseDate]])/3,0)</f>
        <v>Q3</v>
      </c>
      <c r="F650" s="2">
        <f>MONTH(Table1[[#This Row],[PurchaseDate]])</f>
        <v>8</v>
      </c>
      <c r="G650" s="2" t="str">
        <f>TEXT(Table1[[#This Row],[PurchaseDate]],"MMM")</f>
        <v>Aug</v>
      </c>
      <c r="H650">
        <v>5</v>
      </c>
      <c r="I650">
        <v>114.53</v>
      </c>
      <c r="J650" t="s">
        <v>1052</v>
      </c>
      <c r="K650" t="s">
        <v>38</v>
      </c>
      <c r="L650" t="s">
        <v>27</v>
      </c>
      <c r="M650">
        <v>1</v>
      </c>
      <c r="N650">
        <v>572.65</v>
      </c>
    </row>
    <row r="651" spans="1:14" x14ac:dyDescent="0.3">
      <c r="A651" t="s">
        <v>1271</v>
      </c>
      <c r="B651" t="s">
        <v>16</v>
      </c>
      <c r="C651" s="1">
        <v>45643</v>
      </c>
      <c r="D651" s="2">
        <f>YEAR(Table1[[#This Row],[PurchaseDate]])</f>
        <v>2024</v>
      </c>
      <c r="E651" s="2" t="str">
        <f>"Q"&amp;ROUNDUP(MONTH(Table1[[#This Row],[PurchaseDate]])/3,0)</f>
        <v>Q4</v>
      </c>
      <c r="F651" s="2">
        <f>MONTH(Table1[[#This Row],[PurchaseDate]])</f>
        <v>12</v>
      </c>
      <c r="G651" s="2" t="str">
        <f>TEXT(Table1[[#This Row],[PurchaseDate]],"MMM")</f>
        <v>Dec</v>
      </c>
      <c r="H651">
        <v>2</v>
      </c>
      <c r="I651">
        <v>265.33999999999997</v>
      </c>
      <c r="J651" t="s">
        <v>1272</v>
      </c>
      <c r="K651" t="s">
        <v>38</v>
      </c>
      <c r="L651" t="s">
        <v>19</v>
      </c>
      <c r="M651">
        <v>2</v>
      </c>
      <c r="N651">
        <v>530.67999999999995</v>
      </c>
    </row>
    <row r="652" spans="1:14" x14ac:dyDescent="0.3">
      <c r="A652" t="s">
        <v>1273</v>
      </c>
      <c r="B652" t="s">
        <v>29</v>
      </c>
      <c r="C652" s="1">
        <v>44927</v>
      </c>
      <c r="D652" s="2">
        <f>YEAR(Table1[[#This Row],[PurchaseDate]])</f>
        <v>2023</v>
      </c>
      <c r="E652" s="2" t="str">
        <f>"Q"&amp;ROUNDUP(MONTH(Table1[[#This Row],[PurchaseDate]])/3,0)</f>
        <v>Q1</v>
      </c>
      <c r="F652" s="2">
        <f>MONTH(Table1[[#This Row],[PurchaseDate]])</f>
        <v>1</v>
      </c>
      <c r="G652" s="2" t="str">
        <f>TEXT(Table1[[#This Row],[PurchaseDate]],"MMM")</f>
        <v>Jan</v>
      </c>
      <c r="H652">
        <v>4</v>
      </c>
      <c r="I652">
        <v>757.23</v>
      </c>
      <c r="J652" t="s">
        <v>1274</v>
      </c>
      <c r="K652" t="s">
        <v>13</v>
      </c>
      <c r="L652" t="s">
        <v>14</v>
      </c>
      <c r="M652">
        <v>5</v>
      </c>
      <c r="N652">
        <v>3028.92</v>
      </c>
    </row>
    <row r="653" spans="1:14" x14ac:dyDescent="0.3">
      <c r="A653" t="s">
        <v>1275</v>
      </c>
      <c r="B653" t="s">
        <v>34</v>
      </c>
      <c r="C653" s="1">
        <v>45566</v>
      </c>
      <c r="D653" s="2">
        <f>YEAR(Table1[[#This Row],[PurchaseDate]])</f>
        <v>2024</v>
      </c>
      <c r="E653" s="2" t="str">
        <f>"Q"&amp;ROUNDUP(MONTH(Table1[[#This Row],[PurchaseDate]])/3,0)</f>
        <v>Q4</v>
      </c>
      <c r="F653" s="2">
        <f>MONTH(Table1[[#This Row],[PurchaseDate]])</f>
        <v>10</v>
      </c>
      <c r="G653" s="2" t="str">
        <f>TEXT(Table1[[#This Row],[PurchaseDate]],"MMM")</f>
        <v>Oct</v>
      </c>
      <c r="H653">
        <v>1</v>
      </c>
      <c r="I653">
        <v>698.52</v>
      </c>
      <c r="J653" t="s">
        <v>1276</v>
      </c>
      <c r="K653" t="s">
        <v>38</v>
      </c>
      <c r="L653" t="s">
        <v>27</v>
      </c>
      <c r="M653">
        <v>1</v>
      </c>
      <c r="N653">
        <v>698.52</v>
      </c>
    </row>
    <row r="654" spans="1:14" x14ac:dyDescent="0.3">
      <c r="A654" t="s">
        <v>1277</v>
      </c>
      <c r="B654" t="s">
        <v>16</v>
      </c>
      <c r="C654" s="1">
        <v>45634</v>
      </c>
      <c r="D654" s="2">
        <f>YEAR(Table1[[#This Row],[PurchaseDate]])</f>
        <v>2024</v>
      </c>
      <c r="E654" s="2" t="str">
        <f>"Q"&amp;ROUNDUP(MONTH(Table1[[#This Row],[PurchaseDate]])/3,0)</f>
        <v>Q4</v>
      </c>
      <c r="F654" s="2">
        <f>MONTH(Table1[[#This Row],[PurchaseDate]])</f>
        <v>12</v>
      </c>
      <c r="G654" s="2" t="str">
        <f>TEXT(Table1[[#This Row],[PurchaseDate]],"MMM")</f>
        <v>Dec</v>
      </c>
      <c r="H654">
        <v>8</v>
      </c>
      <c r="I654">
        <v>377.44</v>
      </c>
      <c r="J654" t="s">
        <v>1278</v>
      </c>
      <c r="K654" t="s">
        <v>18</v>
      </c>
      <c r="L654" t="s">
        <v>58</v>
      </c>
      <c r="M654">
        <v>5</v>
      </c>
      <c r="N654">
        <v>3019.52</v>
      </c>
    </row>
    <row r="655" spans="1:14" x14ac:dyDescent="0.3">
      <c r="A655" t="s">
        <v>1279</v>
      </c>
      <c r="B655" t="s">
        <v>21</v>
      </c>
      <c r="C655" s="1">
        <v>45255</v>
      </c>
      <c r="D655" s="2">
        <f>YEAR(Table1[[#This Row],[PurchaseDate]])</f>
        <v>2023</v>
      </c>
      <c r="E655" s="2" t="str">
        <f>"Q"&amp;ROUNDUP(MONTH(Table1[[#This Row],[PurchaseDate]])/3,0)</f>
        <v>Q4</v>
      </c>
      <c r="F655" s="2">
        <f>MONTH(Table1[[#This Row],[PurchaseDate]])</f>
        <v>11</v>
      </c>
      <c r="G655" s="2" t="str">
        <f>TEXT(Table1[[#This Row],[PurchaseDate]],"MMM")</f>
        <v>Nov</v>
      </c>
      <c r="H655">
        <v>3</v>
      </c>
      <c r="I655">
        <v>103.61</v>
      </c>
      <c r="J655" t="s">
        <v>1280</v>
      </c>
      <c r="K655" t="s">
        <v>18</v>
      </c>
      <c r="L655" t="s">
        <v>58</v>
      </c>
      <c r="M655">
        <v>4</v>
      </c>
      <c r="N655">
        <v>310.83</v>
      </c>
    </row>
    <row r="656" spans="1:14" x14ac:dyDescent="0.3">
      <c r="A656" t="s">
        <v>1281</v>
      </c>
      <c r="B656" t="s">
        <v>42</v>
      </c>
      <c r="C656" s="1">
        <v>45371</v>
      </c>
      <c r="D656" s="2">
        <f>YEAR(Table1[[#This Row],[PurchaseDate]])</f>
        <v>2024</v>
      </c>
      <c r="E656" s="2" t="str">
        <f>"Q"&amp;ROUNDUP(MONTH(Table1[[#This Row],[PurchaseDate]])/3,0)</f>
        <v>Q1</v>
      </c>
      <c r="F656" s="2">
        <f>MONTH(Table1[[#This Row],[PurchaseDate]])</f>
        <v>3</v>
      </c>
      <c r="G656" s="2" t="str">
        <f>TEXT(Table1[[#This Row],[PurchaseDate]],"MMM")</f>
        <v>Mar</v>
      </c>
      <c r="H656">
        <v>2</v>
      </c>
      <c r="I656">
        <v>504.13</v>
      </c>
      <c r="J656" t="s">
        <v>1282</v>
      </c>
      <c r="K656" t="s">
        <v>13</v>
      </c>
      <c r="L656" t="s">
        <v>14</v>
      </c>
      <c r="M656">
        <v>2</v>
      </c>
      <c r="N656">
        <v>1008.26</v>
      </c>
    </row>
    <row r="657" spans="1:14" x14ac:dyDescent="0.3">
      <c r="A657" t="s">
        <v>1283</v>
      </c>
      <c r="B657" t="s">
        <v>42</v>
      </c>
      <c r="C657" s="1">
        <v>45237</v>
      </c>
      <c r="D657" s="2">
        <f>YEAR(Table1[[#This Row],[PurchaseDate]])</f>
        <v>2023</v>
      </c>
      <c r="E657" s="2" t="str">
        <f>"Q"&amp;ROUNDUP(MONTH(Table1[[#This Row],[PurchaseDate]])/3,0)</f>
        <v>Q4</v>
      </c>
      <c r="F657" s="2">
        <f>MONTH(Table1[[#This Row],[PurchaseDate]])</f>
        <v>11</v>
      </c>
      <c r="G657" s="2" t="str">
        <f>TEXT(Table1[[#This Row],[PurchaseDate]],"MMM")</f>
        <v>Nov</v>
      </c>
      <c r="H657">
        <v>6</v>
      </c>
      <c r="I657">
        <v>574.6</v>
      </c>
      <c r="J657" t="s">
        <v>1284</v>
      </c>
      <c r="K657" t="s">
        <v>18</v>
      </c>
      <c r="L657" t="s">
        <v>19</v>
      </c>
      <c r="M657">
        <v>2</v>
      </c>
      <c r="N657">
        <v>3447.6</v>
      </c>
    </row>
    <row r="658" spans="1:14" x14ac:dyDescent="0.3">
      <c r="A658" t="s">
        <v>1285</v>
      </c>
      <c r="B658" t="s">
        <v>25</v>
      </c>
      <c r="C658" s="1">
        <v>45702</v>
      </c>
      <c r="D658" s="2">
        <f>YEAR(Table1[[#This Row],[PurchaseDate]])</f>
        <v>2025</v>
      </c>
      <c r="E658" s="2" t="str">
        <f>"Q"&amp;ROUNDUP(MONTH(Table1[[#This Row],[PurchaseDate]])/3,0)</f>
        <v>Q1</v>
      </c>
      <c r="F658" s="2">
        <f>MONTH(Table1[[#This Row],[PurchaseDate]])</f>
        <v>2</v>
      </c>
      <c r="G658" s="2" t="str">
        <f>TEXT(Table1[[#This Row],[PurchaseDate]],"MMM")</f>
        <v>Feb</v>
      </c>
      <c r="H658">
        <v>2</v>
      </c>
      <c r="I658">
        <v>201.7</v>
      </c>
      <c r="J658" t="s">
        <v>1286</v>
      </c>
      <c r="K658" t="s">
        <v>18</v>
      </c>
      <c r="L658" t="s">
        <v>19</v>
      </c>
      <c r="M658">
        <v>1</v>
      </c>
      <c r="N658">
        <v>403.4</v>
      </c>
    </row>
    <row r="659" spans="1:14" x14ac:dyDescent="0.3">
      <c r="A659" t="s">
        <v>1287</v>
      </c>
      <c r="B659" t="s">
        <v>21</v>
      </c>
      <c r="C659" s="1">
        <v>44975</v>
      </c>
      <c r="D659" s="2">
        <f>YEAR(Table1[[#This Row],[PurchaseDate]])</f>
        <v>2023</v>
      </c>
      <c r="E659" s="2" t="str">
        <f>"Q"&amp;ROUNDUP(MONTH(Table1[[#This Row],[PurchaseDate]])/3,0)</f>
        <v>Q1</v>
      </c>
      <c r="F659" s="2">
        <f>MONTH(Table1[[#This Row],[PurchaseDate]])</f>
        <v>2</v>
      </c>
      <c r="G659" s="2" t="str">
        <f>TEXT(Table1[[#This Row],[PurchaseDate]],"MMM")</f>
        <v>Feb</v>
      </c>
      <c r="H659">
        <v>3</v>
      </c>
      <c r="I659">
        <v>330.27</v>
      </c>
      <c r="J659" t="s">
        <v>1288</v>
      </c>
      <c r="K659" t="s">
        <v>38</v>
      </c>
      <c r="L659" t="s">
        <v>58</v>
      </c>
      <c r="M659">
        <v>2</v>
      </c>
      <c r="N659">
        <v>990.81</v>
      </c>
    </row>
    <row r="660" spans="1:14" x14ac:dyDescent="0.3">
      <c r="A660" t="s">
        <v>891</v>
      </c>
      <c r="B660" t="s">
        <v>11</v>
      </c>
      <c r="C660" s="1">
        <v>45019</v>
      </c>
      <c r="D660" s="2">
        <f>YEAR(Table1[[#This Row],[PurchaseDate]])</f>
        <v>2023</v>
      </c>
      <c r="E660" s="2" t="str">
        <f>"Q"&amp;ROUNDUP(MONTH(Table1[[#This Row],[PurchaseDate]])/3,0)</f>
        <v>Q2</v>
      </c>
      <c r="F660" s="2">
        <f>MONTH(Table1[[#This Row],[PurchaseDate]])</f>
        <v>4</v>
      </c>
      <c r="G660" s="2" t="str">
        <f>TEXT(Table1[[#This Row],[PurchaseDate]],"MMM")</f>
        <v>Apr</v>
      </c>
      <c r="H660">
        <v>3</v>
      </c>
      <c r="I660">
        <v>116.05</v>
      </c>
      <c r="J660" t="s">
        <v>892</v>
      </c>
      <c r="K660" t="s">
        <v>38</v>
      </c>
      <c r="L660" t="s">
        <v>14</v>
      </c>
      <c r="M660">
        <v>1</v>
      </c>
      <c r="N660">
        <v>348.15</v>
      </c>
    </row>
    <row r="661" spans="1:14" x14ac:dyDescent="0.3">
      <c r="A661" t="s">
        <v>1289</v>
      </c>
      <c r="B661" t="s">
        <v>29</v>
      </c>
      <c r="C661" s="1">
        <v>45708</v>
      </c>
      <c r="D661" s="2">
        <f>YEAR(Table1[[#This Row],[PurchaseDate]])</f>
        <v>2025</v>
      </c>
      <c r="E661" s="2" t="str">
        <f>"Q"&amp;ROUNDUP(MONTH(Table1[[#This Row],[PurchaseDate]])/3,0)</f>
        <v>Q1</v>
      </c>
      <c r="F661" s="2">
        <f>MONTH(Table1[[#This Row],[PurchaseDate]])</f>
        <v>2</v>
      </c>
      <c r="G661" s="2" t="str">
        <f>TEXT(Table1[[#This Row],[PurchaseDate]],"MMM")</f>
        <v>Feb</v>
      </c>
      <c r="H661">
        <v>8</v>
      </c>
      <c r="I661">
        <v>204.55</v>
      </c>
      <c r="J661" t="s">
        <v>1290</v>
      </c>
      <c r="K661" t="s">
        <v>38</v>
      </c>
      <c r="L661" t="s">
        <v>27</v>
      </c>
      <c r="M661">
        <v>5</v>
      </c>
      <c r="N661">
        <v>1636.4</v>
      </c>
    </row>
    <row r="662" spans="1:14" x14ac:dyDescent="0.3">
      <c r="A662" t="s">
        <v>1291</v>
      </c>
      <c r="B662" t="s">
        <v>16</v>
      </c>
      <c r="C662" s="1">
        <v>45231</v>
      </c>
      <c r="D662" s="2">
        <f>YEAR(Table1[[#This Row],[PurchaseDate]])</f>
        <v>2023</v>
      </c>
      <c r="E662" s="2" t="str">
        <f>"Q"&amp;ROUNDUP(MONTH(Table1[[#This Row],[PurchaseDate]])/3,0)</f>
        <v>Q4</v>
      </c>
      <c r="F662" s="2">
        <f>MONTH(Table1[[#This Row],[PurchaseDate]])</f>
        <v>11</v>
      </c>
      <c r="G662" s="2" t="str">
        <f>TEXT(Table1[[#This Row],[PurchaseDate]],"MMM")</f>
        <v>Nov</v>
      </c>
      <c r="H662">
        <v>2</v>
      </c>
      <c r="I662">
        <v>638.58000000000004</v>
      </c>
      <c r="J662" t="s">
        <v>1292</v>
      </c>
      <c r="K662" t="s">
        <v>18</v>
      </c>
      <c r="L662" t="s">
        <v>19</v>
      </c>
      <c r="M662">
        <v>1</v>
      </c>
      <c r="N662">
        <v>1277.1600000000001</v>
      </c>
    </row>
    <row r="663" spans="1:14" x14ac:dyDescent="0.3">
      <c r="A663" t="s">
        <v>1293</v>
      </c>
      <c r="B663" t="s">
        <v>42</v>
      </c>
      <c r="C663" s="1">
        <v>45081</v>
      </c>
      <c r="D663" s="2">
        <f>YEAR(Table1[[#This Row],[PurchaseDate]])</f>
        <v>2023</v>
      </c>
      <c r="E663" s="2" t="str">
        <f>"Q"&amp;ROUNDUP(MONTH(Table1[[#This Row],[PurchaseDate]])/3,0)</f>
        <v>Q2</v>
      </c>
      <c r="F663" s="2">
        <f>MONTH(Table1[[#This Row],[PurchaseDate]])</f>
        <v>6</v>
      </c>
      <c r="G663" s="2" t="str">
        <f>TEXT(Table1[[#This Row],[PurchaseDate]],"MMM")</f>
        <v>Jun</v>
      </c>
      <c r="H663">
        <v>5</v>
      </c>
      <c r="I663">
        <v>434.71</v>
      </c>
      <c r="J663" t="s">
        <v>1294</v>
      </c>
      <c r="K663" t="s">
        <v>13</v>
      </c>
      <c r="L663" t="s">
        <v>58</v>
      </c>
      <c r="M663">
        <v>5</v>
      </c>
      <c r="N663">
        <v>2173.5500000000002</v>
      </c>
    </row>
    <row r="664" spans="1:14" x14ac:dyDescent="0.3">
      <c r="A664" t="s">
        <v>1295</v>
      </c>
      <c r="B664" t="s">
        <v>21</v>
      </c>
      <c r="C664" s="1">
        <v>45156</v>
      </c>
      <c r="D664" s="2">
        <f>YEAR(Table1[[#This Row],[PurchaseDate]])</f>
        <v>2023</v>
      </c>
      <c r="E664" s="2" t="str">
        <f>"Q"&amp;ROUNDUP(MONTH(Table1[[#This Row],[PurchaseDate]])/3,0)</f>
        <v>Q3</v>
      </c>
      <c r="F664" s="2">
        <f>MONTH(Table1[[#This Row],[PurchaseDate]])</f>
        <v>8</v>
      </c>
      <c r="G664" s="2" t="str">
        <f>TEXT(Table1[[#This Row],[PurchaseDate]],"MMM")</f>
        <v>Aug</v>
      </c>
      <c r="H664">
        <v>1</v>
      </c>
      <c r="I664">
        <v>247.15</v>
      </c>
      <c r="J664" t="s">
        <v>1296</v>
      </c>
      <c r="K664" t="s">
        <v>18</v>
      </c>
      <c r="L664" t="s">
        <v>14</v>
      </c>
      <c r="M664">
        <v>1</v>
      </c>
      <c r="N664">
        <v>247.15</v>
      </c>
    </row>
    <row r="665" spans="1:14" x14ac:dyDescent="0.3">
      <c r="A665" t="s">
        <v>1297</v>
      </c>
      <c r="B665" t="s">
        <v>42</v>
      </c>
      <c r="C665" s="1">
        <v>44927</v>
      </c>
      <c r="D665" s="2">
        <f>YEAR(Table1[[#This Row],[PurchaseDate]])</f>
        <v>2023</v>
      </c>
      <c r="E665" s="2" t="str">
        <f>"Q"&amp;ROUNDUP(MONTH(Table1[[#This Row],[PurchaseDate]])/3,0)</f>
        <v>Q1</v>
      </c>
      <c r="F665" s="2">
        <f>MONTH(Table1[[#This Row],[PurchaseDate]])</f>
        <v>1</v>
      </c>
      <c r="G665" s="2" t="str">
        <f>TEXT(Table1[[#This Row],[PurchaseDate]],"MMM")</f>
        <v>Jan</v>
      </c>
      <c r="H665">
        <v>8</v>
      </c>
      <c r="I665">
        <v>616.36</v>
      </c>
      <c r="J665" t="s">
        <v>1298</v>
      </c>
      <c r="K665" t="s">
        <v>18</v>
      </c>
      <c r="L665" t="s">
        <v>27</v>
      </c>
      <c r="M665">
        <v>5</v>
      </c>
      <c r="N665">
        <v>4930.88</v>
      </c>
    </row>
    <row r="666" spans="1:14" x14ac:dyDescent="0.3">
      <c r="A666" t="s">
        <v>1299</v>
      </c>
      <c r="B666" t="s">
        <v>21</v>
      </c>
      <c r="C666" s="1">
        <v>45675</v>
      </c>
      <c r="D666" s="2">
        <f>YEAR(Table1[[#This Row],[PurchaseDate]])</f>
        <v>2025</v>
      </c>
      <c r="E666" s="2" t="str">
        <f>"Q"&amp;ROUNDUP(MONTH(Table1[[#This Row],[PurchaseDate]])/3,0)</f>
        <v>Q1</v>
      </c>
      <c r="F666" s="2">
        <f>MONTH(Table1[[#This Row],[PurchaseDate]])</f>
        <v>1</v>
      </c>
      <c r="G666" s="2" t="str">
        <f>TEXT(Table1[[#This Row],[PurchaseDate]],"MMM")</f>
        <v>Jan</v>
      </c>
      <c r="H666">
        <v>7</v>
      </c>
      <c r="I666">
        <v>287.77999999999997</v>
      </c>
      <c r="J666" t="s">
        <v>1300</v>
      </c>
      <c r="K666" t="s">
        <v>18</v>
      </c>
      <c r="L666" t="s">
        <v>23</v>
      </c>
      <c r="M666">
        <v>4</v>
      </c>
      <c r="N666">
        <v>2014.46</v>
      </c>
    </row>
    <row r="667" spans="1:14" x14ac:dyDescent="0.3">
      <c r="A667" t="s">
        <v>1301</v>
      </c>
      <c r="B667" t="s">
        <v>42</v>
      </c>
      <c r="C667" s="1">
        <v>45153</v>
      </c>
      <c r="D667" s="2">
        <f>YEAR(Table1[[#This Row],[PurchaseDate]])</f>
        <v>2023</v>
      </c>
      <c r="E667" s="2" t="str">
        <f>"Q"&amp;ROUNDUP(MONTH(Table1[[#This Row],[PurchaseDate]])/3,0)</f>
        <v>Q3</v>
      </c>
      <c r="F667" s="2">
        <f>MONTH(Table1[[#This Row],[PurchaseDate]])</f>
        <v>8</v>
      </c>
      <c r="G667" s="2" t="str">
        <f>TEXT(Table1[[#This Row],[PurchaseDate]],"MMM")</f>
        <v>Aug</v>
      </c>
      <c r="H667">
        <v>4</v>
      </c>
      <c r="I667">
        <v>746.8</v>
      </c>
      <c r="J667" t="s">
        <v>1302</v>
      </c>
      <c r="K667" t="s">
        <v>13</v>
      </c>
      <c r="L667" t="s">
        <v>58</v>
      </c>
      <c r="M667">
        <v>5</v>
      </c>
      <c r="N667">
        <v>2987.2</v>
      </c>
    </row>
    <row r="668" spans="1:14" x14ac:dyDescent="0.3">
      <c r="A668" t="s">
        <v>1303</v>
      </c>
      <c r="B668" t="s">
        <v>16</v>
      </c>
      <c r="C668" s="1">
        <v>45422</v>
      </c>
      <c r="D668" s="2">
        <f>YEAR(Table1[[#This Row],[PurchaseDate]])</f>
        <v>2024</v>
      </c>
      <c r="E668" s="2" t="str">
        <f>"Q"&amp;ROUNDUP(MONTH(Table1[[#This Row],[PurchaseDate]])/3,0)</f>
        <v>Q2</v>
      </c>
      <c r="F668" s="2">
        <f>MONTH(Table1[[#This Row],[PurchaseDate]])</f>
        <v>5</v>
      </c>
      <c r="G668" s="2" t="str">
        <f>TEXT(Table1[[#This Row],[PurchaseDate]],"MMM")</f>
        <v>May</v>
      </c>
      <c r="H668">
        <v>6</v>
      </c>
      <c r="I668">
        <v>76.42</v>
      </c>
      <c r="J668" t="s">
        <v>1304</v>
      </c>
      <c r="K668" t="s">
        <v>13</v>
      </c>
      <c r="L668" t="s">
        <v>14</v>
      </c>
      <c r="M668">
        <v>3</v>
      </c>
      <c r="N668">
        <v>458.52</v>
      </c>
    </row>
    <row r="669" spans="1:14" x14ac:dyDescent="0.3">
      <c r="A669" t="s">
        <v>1305</v>
      </c>
      <c r="B669" t="s">
        <v>11</v>
      </c>
      <c r="C669" s="1">
        <v>45588</v>
      </c>
      <c r="D669" s="2">
        <f>YEAR(Table1[[#This Row],[PurchaseDate]])</f>
        <v>2024</v>
      </c>
      <c r="E669" s="2" t="str">
        <f>"Q"&amp;ROUNDUP(MONTH(Table1[[#This Row],[PurchaseDate]])/3,0)</f>
        <v>Q4</v>
      </c>
      <c r="F669" s="2">
        <f>MONTH(Table1[[#This Row],[PurchaseDate]])</f>
        <v>10</v>
      </c>
      <c r="G669" s="2" t="str">
        <f>TEXT(Table1[[#This Row],[PurchaseDate]],"MMM")</f>
        <v>Oct</v>
      </c>
      <c r="H669">
        <v>5</v>
      </c>
      <c r="I669">
        <v>382.32</v>
      </c>
      <c r="J669" t="s">
        <v>1306</v>
      </c>
      <c r="K669" t="s">
        <v>38</v>
      </c>
      <c r="L669" t="s">
        <v>19</v>
      </c>
      <c r="M669">
        <v>3</v>
      </c>
      <c r="N669">
        <v>1911.6</v>
      </c>
    </row>
    <row r="670" spans="1:14" x14ac:dyDescent="0.3">
      <c r="A670" t="s">
        <v>1307</v>
      </c>
      <c r="B670" t="s">
        <v>29</v>
      </c>
      <c r="C670" s="1">
        <v>45335</v>
      </c>
      <c r="D670" s="2">
        <f>YEAR(Table1[[#This Row],[PurchaseDate]])</f>
        <v>2024</v>
      </c>
      <c r="E670" s="2" t="str">
        <f>"Q"&amp;ROUNDUP(MONTH(Table1[[#This Row],[PurchaseDate]])/3,0)</f>
        <v>Q1</v>
      </c>
      <c r="F670" s="2">
        <f>MONTH(Table1[[#This Row],[PurchaseDate]])</f>
        <v>2</v>
      </c>
      <c r="G670" s="2" t="str">
        <f>TEXT(Table1[[#This Row],[PurchaseDate]],"MMM")</f>
        <v>Feb</v>
      </c>
      <c r="H670">
        <v>6</v>
      </c>
      <c r="I670">
        <v>295.33999999999997</v>
      </c>
      <c r="J670" t="s">
        <v>1308</v>
      </c>
      <c r="K670" t="s">
        <v>38</v>
      </c>
      <c r="L670" t="s">
        <v>19</v>
      </c>
      <c r="M670">
        <v>3</v>
      </c>
      <c r="N670">
        <v>1772.04</v>
      </c>
    </row>
    <row r="671" spans="1:14" x14ac:dyDescent="0.3">
      <c r="A671" t="s">
        <v>1309</v>
      </c>
      <c r="B671" t="s">
        <v>34</v>
      </c>
      <c r="C671" s="1">
        <v>44971</v>
      </c>
      <c r="D671" s="2">
        <f>YEAR(Table1[[#This Row],[PurchaseDate]])</f>
        <v>2023</v>
      </c>
      <c r="E671" s="2" t="str">
        <f>"Q"&amp;ROUNDUP(MONTH(Table1[[#This Row],[PurchaseDate]])/3,0)</f>
        <v>Q1</v>
      </c>
      <c r="F671" s="2">
        <f>MONTH(Table1[[#This Row],[PurchaseDate]])</f>
        <v>2</v>
      </c>
      <c r="G671" s="2" t="str">
        <f>TEXT(Table1[[#This Row],[PurchaseDate]],"MMM")</f>
        <v>Feb</v>
      </c>
      <c r="H671">
        <v>4</v>
      </c>
      <c r="I671">
        <v>350.18</v>
      </c>
      <c r="J671" t="s">
        <v>1310</v>
      </c>
      <c r="K671" t="s">
        <v>38</v>
      </c>
      <c r="L671" t="s">
        <v>19</v>
      </c>
      <c r="M671">
        <v>5</v>
      </c>
      <c r="N671">
        <v>1400.72</v>
      </c>
    </row>
    <row r="672" spans="1:14" x14ac:dyDescent="0.3">
      <c r="A672" t="s">
        <v>1311</v>
      </c>
      <c r="B672" t="s">
        <v>21</v>
      </c>
      <c r="C672" s="1">
        <v>45101</v>
      </c>
      <c r="D672" s="2">
        <f>YEAR(Table1[[#This Row],[PurchaseDate]])</f>
        <v>2023</v>
      </c>
      <c r="E672" s="2" t="str">
        <f>"Q"&amp;ROUNDUP(MONTH(Table1[[#This Row],[PurchaseDate]])/3,0)</f>
        <v>Q2</v>
      </c>
      <c r="F672" s="2">
        <f>MONTH(Table1[[#This Row],[PurchaseDate]])</f>
        <v>6</v>
      </c>
      <c r="G672" s="2" t="str">
        <f>TEXT(Table1[[#This Row],[PurchaseDate]],"MMM")</f>
        <v>Jun</v>
      </c>
      <c r="H672">
        <v>1</v>
      </c>
      <c r="I672">
        <v>580.23</v>
      </c>
      <c r="J672" t="s">
        <v>1312</v>
      </c>
      <c r="K672" t="s">
        <v>13</v>
      </c>
      <c r="L672" t="s">
        <v>27</v>
      </c>
      <c r="M672">
        <v>4</v>
      </c>
      <c r="N672">
        <v>580.23</v>
      </c>
    </row>
    <row r="673" spans="1:14" x14ac:dyDescent="0.3">
      <c r="A673" t="s">
        <v>1313</v>
      </c>
      <c r="B673" t="s">
        <v>42</v>
      </c>
      <c r="C673" s="1">
        <v>45334</v>
      </c>
      <c r="D673" s="2">
        <f>YEAR(Table1[[#This Row],[PurchaseDate]])</f>
        <v>2024</v>
      </c>
      <c r="E673" s="2" t="str">
        <f>"Q"&amp;ROUNDUP(MONTH(Table1[[#This Row],[PurchaseDate]])/3,0)</f>
        <v>Q1</v>
      </c>
      <c r="F673" s="2">
        <f>MONTH(Table1[[#This Row],[PurchaseDate]])</f>
        <v>2</v>
      </c>
      <c r="G673" s="2" t="str">
        <f>TEXT(Table1[[#This Row],[PurchaseDate]],"MMM")</f>
        <v>Feb</v>
      </c>
      <c r="H673">
        <v>8</v>
      </c>
      <c r="I673">
        <v>605.27</v>
      </c>
      <c r="J673" t="s">
        <v>1314</v>
      </c>
      <c r="K673" t="s">
        <v>13</v>
      </c>
      <c r="L673" t="s">
        <v>23</v>
      </c>
      <c r="M673">
        <v>5</v>
      </c>
      <c r="N673">
        <v>4842.16</v>
      </c>
    </row>
    <row r="674" spans="1:14" x14ac:dyDescent="0.3">
      <c r="A674" t="s">
        <v>1315</v>
      </c>
      <c r="B674" t="s">
        <v>21</v>
      </c>
      <c r="C674" s="1">
        <v>45534</v>
      </c>
      <c r="D674" s="2">
        <f>YEAR(Table1[[#This Row],[PurchaseDate]])</f>
        <v>2024</v>
      </c>
      <c r="E674" s="2" t="str">
        <f>"Q"&amp;ROUNDUP(MONTH(Table1[[#This Row],[PurchaseDate]])/3,0)</f>
        <v>Q3</v>
      </c>
      <c r="F674" s="2">
        <f>MONTH(Table1[[#This Row],[PurchaseDate]])</f>
        <v>8</v>
      </c>
      <c r="G674" s="2" t="str">
        <f>TEXT(Table1[[#This Row],[PurchaseDate]],"MMM")</f>
        <v>Aug</v>
      </c>
      <c r="H674">
        <v>4</v>
      </c>
      <c r="I674">
        <v>604.77</v>
      </c>
      <c r="J674" t="s">
        <v>1316</v>
      </c>
      <c r="K674" t="s">
        <v>38</v>
      </c>
      <c r="L674" t="s">
        <v>19</v>
      </c>
      <c r="M674">
        <v>5</v>
      </c>
      <c r="N674">
        <v>2419.08</v>
      </c>
    </row>
    <row r="675" spans="1:14" x14ac:dyDescent="0.3">
      <c r="A675" t="s">
        <v>1317</v>
      </c>
      <c r="B675" t="s">
        <v>42</v>
      </c>
      <c r="C675" s="1">
        <v>45406</v>
      </c>
      <c r="D675" s="2">
        <f>YEAR(Table1[[#This Row],[PurchaseDate]])</f>
        <v>2024</v>
      </c>
      <c r="E675" s="2" t="str">
        <f>"Q"&amp;ROUNDUP(MONTH(Table1[[#This Row],[PurchaseDate]])/3,0)</f>
        <v>Q2</v>
      </c>
      <c r="F675" s="2">
        <f>MONTH(Table1[[#This Row],[PurchaseDate]])</f>
        <v>4</v>
      </c>
      <c r="G675" s="2" t="str">
        <f>TEXT(Table1[[#This Row],[PurchaseDate]],"MMM")</f>
        <v>Apr</v>
      </c>
      <c r="H675">
        <v>8</v>
      </c>
      <c r="I675">
        <v>456.32</v>
      </c>
      <c r="J675" t="s">
        <v>1318</v>
      </c>
      <c r="K675" t="s">
        <v>18</v>
      </c>
      <c r="L675" t="s">
        <v>27</v>
      </c>
      <c r="M675">
        <v>2</v>
      </c>
      <c r="N675">
        <v>3650.56</v>
      </c>
    </row>
    <row r="676" spans="1:14" x14ac:dyDescent="0.3">
      <c r="A676" t="s">
        <v>1319</v>
      </c>
      <c r="B676" t="s">
        <v>34</v>
      </c>
      <c r="C676" s="1">
        <v>45356</v>
      </c>
      <c r="D676" s="2">
        <f>YEAR(Table1[[#This Row],[PurchaseDate]])</f>
        <v>2024</v>
      </c>
      <c r="E676" s="2" t="str">
        <f>"Q"&amp;ROUNDUP(MONTH(Table1[[#This Row],[PurchaseDate]])/3,0)</f>
        <v>Q1</v>
      </c>
      <c r="F676" s="2">
        <f>MONTH(Table1[[#This Row],[PurchaseDate]])</f>
        <v>3</v>
      </c>
      <c r="G676" s="2" t="str">
        <f>TEXT(Table1[[#This Row],[PurchaseDate]],"MMM")</f>
        <v>Mar</v>
      </c>
      <c r="H676">
        <v>2</v>
      </c>
      <c r="I676">
        <v>757.62</v>
      </c>
      <c r="J676" t="s">
        <v>1320</v>
      </c>
      <c r="K676" t="s">
        <v>18</v>
      </c>
      <c r="L676" t="s">
        <v>58</v>
      </c>
      <c r="M676">
        <v>1</v>
      </c>
      <c r="N676">
        <v>1515.24</v>
      </c>
    </row>
    <row r="677" spans="1:14" x14ac:dyDescent="0.3">
      <c r="A677" t="s">
        <v>1321</v>
      </c>
      <c r="B677" t="s">
        <v>11</v>
      </c>
      <c r="C677" s="1">
        <v>45579</v>
      </c>
      <c r="D677" s="2">
        <f>YEAR(Table1[[#This Row],[PurchaseDate]])</f>
        <v>2024</v>
      </c>
      <c r="E677" s="2" t="str">
        <f>"Q"&amp;ROUNDUP(MONTH(Table1[[#This Row],[PurchaseDate]])/3,0)</f>
        <v>Q4</v>
      </c>
      <c r="F677" s="2">
        <f>MONTH(Table1[[#This Row],[PurchaseDate]])</f>
        <v>10</v>
      </c>
      <c r="G677" s="2" t="str">
        <f>TEXT(Table1[[#This Row],[PurchaseDate]],"MMM")</f>
        <v>Oct</v>
      </c>
      <c r="H677">
        <v>2</v>
      </c>
      <c r="I677">
        <v>322.20999999999998</v>
      </c>
      <c r="J677" t="s">
        <v>1322</v>
      </c>
      <c r="K677" t="s">
        <v>18</v>
      </c>
      <c r="L677" t="s">
        <v>19</v>
      </c>
      <c r="M677">
        <v>2</v>
      </c>
      <c r="N677">
        <v>644.41999999999996</v>
      </c>
    </row>
    <row r="678" spans="1:14" x14ac:dyDescent="0.3">
      <c r="A678" t="s">
        <v>1323</v>
      </c>
      <c r="B678" t="s">
        <v>25</v>
      </c>
      <c r="C678" s="1">
        <v>45826</v>
      </c>
      <c r="D678" s="2">
        <f>YEAR(Table1[[#This Row],[PurchaseDate]])</f>
        <v>2025</v>
      </c>
      <c r="E678" s="2" t="str">
        <f>"Q"&amp;ROUNDUP(MONTH(Table1[[#This Row],[PurchaseDate]])/3,0)</f>
        <v>Q2</v>
      </c>
      <c r="F678" s="2">
        <f>MONTH(Table1[[#This Row],[PurchaseDate]])</f>
        <v>6</v>
      </c>
      <c r="G678" s="2" t="str">
        <f>TEXT(Table1[[#This Row],[PurchaseDate]],"MMM")</f>
        <v>Jun</v>
      </c>
      <c r="H678">
        <v>3</v>
      </c>
      <c r="I678">
        <v>195.52</v>
      </c>
      <c r="J678" t="s">
        <v>1324</v>
      </c>
      <c r="K678" t="s">
        <v>38</v>
      </c>
      <c r="L678" t="s">
        <v>58</v>
      </c>
      <c r="M678">
        <v>1</v>
      </c>
      <c r="N678">
        <v>586.55999999999995</v>
      </c>
    </row>
    <row r="679" spans="1:14" x14ac:dyDescent="0.3">
      <c r="A679" t="s">
        <v>1325</v>
      </c>
      <c r="B679" t="s">
        <v>25</v>
      </c>
      <c r="C679" s="1">
        <v>45071</v>
      </c>
      <c r="D679" s="2">
        <f>YEAR(Table1[[#This Row],[PurchaseDate]])</f>
        <v>2023</v>
      </c>
      <c r="E679" s="2" t="str">
        <f>"Q"&amp;ROUNDUP(MONTH(Table1[[#This Row],[PurchaseDate]])/3,0)</f>
        <v>Q2</v>
      </c>
      <c r="F679" s="2">
        <f>MONTH(Table1[[#This Row],[PurchaseDate]])</f>
        <v>5</v>
      </c>
      <c r="G679" s="2" t="str">
        <f>TEXT(Table1[[#This Row],[PurchaseDate]],"MMM")</f>
        <v>May</v>
      </c>
      <c r="H679">
        <v>1</v>
      </c>
      <c r="I679">
        <v>614.88</v>
      </c>
      <c r="J679" t="s">
        <v>1326</v>
      </c>
      <c r="K679" t="s">
        <v>13</v>
      </c>
      <c r="L679" t="s">
        <v>19</v>
      </c>
      <c r="M679">
        <v>2</v>
      </c>
      <c r="N679">
        <v>614.88</v>
      </c>
    </row>
    <row r="680" spans="1:14" x14ac:dyDescent="0.3">
      <c r="A680" t="s">
        <v>1327</v>
      </c>
      <c r="B680" t="s">
        <v>42</v>
      </c>
      <c r="C680" s="1">
        <v>45148</v>
      </c>
      <c r="D680" s="2">
        <f>YEAR(Table1[[#This Row],[PurchaseDate]])</f>
        <v>2023</v>
      </c>
      <c r="E680" s="2" t="str">
        <f>"Q"&amp;ROUNDUP(MONTH(Table1[[#This Row],[PurchaseDate]])/3,0)</f>
        <v>Q3</v>
      </c>
      <c r="F680" s="2">
        <f>MONTH(Table1[[#This Row],[PurchaseDate]])</f>
        <v>8</v>
      </c>
      <c r="G680" s="2" t="str">
        <f>TEXT(Table1[[#This Row],[PurchaseDate]],"MMM")</f>
        <v>Aug</v>
      </c>
      <c r="H680">
        <v>2</v>
      </c>
      <c r="I680">
        <v>408.62</v>
      </c>
      <c r="J680" t="s">
        <v>1328</v>
      </c>
      <c r="K680" t="s">
        <v>18</v>
      </c>
      <c r="L680" t="s">
        <v>27</v>
      </c>
      <c r="M680">
        <v>5</v>
      </c>
      <c r="N680">
        <v>817.24</v>
      </c>
    </row>
    <row r="681" spans="1:14" x14ac:dyDescent="0.3">
      <c r="A681" t="s">
        <v>1329</v>
      </c>
      <c r="B681" t="s">
        <v>16</v>
      </c>
      <c r="C681" s="1">
        <v>45033</v>
      </c>
      <c r="D681" s="2">
        <f>YEAR(Table1[[#This Row],[PurchaseDate]])</f>
        <v>2023</v>
      </c>
      <c r="E681" s="2" t="str">
        <f>"Q"&amp;ROUNDUP(MONTH(Table1[[#This Row],[PurchaseDate]])/3,0)</f>
        <v>Q2</v>
      </c>
      <c r="F681" s="2">
        <f>MONTH(Table1[[#This Row],[PurchaseDate]])</f>
        <v>4</v>
      </c>
      <c r="G681" s="2" t="str">
        <f>TEXT(Table1[[#This Row],[PurchaseDate]],"MMM")</f>
        <v>Apr</v>
      </c>
      <c r="H681">
        <v>3</v>
      </c>
      <c r="I681">
        <v>754.36</v>
      </c>
      <c r="J681" t="s">
        <v>1330</v>
      </c>
      <c r="K681" t="s">
        <v>18</v>
      </c>
      <c r="L681" t="s">
        <v>58</v>
      </c>
      <c r="M681">
        <v>2</v>
      </c>
      <c r="N681">
        <v>2263.08</v>
      </c>
    </row>
    <row r="682" spans="1:14" x14ac:dyDescent="0.3">
      <c r="A682" t="s">
        <v>1331</v>
      </c>
      <c r="B682" t="s">
        <v>16</v>
      </c>
      <c r="C682" s="1">
        <v>44935</v>
      </c>
      <c r="D682" s="2">
        <f>YEAR(Table1[[#This Row],[PurchaseDate]])</f>
        <v>2023</v>
      </c>
      <c r="E682" s="2" t="str">
        <f>"Q"&amp;ROUNDUP(MONTH(Table1[[#This Row],[PurchaseDate]])/3,0)</f>
        <v>Q1</v>
      </c>
      <c r="F682" s="2">
        <f>MONTH(Table1[[#This Row],[PurchaseDate]])</f>
        <v>1</v>
      </c>
      <c r="G682" s="2" t="str">
        <f>TEXT(Table1[[#This Row],[PurchaseDate]],"MMM")</f>
        <v>Jan</v>
      </c>
      <c r="H682">
        <v>8</v>
      </c>
      <c r="I682">
        <v>356.19</v>
      </c>
      <c r="J682" t="s">
        <v>1332</v>
      </c>
      <c r="K682" t="s">
        <v>13</v>
      </c>
      <c r="L682" t="s">
        <v>14</v>
      </c>
      <c r="M682">
        <v>4</v>
      </c>
      <c r="N682">
        <v>2849.52</v>
      </c>
    </row>
    <row r="683" spans="1:14" x14ac:dyDescent="0.3">
      <c r="A683" t="s">
        <v>1333</v>
      </c>
      <c r="B683" t="s">
        <v>21</v>
      </c>
      <c r="C683" s="1">
        <v>45838</v>
      </c>
      <c r="D683" s="2">
        <f>YEAR(Table1[[#This Row],[PurchaseDate]])</f>
        <v>2025</v>
      </c>
      <c r="E683" s="2" t="str">
        <f>"Q"&amp;ROUNDUP(MONTH(Table1[[#This Row],[PurchaseDate]])/3,0)</f>
        <v>Q2</v>
      </c>
      <c r="F683" s="2">
        <f>MONTH(Table1[[#This Row],[PurchaseDate]])</f>
        <v>6</v>
      </c>
      <c r="G683" s="2" t="str">
        <f>TEXT(Table1[[#This Row],[PurchaseDate]],"MMM")</f>
        <v>Jun</v>
      </c>
      <c r="H683">
        <v>3</v>
      </c>
      <c r="I683">
        <v>141.28</v>
      </c>
      <c r="J683" t="s">
        <v>1334</v>
      </c>
      <c r="K683" t="s">
        <v>38</v>
      </c>
      <c r="L683" t="s">
        <v>58</v>
      </c>
      <c r="M683">
        <v>5</v>
      </c>
      <c r="N683">
        <v>423.84</v>
      </c>
    </row>
    <row r="684" spans="1:14" x14ac:dyDescent="0.3">
      <c r="A684" t="s">
        <v>1335</v>
      </c>
      <c r="B684" t="s">
        <v>21</v>
      </c>
      <c r="C684" s="1">
        <v>45272</v>
      </c>
      <c r="D684" s="2">
        <f>YEAR(Table1[[#This Row],[PurchaseDate]])</f>
        <v>2023</v>
      </c>
      <c r="E684" s="2" t="str">
        <f>"Q"&amp;ROUNDUP(MONTH(Table1[[#This Row],[PurchaseDate]])/3,0)</f>
        <v>Q4</v>
      </c>
      <c r="F684" s="2">
        <f>MONTH(Table1[[#This Row],[PurchaseDate]])</f>
        <v>12</v>
      </c>
      <c r="G684" s="2" t="str">
        <f>TEXT(Table1[[#This Row],[PurchaseDate]],"MMM")</f>
        <v>Dec</v>
      </c>
      <c r="H684">
        <v>5</v>
      </c>
      <c r="I684">
        <v>739.13</v>
      </c>
      <c r="J684" t="s">
        <v>1336</v>
      </c>
      <c r="K684" t="s">
        <v>13</v>
      </c>
      <c r="L684" t="s">
        <v>23</v>
      </c>
      <c r="M684">
        <v>4</v>
      </c>
      <c r="N684">
        <v>3695.65</v>
      </c>
    </row>
    <row r="685" spans="1:14" x14ac:dyDescent="0.3">
      <c r="A685" t="s">
        <v>1337</v>
      </c>
      <c r="B685" t="s">
        <v>42</v>
      </c>
      <c r="C685" s="1">
        <v>45086</v>
      </c>
      <c r="D685" s="2">
        <f>YEAR(Table1[[#This Row],[PurchaseDate]])</f>
        <v>2023</v>
      </c>
      <c r="E685" s="2" t="str">
        <f>"Q"&amp;ROUNDUP(MONTH(Table1[[#This Row],[PurchaseDate]])/3,0)</f>
        <v>Q2</v>
      </c>
      <c r="F685" s="2">
        <f>MONTH(Table1[[#This Row],[PurchaseDate]])</f>
        <v>6</v>
      </c>
      <c r="G685" s="2" t="str">
        <f>TEXT(Table1[[#This Row],[PurchaseDate]],"MMM")</f>
        <v>Jun</v>
      </c>
      <c r="H685">
        <v>6</v>
      </c>
      <c r="I685">
        <v>187.11</v>
      </c>
      <c r="J685" t="s">
        <v>1338</v>
      </c>
      <c r="K685" t="s">
        <v>18</v>
      </c>
      <c r="L685" t="s">
        <v>19</v>
      </c>
      <c r="M685">
        <v>1</v>
      </c>
      <c r="N685">
        <v>1122.6600000000001</v>
      </c>
    </row>
    <row r="686" spans="1:14" x14ac:dyDescent="0.3">
      <c r="A686" t="s">
        <v>1339</v>
      </c>
      <c r="B686" t="s">
        <v>11</v>
      </c>
      <c r="C686" s="1">
        <v>45227</v>
      </c>
      <c r="D686" s="2">
        <f>YEAR(Table1[[#This Row],[PurchaseDate]])</f>
        <v>2023</v>
      </c>
      <c r="E686" s="2" t="str">
        <f>"Q"&amp;ROUNDUP(MONTH(Table1[[#This Row],[PurchaseDate]])/3,0)</f>
        <v>Q4</v>
      </c>
      <c r="F686" s="2">
        <f>MONTH(Table1[[#This Row],[PurchaseDate]])</f>
        <v>10</v>
      </c>
      <c r="G686" s="2" t="str">
        <f>TEXT(Table1[[#This Row],[PurchaseDate]],"MMM")</f>
        <v>Oct</v>
      </c>
      <c r="H686">
        <v>8</v>
      </c>
      <c r="I686">
        <v>250.47</v>
      </c>
      <c r="J686" t="s">
        <v>1340</v>
      </c>
      <c r="K686" t="s">
        <v>38</v>
      </c>
      <c r="L686" t="s">
        <v>19</v>
      </c>
      <c r="M686">
        <v>5</v>
      </c>
      <c r="N686">
        <v>2003.76</v>
      </c>
    </row>
    <row r="687" spans="1:14" x14ac:dyDescent="0.3">
      <c r="A687" t="s">
        <v>1341</v>
      </c>
      <c r="B687" t="s">
        <v>25</v>
      </c>
      <c r="C687" s="1">
        <v>45566</v>
      </c>
      <c r="D687" s="2">
        <f>YEAR(Table1[[#This Row],[PurchaseDate]])</f>
        <v>2024</v>
      </c>
      <c r="E687" s="2" t="str">
        <f>"Q"&amp;ROUNDUP(MONTH(Table1[[#This Row],[PurchaseDate]])/3,0)</f>
        <v>Q4</v>
      </c>
      <c r="F687" s="2">
        <f>MONTH(Table1[[#This Row],[PurchaseDate]])</f>
        <v>10</v>
      </c>
      <c r="G687" s="2" t="str">
        <f>TEXT(Table1[[#This Row],[PurchaseDate]],"MMM")</f>
        <v>Oct</v>
      </c>
      <c r="H687">
        <v>5</v>
      </c>
      <c r="I687">
        <v>22.01</v>
      </c>
      <c r="J687" t="s">
        <v>1342</v>
      </c>
      <c r="K687" t="s">
        <v>38</v>
      </c>
      <c r="L687" t="s">
        <v>19</v>
      </c>
      <c r="M687">
        <v>4</v>
      </c>
      <c r="N687">
        <v>110.05</v>
      </c>
    </row>
    <row r="688" spans="1:14" x14ac:dyDescent="0.3">
      <c r="A688" t="s">
        <v>1343</v>
      </c>
      <c r="B688" t="s">
        <v>25</v>
      </c>
      <c r="C688" s="1">
        <v>45328</v>
      </c>
      <c r="D688" s="2">
        <f>YEAR(Table1[[#This Row],[PurchaseDate]])</f>
        <v>2024</v>
      </c>
      <c r="E688" s="2" t="str">
        <f>"Q"&amp;ROUNDUP(MONTH(Table1[[#This Row],[PurchaseDate]])/3,0)</f>
        <v>Q1</v>
      </c>
      <c r="F688" s="2">
        <f>MONTH(Table1[[#This Row],[PurchaseDate]])</f>
        <v>2</v>
      </c>
      <c r="G688" s="2" t="str">
        <f>TEXT(Table1[[#This Row],[PurchaseDate]],"MMM")</f>
        <v>Feb</v>
      </c>
      <c r="H688">
        <v>2</v>
      </c>
      <c r="I688">
        <v>591.47</v>
      </c>
      <c r="J688" t="s">
        <v>1344</v>
      </c>
      <c r="K688" t="s">
        <v>38</v>
      </c>
      <c r="L688" t="s">
        <v>14</v>
      </c>
      <c r="M688">
        <v>1</v>
      </c>
      <c r="N688">
        <v>1182.94</v>
      </c>
    </row>
    <row r="689" spans="1:14" x14ac:dyDescent="0.3">
      <c r="A689" t="s">
        <v>1345</v>
      </c>
      <c r="B689" t="s">
        <v>16</v>
      </c>
      <c r="C689" s="1">
        <v>45837</v>
      </c>
      <c r="D689" s="2">
        <f>YEAR(Table1[[#This Row],[PurchaseDate]])</f>
        <v>2025</v>
      </c>
      <c r="E689" s="2" t="str">
        <f>"Q"&amp;ROUNDUP(MONTH(Table1[[#This Row],[PurchaseDate]])/3,0)</f>
        <v>Q2</v>
      </c>
      <c r="F689" s="2">
        <f>MONTH(Table1[[#This Row],[PurchaseDate]])</f>
        <v>6</v>
      </c>
      <c r="G689" s="2" t="str">
        <f>TEXT(Table1[[#This Row],[PurchaseDate]],"MMM")</f>
        <v>Jun</v>
      </c>
      <c r="H689">
        <v>1</v>
      </c>
      <c r="I689">
        <v>626.28</v>
      </c>
      <c r="J689" t="s">
        <v>1346</v>
      </c>
      <c r="K689" t="s">
        <v>38</v>
      </c>
      <c r="L689" t="s">
        <v>19</v>
      </c>
      <c r="M689">
        <v>3</v>
      </c>
      <c r="N689">
        <v>626.28</v>
      </c>
    </row>
    <row r="690" spans="1:14" x14ac:dyDescent="0.3">
      <c r="A690" t="s">
        <v>1015</v>
      </c>
      <c r="B690" t="s">
        <v>42</v>
      </c>
      <c r="C690" s="1">
        <v>45786</v>
      </c>
      <c r="D690" s="2">
        <f>YEAR(Table1[[#This Row],[PurchaseDate]])</f>
        <v>2025</v>
      </c>
      <c r="E690" s="2" t="str">
        <f>"Q"&amp;ROUNDUP(MONTH(Table1[[#This Row],[PurchaseDate]])/3,0)</f>
        <v>Q2</v>
      </c>
      <c r="F690" s="2">
        <f>MONTH(Table1[[#This Row],[PurchaseDate]])</f>
        <v>5</v>
      </c>
      <c r="G690" s="2" t="str">
        <f>TEXT(Table1[[#This Row],[PurchaseDate]],"MMM")</f>
        <v>May</v>
      </c>
      <c r="H690">
        <v>8</v>
      </c>
      <c r="I690">
        <v>507.73</v>
      </c>
      <c r="J690" t="s">
        <v>1016</v>
      </c>
      <c r="K690" t="s">
        <v>38</v>
      </c>
      <c r="L690" t="s">
        <v>27</v>
      </c>
      <c r="M690">
        <v>5</v>
      </c>
      <c r="N690">
        <v>4061.84</v>
      </c>
    </row>
    <row r="691" spans="1:14" x14ac:dyDescent="0.3">
      <c r="A691" t="s">
        <v>1347</v>
      </c>
      <c r="B691" t="s">
        <v>16</v>
      </c>
      <c r="C691" s="1">
        <v>45650</v>
      </c>
      <c r="D691" s="2">
        <f>YEAR(Table1[[#This Row],[PurchaseDate]])</f>
        <v>2024</v>
      </c>
      <c r="E691" s="2" t="str">
        <f>"Q"&amp;ROUNDUP(MONTH(Table1[[#This Row],[PurchaseDate]])/3,0)</f>
        <v>Q4</v>
      </c>
      <c r="F691" s="2">
        <f>MONTH(Table1[[#This Row],[PurchaseDate]])</f>
        <v>12</v>
      </c>
      <c r="G691" s="2" t="str">
        <f>TEXT(Table1[[#This Row],[PurchaseDate]],"MMM")</f>
        <v>Dec</v>
      </c>
      <c r="H691">
        <v>6</v>
      </c>
      <c r="I691">
        <v>643.14</v>
      </c>
      <c r="J691" t="s">
        <v>1348</v>
      </c>
      <c r="K691" t="s">
        <v>38</v>
      </c>
      <c r="L691" t="s">
        <v>27</v>
      </c>
      <c r="M691">
        <v>1</v>
      </c>
      <c r="N691">
        <v>3858.84</v>
      </c>
    </row>
    <row r="692" spans="1:14" x14ac:dyDescent="0.3">
      <c r="A692" t="s">
        <v>1349</v>
      </c>
      <c r="B692" t="s">
        <v>11</v>
      </c>
      <c r="C692" s="1">
        <v>45638</v>
      </c>
      <c r="D692" s="2">
        <f>YEAR(Table1[[#This Row],[PurchaseDate]])</f>
        <v>2024</v>
      </c>
      <c r="E692" s="2" t="str">
        <f>"Q"&amp;ROUNDUP(MONTH(Table1[[#This Row],[PurchaseDate]])/3,0)</f>
        <v>Q4</v>
      </c>
      <c r="F692" s="2">
        <f>MONTH(Table1[[#This Row],[PurchaseDate]])</f>
        <v>12</v>
      </c>
      <c r="G692" s="2" t="str">
        <f>TEXT(Table1[[#This Row],[PurchaseDate]],"MMM")</f>
        <v>Dec</v>
      </c>
      <c r="H692">
        <v>7</v>
      </c>
      <c r="I692">
        <v>391.81</v>
      </c>
      <c r="J692" t="s">
        <v>1350</v>
      </c>
      <c r="K692" t="s">
        <v>18</v>
      </c>
      <c r="L692" t="s">
        <v>14</v>
      </c>
      <c r="M692">
        <v>1</v>
      </c>
      <c r="N692">
        <v>2742.67</v>
      </c>
    </row>
    <row r="693" spans="1:14" x14ac:dyDescent="0.3">
      <c r="A693" t="s">
        <v>1351</v>
      </c>
      <c r="B693" t="s">
        <v>16</v>
      </c>
      <c r="C693" s="1">
        <v>45785</v>
      </c>
      <c r="D693" s="2">
        <f>YEAR(Table1[[#This Row],[PurchaseDate]])</f>
        <v>2025</v>
      </c>
      <c r="E693" s="2" t="str">
        <f>"Q"&amp;ROUNDUP(MONTH(Table1[[#This Row],[PurchaseDate]])/3,0)</f>
        <v>Q2</v>
      </c>
      <c r="F693" s="2">
        <f>MONTH(Table1[[#This Row],[PurchaseDate]])</f>
        <v>5</v>
      </c>
      <c r="G693" s="2" t="str">
        <f>TEXT(Table1[[#This Row],[PurchaseDate]],"MMM")</f>
        <v>May</v>
      </c>
      <c r="H693">
        <v>6</v>
      </c>
      <c r="I693">
        <v>202.43</v>
      </c>
      <c r="J693" t="s">
        <v>1352</v>
      </c>
      <c r="K693" t="s">
        <v>18</v>
      </c>
      <c r="L693" t="s">
        <v>23</v>
      </c>
      <c r="M693">
        <v>2</v>
      </c>
      <c r="N693">
        <v>1214.58</v>
      </c>
    </row>
    <row r="694" spans="1:14" x14ac:dyDescent="0.3">
      <c r="A694" t="s">
        <v>1353</v>
      </c>
      <c r="B694" t="s">
        <v>11</v>
      </c>
      <c r="C694" s="1">
        <v>45154</v>
      </c>
      <c r="D694" s="2">
        <f>YEAR(Table1[[#This Row],[PurchaseDate]])</f>
        <v>2023</v>
      </c>
      <c r="E694" s="2" t="str">
        <f>"Q"&amp;ROUNDUP(MONTH(Table1[[#This Row],[PurchaseDate]])/3,0)</f>
        <v>Q3</v>
      </c>
      <c r="F694" s="2">
        <f>MONTH(Table1[[#This Row],[PurchaseDate]])</f>
        <v>8</v>
      </c>
      <c r="G694" s="2" t="str">
        <f>TEXT(Table1[[#This Row],[PurchaseDate]],"MMM")</f>
        <v>Aug</v>
      </c>
      <c r="H694">
        <v>7</v>
      </c>
      <c r="I694">
        <v>659.11</v>
      </c>
      <c r="J694" t="s">
        <v>1354</v>
      </c>
      <c r="K694" t="s">
        <v>13</v>
      </c>
      <c r="L694" t="s">
        <v>58</v>
      </c>
      <c r="M694">
        <v>2</v>
      </c>
      <c r="N694">
        <v>4613.7700000000004</v>
      </c>
    </row>
    <row r="695" spans="1:14" x14ac:dyDescent="0.3">
      <c r="A695" t="s">
        <v>1355</v>
      </c>
      <c r="B695" t="s">
        <v>34</v>
      </c>
      <c r="C695" s="1">
        <v>45238</v>
      </c>
      <c r="D695" s="2">
        <f>YEAR(Table1[[#This Row],[PurchaseDate]])</f>
        <v>2023</v>
      </c>
      <c r="E695" s="2" t="str">
        <f>"Q"&amp;ROUNDUP(MONTH(Table1[[#This Row],[PurchaseDate]])/3,0)</f>
        <v>Q4</v>
      </c>
      <c r="F695" s="2">
        <f>MONTH(Table1[[#This Row],[PurchaseDate]])</f>
        <v>11</v>
      </c>
      <c r="G695" s="2" t="str">
        <f>TEXT(Table1[[#This Row],[PurchaseDate]],"MMM")</f>
        <v>Nov</v>
      </c>
      <c r="H695">
        <v>2</v>
      </c>
      <c r="I695">
        <v>269.64999999999998</v>
      </c>
      <c r="J695" t="s">
        <v>1356</v>
      </c>
      <c r="K695" t="s">
        <v>18</v>
      </c>
      <c r="L695" t="s">
        <v>23</v>
      </c>
      <c r="M695">
        <v>3</v>
      </c>
      <c r="N695">
        <v>539.29999999999995</v>
      </c>
    </row>
    <row r="696" spans="1:14" x14ac:dyDescent="0.3">
      <c r="A696" t="s">
        <v>1357</v>
      </c>
      <c r="B696" t="s">
        <v>21</v>
      </c>
      <c r="C696" s="1">
        <v>45397</v>
      </c>
      <c r="D696" s="2">
        <f>YEAR(Table1[[#This Row],[PurchaseDate]])</f>
        <v>2024</v>
      </c>
      <c r="E696" s="2" t="str">
        <f>"Q"&amp;ROUNDUP(MONTH(Table1[[#This Row],[PurchaseDate]])/3,0)</f>
        <v>Q2</v>
      </c>
      <c r="F696" s="2">
        <f>MONTH(Table1[[#This Row],[PurchaseDate]])</f>
        <v>4</v>
      </c>
      <c r="G696" s="2" t="str">
        <f>TEXT(Table1[[#This Row],[PurchaseDate]],"MMM")</f>
        <v>Apr</v>
      </c>
      <c r="H696">
        <v>7</v>
      </c>
      <c r="I696">
        <v>161.44999999999999</v>
      </c>
      <c r="J696" t="s">
        <v>1358</v>
      </c>
      <c r="K696" t="s">
        <v>38</v>
      </c>
      <c r="L696" t="s">
        <v>27</v>
      </c>
      <c r="M696">
        <v>4</v>
      </c>
      <c r="N696">
        <v>1130.1500000000001</v>
      </c>
    </row>
    <row r="697" spans="1:14" x14ac:dyDescent="0.3">
      <c r="A697" t="s">
        <v>1359</v>
      </c>
      <c r="B697" t="s">
        <v>29</v>
      </c>
      <c r="C697" s="1">
        <v>45500</v>
      </c>
      <c r="D697" s="2">
        <f>YEAR(Table1[[#This Row],[PurchaseDate]])</f>
        <v>2024</v>
      </c>
      <c r="E697" s="2" t="str">
        <f>"Q"&amp;ROUNDUP(MONTH(Table1[[#This Row],[PurchaseDate]])/3,0)</f>
        <v>Q3</v>
      </c>
      <c r="F697" s="2">
        <f>MONTH(Table1[[#This Row],[PurchaseDate]])</f>
        <v>7</v>
      </c>
      <c r="G697" s="2" t="str">
        <f>TEXT(Table1[[#This Row],[PurchaseDate]],"MMM")</f>
        <v>Jul</v>
      </c>
      <c r="H697">
        <v>8</v>
      </c>
      <c r="I697">
        <v>254.9</v>
      </c>
      <c r="J697" t="s">
        <v>1360</v>
      </c>
      <c r="K697" t="s">
        <v>38</v>
      </c>
      <c r="L697" t="s">
        <v>14</v>
      </c>
      <c r="M697">
        <v>5</v>
      </c>
      <c r="N697">
        <v>2039.2</v>
      </c>
    </row>
    <row r="698" spans="1:14" x14ac:dyDescent="0.3">
      <c r="A698" t="s">
        <v>1361</v>
      </c>
      <c r="B698" t="s">
        <v>25</v>
      </c>
      <c r="C698" s="1">
        <v>45538</v>
      </c>
      <c r="D698" s="2">
        <f>YEAR(Table1[[#This Row],[PurchaseDate]])</f>
        <v>2024</v>
      </c>
      <c r="E698" s="2" t="str">
        <f>"Q"&amp;ROUNDUP(MONTH(Table1[[#This Row],[PurchaseDate]])/3,0)</f>
        <v>Q3</v>
      </c>
      <c r="F698" s="2">
        <f>MONTH(Table1[[#This Row],[PurchaseDate]])</f>
        <v>9</v>
      </c>
      <c r="G698" s="2" t="str">
        <f>TEXT(Table1[[#This Row],[PurchaseDate]],"MMM")</f>
        <v>Sep</v>
      </c>
      <c r="H698">
        <v>7</v>
      </c>
      <c r="I698">
        <v>333.9</v>
      </c>
      <c r="J698" t="s">
        <v>1362</v>
      </c>
      <c r="K698" t="s">
        <v>38</v>
      </c>
      <c r="L698" t="s">
        <v>23</v>
      </c>
      <c r="M698">
        <v>2</v>
      </c>
      <c r="N698">
        <v>2337.3000000000002</v>
      </c>
    </row>
    <row r="699" spans="1:14" x14ac:dyDescent="0.3">
      <c r="A699" t="s">
        <v>1363</v>
      </c>
      <c r="B699" t="s">
        <v>34</v>
      </c>
      <c r="C699" s="1">
        <v>45438</v>
      </c>
      <c r="D699" s="2">
        <f>YEAR(Table1[[#This Row],[PurchaseDate]])</f>
        <v>2024</v>
      </c>
      <c r="E699" s="2" t="str">
        <f>"Q"&amp;ROUNDUP(MONTH(Table1[[#This Row],[PurchaseDate]])/3,0)</f>
        <v>Q2</v>
      </c>
      <c r="F699" s="2">
        <f>MONTH(Table1[[#This Row],[PurchaseDate]])</f>
        <v>5</v>
      </c>
      <c r="G699" s="2" t="str">
        <f>TEXT(Table1[[#This Row],[PurchaseDate]],"MMM")</f>
        <v>May</v>
      </c>
      <c r="H699">
        <v>5</v>
      </c>
      <c r="I699">
        <v>635.66</v>
      </c>
      <c r="J699" t="s">
        <v>1364</v>
      </c>
      <c r="K699" t="s">
        <v>13</v>
      </c>
      <c r="L699" t="s">
        <v>58</v>
      </c>
      <c r="M699">
        <v>1</v>
      </c>
      <c r="N699">
        <v>3178.3</v>
      </c>
    </row>
    <row r="700" spans="1:14" x14ac:dyDescent="0.3">
      <c r="A700" t="s">
        <v>1365</v>
      </c>
      <c r="B700" t="s">
        <v>21</v>
      </c>
      <c r="C700" s="1">
        <v>45225</v>
      </c>
      <c r="D700" s="2">
        <f>YEAR(Table1[[#This Row],[PurchaseDate]])</f>
        <v>2023</v>
      </c>
      <c r="E700" s="2" t="str">
        <f>"Q"&amp;ROUNDUP(MONTH(Table1[[#This Row],[PurchaseDate]])/3,0)</f>
        <v>Q4</v>
      </c>
      <c r="F700" s="2">
        <f>MONTH(Table1[[#This Row],[PurchaseDate]])</f>
        <v>10</v>
      </c>
      <c r="G700" s="2" t="str">
        <f>TEXT(Table1[[#This Row],[PurchaseDate]],"MMM")</f>
        <v>Oct</v>
      </c>
      <c r="H700">
        <v>4</v>
      </c>
      <c r="I700">
        <v>454.98</v>
      </c>
      <c r="J700" t="s">
        <v>1366</v>
      </c>
      <c r="K700" t="s">
        <v>38</v>
      </c>
      <c r="L700" t="s">
        <v>14</v>
      </c>
      <c r="M700">
        <v>3</v>
      </c>
      <c r="N700">
        <v>1819.92</v>
      </c>
    </row>
    <row r="701" spans="1:14" x14ac:dyDescent="0.3">
      <c r="A701" t="s">
        <v>1367</v>
      </c>
      <c r="B701" t="s">
        <v>42</v>
      </c>
      <c r="C701" s="1">
        <v>45365</v>
      </c>
      <c r="D701" s="2">
        <f>YEAR(Table1[[#This Row],[PurchaseDate]])</f>
        <v>2024</v>
      </c>
      <c r="E701" s="2" t="str">
        <f>"Q"&amp;ROUNDUP(MONTH(Table1[[#This Row],[PurchaseDate]])/3,0)</f>
        <v>Q1</v>
      </c>
      <c r="F701" s="2">
        <f>MONTH(Table1[[#This Row],[PurchaseDate]])</f>
        <v>3</v>
      </c>
      <c r="G701" s="2" t="str">
        <f>TEXT(Table1[[#This Row],[PurchaseDate]],"MMM")</f>
        <v>Mar</v>
      </c>
      <c r="H701">
        <v>7</v>
      </c>
      <c r="I701">
        <v>518.5</v>
      </c>
      <c r="J701" t="s">
        <v>1368</v>
      </c>
      <c r="K701" t="s">
        <v>18</v>
      </c>
      <c r="L701" t="s">
        <v>14</v>
      </c>
      <c r="M701">
        <v>3</v>
      </c>
      <c r="N701">
        <v>3629.5</v>
      </c>
    </row>
    <row r="702" spans="1:14" x14ac:dyDescent="0.3">
      <c r="A702" t="s">
        <v>1369</v>
      </c>
      <c r="B702" t="s">
        <v>21</v>
      </c>
      <c r="C702" s="1">
        <v>45071</v>
      </c>
      <c r="D702" s="2">
        <f>YEAR(Table1[[#This Row],[PurchaseDate]])</f>
        <v>2023</v>
      </c>
      <c r="E702" s="2" t="str">
        <f>"Q"&amp;ROUNDUP(MONTH(Table1[[#This Row],[PurchaseDate]])/3,0)</f>
        <v>Q2</v>
      </c>
      <c r="F702" s="2">
        <f>MONTH(Table1[[#This Row],[PurchaseDate]])</f>
        <v>5</v>
      </c>
      <c r="G702" s="2" t="str">
        <f>TEXT(Table1[[#This Row],[PurchaseDate]],"MMM")</f>
        <v>May</v>
      </c>
      <c r="H702">
        <v>4</v>
      </c>
      <c r="I702">
        <v>620.34</v>
      </c>
      <c r="J702" t="s">
        <v>1370</v>
      </c>
      <c r="K702" t="s">
        <v>38</v>
      </c>
      <c r="L702" t="s">
        <v>14</v>
      </c>
      <c r="M702">
        <v>2</v>
      </c>
      <c r="N702">
        <v>2481.36</v>
      </c>
    </row>
    <row r="703" spans="1:14" x14ac:dyDescent="0.3">
      <c r="A703" t="s">
        <v>1371</v>
      </c>
      <c r="B703" t="s">
        <v>34</v>
      </c>
      <c r="C703" s="1">
        <v>45060</v>
      </c>
      <c r="D703" s="2">
        <f>YEAR(Table1[[#This Row],[PurchaseDate]])</f>
        <v>2023</v>
      </c>
      <c r="E703" s="2" t="str">
        <f>"Q"&amp;ROUNDUP(MONTH(Table1[[#This Row],[PurchaseDate]])/3,0)</f>
        <v>Q2</v>
      </c>
      <c r="F703" s="2">
        <f>MONTH(Table1[[#This Row],[PurchaseDate]])</f>
        <v>5</v>
      </c>
      <c r="G703" s="2" t="str">
        <f>TEXT(Table1[[#This Row],[PurchaseDate]],"MMM")</f>
        <v>May</v>
      </c>
      <c r="H703">
        <v>1</v>
      </c>
      <c r="I703">
        <v>746.81</v>
      </c>
      <c r="J703" t="s">
        <v>1372</v>
      </c>
      <c r="K703" t="s">
        <v>38</v>
      </c>
      <c r="L703" t="s">
        <v>58</v>
      </c>
      <c r="M703">
        <v>2</v>
      </c>
      <c r="N703">
        <v>746.81</v>
      </c>
    </row>
    <row r="704" spans="1:14" x14ac:dyDescent="0.3">
      <c r="A704" t="s">
        <v>645</v>
      </c>
      <c r="B704" t="s">
        <v>25</v>
      </c>
      <c r="C704" s="1">
        <v>45053</v>
      </c>
      <c r="D704" s="2">
        <f>YEAR(Table1[[#This Row],[PurchaseDate]])</f>
        <v>2023</v>
      </c>
      <c r="E704" s="2" t="str">
        <f>"Q"&amp;ROUNDUP(MONTH(Table1[[#This Row],[PurchaseDate]])/3,0)</f>
        <v>Q2</v>
      </c>
      <c r="F704" s="2">
        <f>MONTH(Table1[[#This Row],[PurchaseDate]])</f>
        <v>5</v>
      </c>
      <c r="G704" s="2" t="str">
        <f>TEXT(Table1[[#This Row],[PurchaseDate]],"MMM")</f>
        <v>May</v>
      </c>
      <c r="H704">
        <v>8</v>
      </c>
      <c r="I704">
        <v>58.61</v>
      </c>
      <c r="J704" t="s">
        <v>646</v>
      </c>
      <c r="K704" t="s">
        <v>18</v>
      </c>
      <c r="L704" t="s">
        <v>58</v>
      </c>
      <c r="M704">
        <v>2</v>
      </c>
      <c r="N704">
        <v>468.88</v>
      </c>
    </row>
    <row r="705" spans="1:14" x14ac:dyDescent="0.3">
      <c r="A705" t="s">
        <v>1373</v>
      </c>
      <c r="B705" t="s">
        <v>29</v>
      </c>
      <c r="C705" s="1">
        <v>45698</v>
      </c>
      <c r="D705" s="2">
        <f>YEAR(Table1[[#This Row],[PurchaseDate]])</f>
        <v>2025</v>
      </c>
      <c r="E705" s="2" t="str">
        <f>"Q"&amp;ROUNDUP(MONTH(Table1[[#This Row],[PurchaseDate]])/3,0)</f>
        <v>Q1</v>
      </c>
      <c r="F705" s="2">
        <f>MONTH(Table1[[#This Row],[PurchaseDate]])</f>
        <v>2</v>
      </c>
      <c r="G705" s="2" t="str">
        <f>TEXT(Table1[[#This Row],[PurchaseDate]],"MMM")</f>
        <v>Feb</v>
      </c>
      <c r="H705">
        <v>5</v>
      </c>
      <c r="I705">
        <v>315.82</v>
      </c>
      <c r="J705" t="s">
        <v>1374</v>
      </c>
      <c r="K705" t="s">
        <v>13</v>
      </c>
      <c r="L705" t="s">
        <v>27</v>
      </c>
      <c r="M705">
        <v>2</v>
      </c>
      <c r="N705">
        <v>1579.1</v>
      </c>
    </row>
    <row r="706" spans="1:14" x14ac:dyDescent="0.3">
      <c r="A706" t="s">
        <v>1375</v>
      </c>
      <c r="B706" t="s">
        <v>29</v>
      </c>
      <c r="C706" s="1">
        <v>45677</v>
      </c>
      <c r="D706" s="2">
        <f>YEAR(Table1[[#This Row],[PurchaseDate]])</f>
        <v>2025</v>
      </c>
      <c r="E706" s="2" t="str">
        <f>"Q"&amp;ROUNDUP(MONTH(Table1[[#This Row],[PurchaseDate]])/3,0)</f>
        <v>Q1</v>
      </c>
      <c r="F706" s="2">
        <f>MONTH(Table1[[#This Row],[PurchaseDate]])</f>
        <v>1</v>
      </c>
      <c r="G706" s="2" t="str">
        <f>TEXT(Table1[[#This Row],[PurchaseDate]],"MMM")</f>
        <v>Jan</v>
      </c>
      <c r="H706">
        <v>7</v>
      </c>
      <c r="I706">
        <v>748.3</v>
      </c>
      <c r="J706" t="s">
        <v>1376</v>
      </c>
      <c r="K706" t="s">
        <v>13</v>
      </c>
      <c r="L706" t="s">
        <v>27</v>
      </c>
      <c r="M706">
        <v>3</v>
      </c>
      <c r="N706">
        <v>5238.1000000000004</v>
      </c>
    </row>
    <row r="707" spans="1:14" x14ac:dyDescent="0.3">
      <c r="A707" t="s">
        <v>1377</v>
      </c>
      <c r="B707" t="s">
        <v>42</v>
      </c>
      <c r="C707" s="1">
        <v>45360</v>
      </c>
      <c r="D707" s="2">
        <f>YEAR(Table1[[#This Row],[PurchaseDate]])</f>
        <v>2024</v>
      </c>
      <c r="E707" s="2" t="str">
        <f>"Q"&amp;ROUNDUP(MONTH(Table1[[#This Row],[PurchaseDate]])/3,0)</f>
        <v>Q1</v>
      </c>
      <c r="F707" s="2">
        <f>MONTH(Table1[[#This Row],[PurchaseDate]])</f>
        <v>3</v>
      </c>
      <c r="G707" s="2" t="str">
        <f>TEXT(Table1[[#This Row],[PurchaseDate]],"MMM")</f>
        <v>Mar</v>
      </c>
      <c r="H707">
        <v>4</v>
      </c>
      <c r="I707">
        <v>480.82</v>
      </c>
      <c r="J707" t="s">
        <v>1378</v>
      </c>
      <c r="K707" t="s">
        <v>18</v>
      </c>
      <c r="L707" t="s">
        <v>23</v>
      </c>
      <c r="M707">
        <v>5</v>
      </c>
      <c r="N707">
        <v>1923.28</v>
      </c>
    </row>
    <row r="708" spans="1:14" x14ac:dyDescent="0.3">
      <c r="A708" t="s">
        <v>1379</v>
      </c>
      <c r="B708" t="s">
        <v>25</v>
      </c>
      <c r="C708" s="1">
        <v>45066</v>
      </c>
      <c r="D708" s="2">
        <f>YEAR(Table1[[#This Row],[PurchaseDate]])</f>
        <v>2023</v>
      </c>
      <c r="E708" s="2" t="str">
        <f>"Q"&amp;ROUNDUP(MONTH(Table1[[#This Row],[PurchaseDate]])/3,0)</f>
        <v>Q2</v>
      </c>
      <c r="F708" s="2">
        <f>MONTH(Table1[[#This Row],[PurchaseDate]])</f>
        <v>5</v>
      </c>
      <c r="G708" s="2" t="str">
        <f>TEXT(Table1[[#This Row],[PurchaseDate]],"MMM")</f>
        <v>May</v>
      </c>
      <c r="H708">
        <v>8</v>
      </c>
      <c r="I708">
        <v>11.23</v>
      </c>
      <c r="J708" t="s">
        <v>1380</v>
      </c>
      <c r="K708" t="s">
        <v>38</v>
      </c>
      <c r="L708" t="s">
        <v>23</v>
      </c>
      <c r="M708">
        <v>2</v>
      </c>
      <c r="N708">
        <v>89.84</v>
      </c>
    </row>
    <row r="709" spans="1:14" x14ac:dyDescent="0.3">
      <c r="A709" t="s">
        <v>1381</v>
      </c>
      <c r="B709" t="s">
        <v>34</v>
      </c>
      <c r="C709" s="1">
        <v>45253</v>
      </c>
      <c r="D709" s="2">
        <f>YEAR(Table1[[#This Row],[PurchaseDate]])</f>
        <v>2023</v>
      </c>
      <c r="E709" s="2" t="str">
        <f>"Q"&amp;ROUNDUP(MONTH(Table1[[#This Row],[PurchaseDate]])/3,0)</f>
        <v>Q4</v>
      </c>
      <c r="F709" s="2">
        <f>MONTH(Table1[[#This Row],[PurchaseDate]])</f>
        <v>11</v>
      </c>
      <c r="G709" s="2" t="str">
        <f>TEXT(Table1[[#This Row],[PurchaseDate]],"MMM")</f>
        <v>Nov</v>
      </c>
      <c r="H709">
        <v>2</v>
      </c>
      <c r="I709">
        <v>126.04</v>
      </c>
      <c r="J709" t="s">
        <v>1382</v>
      </c>
      <c r="K709" t="s">
        <v>18</v>
      </c>
      <c r="L709" t="s">
        <v>14</v>
      </c>
      <c r="M709">
        <v>5</v>
      </c>
      <c r="N709">
        <v>252.08</v>
      </c>
    </row>
    <row r="710" spans="1:14" x14ac:dyDescent="0.3">
      <c r="A710" t="s">
        <v>1383</v>
      </c>
      <c r="B710" t="s">
        <v>16</v>
      </c>
      <c r="C710" s="1">
        <v>45624</v>
      </c>
      <c r="D710" s="2">
        <f>YEAR(Table1[[#This Row],[PurchaseDate]])</f>
        <v>2024</v>
      </c>
      <c r="E710" s="2" t="str">
        <f>"Q"&amp;ROUNDUP(MONTH(Table1[[#This Row],[PurchaseDate]])/3,0)</f>
        <v>Q4</v>
      </c>
      <c r="F710" s="2">
        <f>MONTH(Table1[[#This Row],[PurchaseDate]])</f>
        <v>11</v>
      </c>
      <c r="G710" s="2" t="str">
        <f>TEXT(Table1[[#This Row],[PurchaseDate]],"MMM")</f>
        <v>Nov</v>
      </c>
      <c r="H710">
        <v>8</v>
      </c>
      <c r="I710">
        <v>22.26</v>
      </c>
      <c r="J710" t="s">
        <v>1384</v>
      </c>
      <c r="K710" t="s">
        <v>18</v>
      </c>
      <c r="L710" t="s">
        <v>19</v>
      </c>
      <c r="M710">
        <v>3</v>
      </c>
      <c r="N710">
        <v>178.08</v>
      </c>
    </row>
    <row r="711" spans="1:14" x14ac:dyDescent="0.3">
      <c r="A711" t="s">
        <v>1385</v>
      </c>
      <c r="B711" t="s">
        <v>11</v>
      </c>
      <c r="C711" s="1">
        <v>45605</v>
      </c>
      <c r="D711" s="2">
        <f>YEAR(Table1[[#This Row],[PurchaseDate]])</f>
        <v>2024</v>
      </c>
      <c r="E711" s="2" t="str">
        <f>"Q"&amp;ROUNDUP(MONTH(Table1[[#This Row],[PurchaseDate]])/3,0)</f>
        <v>Q4</v>
      </c>
      <c r="F711" s="2">
        <f>MONTH(Table1[[#This Row],[PurchaseDate]])</f>
        <v>11</v>
      </c>
      <c r="G711" s="2" t="str">
        <f>TEXT(Table1[[#This Row],[PurchaseDate]],"MMM")</f>
        <v>Nov</v>
      </c>
      <c r="H711">
        <v>8</v>
      </c>
      <c r="I711">
        <v>168.94</v>
      </c>
      <c r="J711" t="s">
        <v>1386</v>
      </c>
      <c r="K711" t="s">
        <v>18</v>
      </c>
      <c r="L711" t="s">
        <v>27</v>
      </c>
      <c r="M711">
        <v>1</v>
      </c>
      <c r="N711">
        <v>1351.52</v>
      </c>
    </row>
    <row r="712" spans="1:14" x14ac:dyDescent="0.3">
      <c r="A712" t="s">
        <v>1387</v>
      </c>
      <c r="B712" t="s">
        <v>21</v>
      </c>
      <c r="C712" s="1">
        <v>45724</v>
      </c>
      <c r="D712" s="2">
        <f>YEAR(Table1[[#This Row],[PurchaseDate]])</f>
        <v>2025</v>
      </c>
      <c r="E712" s="2" t="str">
        <f>"Q"&amp;ROUNDUP(MONTH(Table1[[#This Row],[PurchaseDate]])/3,0)</f>
        <v>Q1</v>
      </c>
      <c r="F712" s="2">
        <f>MONTH(Table1[[#This Row],[PurchaseDate]])</f>
        <v>3</v>
      </c>
      <c r="G712" s="2" t="str">
        <f>TEXT(Table1[[#This Row],[PurchaseDate]],"MMM")</f>
        <v>Mar</v>
      </c>
      <c r="H712">
        <v>8</v>
      </c>
      <c r="I712">
        <v>16.07</v>
      </c>
      <c r="J712" t="s">
        <v>1388</v>
      </c>
      <c r="K712" t="s">
        <v>18</v>
      </c>
      <c r="L712" t="s">
        <v>27</v>
      </c>
      <c r="M712">
        <v>3</v>
      </c>
      <c r="N712">
        <v>128.56</v>
      </c>
    </row>
    <row r="713" spans="1:14" x14ac:dyDescent="0.3">
      <c r="A713" t="s">
        <v>1389</v>
      </c>
      <c r="B713" t="s">
        <v>42</v>
      </c>
      <c r="C713" s="1">
        <v>45429</v>
      </c>
      <c r="D713" s="2">
        <f>YEAR(Table1[[#This Row],[PurchaseDate]])</f>
        <v>2024</v>
      </c>
      <c r="E713" s="2" t="str">
        <f>"Q"&amp;ROUNDUP(MONTH(Table1[[#This Row],[PurchaseDate]])/3,0)</f>
        <v>Q2</v>
      </c>
      <c r="F713" s="2">
        <f>MONTH(Table1[[#This Row],[PurchaseDate]])</f>
        <v>5</v>
      </c>
      <c r="G713" s="2" t="str">
        <f>TEXT(Table1[[#This Row],[PurchaseDate]],"MMM")</f>
        <v>May</v>
      </c>
      <c r="H713">
        <v>6</v>
      </c>
      <c r="I713">
        <v>450.3</v>
      </c>
      <c r="J713" t="s">
        <v>1390</v>
      </c>
      <c r="K713" t="s">
        <v>38</v>
      </c>
      <c r="L713" t="s">
        <v>27</v>
      </c>
      <c r="M713">
        <v>1</v>
      </c>
      <c r="N713">
        <v>2701.8</v>
      </c>
    </row>
    <row r="714" spans="1:14" x14ac:dyDescent="0.3">
      <c r="A714" t="s">
        <v>1391</v>
      </c>
      <c r="B714" t="s">
        <v>29</v>
      </c>
      <c r="C714" s="1">
        <v>45354</v>
      </c>
      <c r="D714" s="2">
        <f>YEAR(Table1[[#This Row],[PurchaseDate]])</f>
        <v>2024</v>
      </c>
      <c r="E714" s="2" t="str">
        <f>"Q"&amp;ROUNDUP(MONTH(Table1[[#This Row],[PurchaseDate]])/3,0)</f>
        <v>Q1</v>
      </c>
      <c r="F714" s="2">
        <f>MONTH(Table1[[#This Row],[PurchaseDate]])</f>
        <v>3</v>
      </c>
      <c r="G714" s="2" t="str">
        <f>TEXT(Table1[[#This Row],[PurchaseDate]],"MMM")</f>
        <v>Mar</v>
      </c>
      <c r="H714">
        <v>3</v>
      </c>
      <c r="I714">
        <v>457.26</v>
      </c>
      <c r="J714" t="s">
        <v>1392</v>
      </c>
      <c r="K714" t="s">
        <v>18</v>
      </c>
      <c r="L714" t="s">
        <v>14</v>
      </c>
      <c r="M714">
        <v>2</v>
      </c>
      <c r="N714">
        <v>1371.78</v>
      </c>
    </row>
    <row r="715" spans="1:14" x14ac:dyDescent="0.3">
      <c r="A715" t="s">
        <v>1393</v>
      </c>
      <c r="B715" t="s">
        <v>42</v>
      </c>
      <c r="C715" s="1">
        <v>45262</v>
      </c>
      <c r="D715" s="2">
        <f>YEAR(Table1[[#This Row],[PurchaseDate]])</f>
        <v>2023</v>
      </c>
      <c r="E715" s="2" t="str">
        <f>"Q"&amp;ROUNDUP(MONTH(Table1[[#This Row],[PurchaseDate]])/3,0)</f>
        <v>Q4</v>
      </c>
      <c r="F715" s="2">
        <f>MONTH(Table1[[#This Row],[PurchaseDate]])</f>
        <v>12</v>
      </c>
      <c r="G715" s="2" t="str">
        <f>TEXT(Table1[[#This Row],[PurchaseDate]],"MMM")</f>
        <v>Dec</v>
      </c>
      <c r="H715">
        <v>8</v>
      </c>
      <c r="I715">
        <v>566.57000000000005</v>
      </c>
      <c r="J715" t="s">
        <v>1394</v>
      </c>
      <c r="K715" t="s">
        <v>13</v>
      </c>
      <c r="L715" t="s">
        <v>58</v>
      </c>
      <c r="M715">
        <v>2</v>
      </c>
      <c r="N715">
        <v>4532.5600000000004</v>
      </c>
    </row>
    <row r="716" spans="1:14" x14ac:dyDescent="0.3">
      <c r="A716" t="s">
        <v>1395</v>
      </c>
      <c r="B716" t="s">
        <v>25</v>
      </c>
      <c r="C716" s="1">
        <v>45395</v>
      </c>
      <c r="D716" s="2">
        <f>YEAR(Table1[[#This Row],[PurchaseDate]])</f>
        <v>2024</v>
      </c>
      <c r="E716" s="2" t="str">
        <f>"Q"&amp;ROUNDUP(MONTH(Table1[[#This Row],[PurchaseDate]])/3,0)</f>
        <v>Q2</v>
      </c>
      <c r="F716" s="2">
        <f>MONTH(Table1[[#This Row],[PurchaseDate]])</f>
        <v>4</v>
      </c>
      <c r="G716" s="2" t="str">
        <f>TEXT(Table1[[#This Row],[PurchaseDate]],"MMM")</f>
        <v>Apr</v>
      </c>
      <c r="H716">
        <v>4</v>
      </c>
      <c r="I716">
        <v>718.59</v>
      </c>
      <c r="J716" t="s">
        <v>1396</v>
      </c>
      <c r="K716" t="s">
        <v>38</v>
      </c>
      <c r="L716" t="s">
        <v>58</v>
      </c>
      <c r="M716">
        <v>4</v>
      </c>
      <c r="N716">
        <v>2874.36</v>
      </c>
    </row>
    <row r="717" spans="1:14" x14ac:dyDescent="0.3">
      <c r="A717" t="s">
        <v>527</v>
      </c>
      <c r="B717" t="s">
        <v>29</v>
      </c>
      <c r="C717" s="1">
        <v>45712</v>
      </c>
      <c r="D717" s="2">
        <f>YEAR(Table1[[#This Row],[PurchaseDate]])</f>
        <v>2025</v>
      </c>
      <c r="E717" s="2" t="str">
        <f>"Q"&amp;ROUNDUP(MONTH(Table1[[#This Row],[PurchaseDate]])/3,0)</f>
        <v>Q1</v>
      </c>
      <c r="F717" s="2">
        <f>MONTH(Table1[[#This Row],[PurchaseDate]])</f>
        <v>2</v>
      </c>
      <c r="G717" s="2" t="str">
        <f>TEXT(Table1[[#This Row],[PurchaseDate]],"MMM")</f>
        <v>Feb</v>
      </c>
      <c r="H717">
        <v>3</v>
      </c>
      <c r="I717">
        <v>404.76</v>
      </c>
      <c r="J717" t="s">
        <v>528</v>
      </c>
      <c r="K717" t="s">
        <v>18</v>
      </c>
      <c r="L717" t="s">
        <v>27</v>
      </c>
      <c r="M717">
        <v>1</v>
      </c>
      <c r="N717">
        <v>1214.28</v>
      </c>
    </row>
    <row r="718" spans="1:14" x14ac:dyDescent="0.3">
      <c r="A718" t="s">
        <v>1397</v>
      </c>
      <c r="B718" t="s">
        <v>25</v>
      </c>
      <c r="C718" s="1">
        <v>45436</v>
      </c>
      <c r="D718" s="2">
        <f>YEAR(Table1[[#This Row],[PurchaseDate]])</f>
        <v>2024</v>
      </c>
      <c r="E718" s="2" t="str">
        <f>"Q"&amp;ROUNDUP(MONTH(Table1[[#This Row],[PurchaseDate]])/3,0)</f>
        <v>Q2</v>
      </c>
      <c r="F718" s="2">
        <f>MONTH(Table1[[#This Row],[PurchaseDate]])</f>
        <v>5</v>
      </c>
      <c r="G718" s="2" t="str">
        <f>TEXT(Table1[[#This Row],[PurchaseDate]],"MMM")</f>
        <v>May</v>
      </c>
      <c r="H718">
        <v>1</v>
      </c>
      <c r="I718">
        <v>385.9</v>
      </c>
      <c r="J718" t="s">
        <v>1398</v>
      </c>
      <c r="K718" t="s">
        <v>18</v>
      </c>
      <c r="L718" t="s">
        <v>14</v>
      </c>
      <c r="M718">
        <v>2</v>
      </c>
      <c r="N718">
        <v>385.9</v>
      </c>
    </row>
    <row r="719" spans="1:14" x14ac:dyDescent="0.3">
      <c r="A719" t="s">
        <v>1399</v>
      </c>
      <c r="B719" t="s">
        <v>29</v>
      </c>
      <c r="C719" s="1">
        <v>45514</v>
      </c>
      <c r="D719" s="2">
        <f>YEAR(Table1[[#This Row],[PurchaseDate]])</f>
        <v>2024</v>
      </c>
      <c r="E719" s="2" t="str">
        <f>"Q"&amp;ROUNDUP(MONTH(Table1[[#This Row],[PurchaseDate]])/3,0)</f>
        <v>Q3</v>
      </c>
      <c r="F719" s="2">
        <f>MONTH(Table1[[#This Row],[PurchaseDate]])</f>
        <v>8</v>
      </c>
      <c r="G719" s="2" t="str">
        <f>TEXT(Table1[[#This Row],[PurchaseDate]],"MMM")</f>
        <v>Aug</v>
      </c>
      <c r="H719">
        <v>8</v>
      </c>
      <c r="I719">
        <v>486.92</v>
      </c>
      <c r="J719" t="s">
        <v>1400</v>
      </c>
      <c r="K719" t="s">
        <v>18</v>
      </c>
      <c r="L719" t="s">
        <v>23</v>
      </c>
      <c r="M719">
        <v>4</v>
      </c>
      <c r="N719">
        <v>3895.36</v>
      </c>
    </row>
    <row r="720" spans="1:14" x14ac:dyDescent="0.3">
      <c r="A720" t="s">
        <v>1401</v>
      </c>
      <c r="B720" t="s">
        <v>42</v>
      </c>
      <c r="C720" s="1">
        <v>44953</v>
      </c>
      <c r="D720" s="2">
        <f>YEAR(Table1[[#This Row],[PurchaseDate]])</f>
        <v>2023</v>
      </c>
      <c r="E720" s="2" t="str">
        <f>"Q"&amp;ROUNDUP(MONTH(Table1[[#This Row],[PurchaseDate]])/3,0)</f>
        <v>Q1</v>
      </c>
      <c r="F720" s="2">
        <f>MONTH(Table1[[#This Row],[PurchaseDate]])</f>
        <v>1</v>
      </c>
      <c r="G720" s="2" t="str">
        <f>TEXT(Table1[[#This Row],[PurchaseDate]],"MMM")</f>
        <v>Jan</v>
      </c>
      <c r="H720">
        <v>2</v>
      </c>
      <c r="I720">
        <v>377.71</v>
      </c>
      <c r="J720" t="s">
        <v>1402</v>
      </c>
      <c r="K720" t="s">
        <v>38</v>
      </c>
      <c r="L720" t="s">
        <v>14</v>
      </c>
      <c r="M720">
        <v>2</v>
      </c>
      <c r="N720">
        <v>755.42</v>
      </c>
    </row>
    <row r="721" spans="1:14" x14ac:dyDescent="0.3">
      <c r="A721" t="s">
        <v>1403</v>
      </c>
      <c r="B721" t="s">
        <v>25</v>
      </c>
      <c r="C721" s="1">
        <v>45347</v>
      </c>
      <c r="D721" s="2">
        <f>YEAR(Table1[[#This Row],[PurchaseDate]])</f>
        <v>2024</v>
      </c>
      <c r="E721" s="2" t="str">
        <f>"Q"&amp;ROUNDUP(MONTH(Table1[[#This Row],[PurchaseDate]])/3,0)</f>
        <v>Q1</v>
      </c>
      <c r="F721" s="2">
        <f>MONTH(Table1[[#This Row],[PurchaseDate]])</f>
        <v>2</v>
      </c>
      <c r="G721" s="2" t="str">
        <f>TEXT(Table1[[#This Row],[PurchaseDate]],"MMM")</f>
        <v>Feb</v>
      </c>
      <c r="H721">
        <v>2</v>
      </c>
      <c r="I721">
        <v>294.14</v>
      </c>
      <c r="J721" t="s">
        <v>1404</v>
      </c>
      <c r="K721" t="s">
        <v>13</v>
      </c>
      <c r="L721" t="s">
        <v>19</v>
      </c>
      <c r="M721">
        <v>3</v>
      </c>
      <c r="N721">
        <v>588.28</v>
      </c>
    </row>
    <row r="722" spans="1:14" x14ac:dyDescent="0.3">
      <c r="A722" t="s">
        <v>1405</v>
      </c>
      <c r="B722" t="s">
        <v>11</v>
      </c>
      <c r="C722" s="1">
        <v>45486</v>
      </c>
      <c r="D722" s="2">
        <f>YEAR(Table1[[#This Row],[PurchaseDate]])</f>
        <v>2024</v>
      </c>
      <c r="E722" s="2" t="str">
        <f>"Q"&amp;ROUNDUP(MONTH(Table1[[#This Row],[PurchaseDate]])/3,0)</f>
        <v>Q3</v>
      </c>
      <c r="F722" s="2">
        <f>MONTH(Table1[[#This Row],[PurchaseDate]])</f>
        <v>7</v>
      </c>
      <c r="G722" s="2" t="str">
        <f>TEXT(Table1[[#This Row],[PurchaseDate]],"MMM")</f>
        <v>Jul</v>
      </c>
      <c r="H722">
        <v>4</v>
      </c>
      <c r="I722">
        <v>793.47</v>
      </c>
      <c r="J722" t="s">
        <v>1406</v>
      </c>
      <c r="K722" t="s">
        <v>13</v>
      </c>
      <c r="L722" t="s">
        <v>14</v>
      </c>
      <c r="M722">
        <v>1</v>
      </c>
      <c r="N722">
        <v>3173.88</v>
      </c>
    </row>
    <row r="723" spans="1:14" x14ac:dyDescent="0.3">
      <c r="A723" t="s">
        <v>1407</v>
      </c>
      <c r="B723" t="s">
        <v>25</v>
      </c>
      <c r="C723" s="1">
        <v>45224</v>
      </c>
      <c r="D723" s="2">
        <f>YEAR(Table1[[#This Row],[PurchaseDate]])</f>
        <v>2023</v>
      </c>
      <c r="E723" s="2" t="str">
        <f>"Q"&amp;ROUNDUP(MONTH(Table1[[#This Row],[PurchaseDate]])/3,0)</f>
        <v>Q4</v>
      </c>
      <c r="F723" s="2">
        <f>MONTH(Table1[[#This Row],[PurchaseDate]])</f>
        <v>10</v>
      </c>
      <c r="G723" s="2" t="str">
        <f>TEXT(Table1[[#This Row],[PurchaseDate]],"MMM")</f>
        <v>Oct</v>
      </c>
      <c r="H723">
        <v>4</v>
      </c>
      <c r="I723">
        <v>449.17</v>
      </c>
      <c r="J723" t="s">
        <v>1408</v>
      </c>
      <c r="K723" t="s">
        <v>18</v>
      </c>
      <c r="L723" t="s">
        <v>14</v>
      </c>
      <c r="M723">
        <v>2</v>
      </c>
      <c r="N723">
        <v>1796.68</v>
      </c>
    </row>
    <row r="724" spans="1:14" x14ac:dyDescent="0.3">
      <c r="A724" t="s">
        <v>1409</v>
      </c>
      <c r="B724" t="s">
        <v>34</v>
      </c>
      <c r="C724" s="1">
        <v>45372</v>
      </c>
      <c r="D724" s="2">
        <f>YEAR(Table1[[#This Row],[PurchaseDate]])</f>
        <v>2024</v>
      </c>
      <c r="E724" s="2" t="str">
        <f>"Q"&amp;ROUNDUP(MONTH(Table1[[#This Row],[PurchaseDate]])/3,0)</f>
        <v>Q1</v>
      </c>
      <c r="F724" s="2">
        <f>MONTH(Table1[[#This Row],[PurchaseDate]])</f>
        <v>3</v>
      </c>
      <c r="G724" s="2" t="str">
        <f>TEXT(Table1[[#This Row],[PurchaseDate]],"MMM")</f>
        <v>Mar</v>
      </c>
      <c r="H724">
        <v>8</v>
      </c>
      <c r="I724">
        <v>70.27</v>
      </c>
      <c r="J724" t="s">
        <v>1410</v>
      </c>
      <c r="K724" t="s">
        <v>18</v>
      </c>
      <c r="L724" t="s">
        <v>27</v>
      </c>
      <c r="M724">
        <v>2</v>
      </c>
      <c r="N724">
        <v>562.16</v>
      </c>
    </row>
    <row r="725" spans="1:14" x14ac:dyDescent="0.3">
      <c r="A725" t="s">
        <v>1411</v>
      </c>
      <c r="B725" t="s">
        <v>11</v>
      </c>
      <c r="C725" s="1">
        <v>45460</v>
      </c>
      <c r="D725" s="2">
        <f>YEAR(Table1[[#This Row],[PurchaseDate]])</f>
        <v>2024</v>
      </c>
      <c r="E725" s="2" t="str">
        <f>"Q"&amp;ROUNDUP(MONTH(Table1[[#This Row],[PurchaseDate]])/3,0)</f>
        <v>Q2</v>
      </c>
      <c r="F725" s="2">
        <f>MONTH(Table1[[#This Row],[PurchaseDate]])</f>
        <v>6</v>
      </c>
      <c r="G725" s="2" t="str">
        <f>TEXT(Table1[[#This Row],[PurchaseDate]],"MMM")</f>
        <v>Jun</v>
      </c>
      <c r="H725">
        <v>7</v>
      </c>
      <c r="I725">
        <v>612.41</v>
      </c>
      <c r="J725" t="s">
        <v>1412</v>
      </c>
      <c r="K725" t="s">
        <v>38</v>
      </c>
      <c r="L725" t="s">
        <v>58</v>
      </c>
      <c r="M725">
        <v>5</v>
      </c>
      <c r="N725">
        <v>4286.87</v>
      </c>
    </row>
    <row r="726" spans="1:14" x14ac:dyDescent="0.3">
      <c r="A726" t="s">
        <v>1413</v>
      </c>
      <c r="B726" t="s">
        <v>25</v>
      </c>
      <c r="C726" s="1">
        <v>45569</v>
      </c>
      <c r="D726" s="2">
        <f>YEAR(Table1[[#This Row],[PurchaseDate]])</f>
        <v>2024</v>
      </c>
      <c r="E726" s="2" t="str">
        <f>"Q"&amp;ROUNDUP(MONTH(Table1[[#This Row],[PurchaseDate]])/3,0)</f>
        <v>Q4</v>
      </c>
      <c r="F726" s="2">
        <f>MONTH(Table1[[#This Row],[PurchaseDate]])</f>
        <v>10</v>
      </c>
      <c r="G726" s="2" t="str">
        <f>TEXT(Table1[[#This Row],[PurchaseDate]],"MMM")</f>
        <v>Oct</v>
      </c>
      <c r="H726">
        <v>8</v>
      </c>
      <c r="I726">
        <v>349.4</v>
      </c>
      <c r="J726" t="s">
        <v>1414</v>
      </c>
      <c r="K726" t="s">
        <v>18</v>
      </c>
      <c r="L726" t="s">
        <v>19</v>
      </c>
      <c r="M726">
        <v>5</v>
      </c>
      <c r="N726">
        <v>2795.2</v>
      </c>
    </row>
    <row r="727" spans="1:14" x14ac:dyDescent="0.3">
      <c r="A727" t="s">
        <v>1415</v>
      </c>
      <c r="B727" t="s">
        <v>25</v>
      </c>
      <c r="C727" s="1">
        <v>45355</v>
      </c>
      <c r="D727" s="2">
        <f>YEAR(Table1[[#This Row],[PurchaseDate]])</f>
        <v>2024</v>
      </c>
      <c r="E727" s="2" t="str">
        <f>"Q"&amp;ROUNDUP(MONTH(Table1[[#This Row],[PurchaseDate]])/3,0)</f>
        <v>Q1</v>
      </c>
      <c r="F727" s="2">
        <f>MONTH(Table1[[#This Row],[PurchaseDate]])</f>
        <v>3</v>
      </c>
      <c r="G727" s="2" t="str">
        <f>TEXT(Table1[[#This Row],[PurchaseDate]],"MMM")</f>
        <v>Mar</v>
      </c>
      <c r="H727">
        <v>1</v>
      </c>
      <c r="I727">
        <v>113.78</v>
      </c>
      <c r="J727" t="s">
        <v>1416</v>
      </c>
      <c r="K727" t="s">
        <v>18</v>
      </c>
      <c r="L727" t="s">
        <v>27</v>
      </c>
      <c r="M727">
        <v>4</v>
      </c>
      <c r="N727">
        <v>113.78</v>
      </c>
    </row>
    <row r="728" spans="1:14" x14ac:dyDescent="0.3">
      <c r="A728" t="s">
        <v>1417</v>
      </c>
      <c r="B728" t="s">
        <v>42</v>
      </c>
      <c r="C728" s="1">
        <v>44996</v>
      </c>
      <c r="D728" s="2">
        <f>YEAR(Table1[[#This Row],[PurchaseDate]])</f>
        <v>2023</v>
      </c>
      <c r="E728" s="2" t="str">
        <f>"Q"&amp;ROUNDUP(MONTH(Table1[[#This Row],[PurchaseDate]])/3,0)</f>
        <v>Q1</v>
      </c>
      <c r="F728" s="2">
        <f>MONTH(Table1[[#This Row],[PurchaseDate]])</f>
        <v>3</v>
      </c>
      <c r="G728" s="2" t="str">
        <f>TEXT(Table1[[#This Row],[PurchaseDate]],"MMM")</f>
        <v>Mar</v>
      </c>
      <c r="H728">
        <v>4</v>
      </c>
      <c r="I728">
        <v>64.23</v>
      </c>
      <c r="J728" t="s">
        <v>1418</v>
      </c>
      <c r="K728" t="s">
        <v>18</v>
      </c>
      <c r="L728" t="s">
        <v>23</v>
      </c>
      <c r="M728">
        <v>4</v>
      </c>
      <c r="N728">
        <v>256.92</v>
      </c>
    </row>
    <row r="729" spans="1:14" x14ac:dyDescent="0.3">
      <c r="A729" t="s">
        <v>1419</v>
      </c>
      <c r="B729" t="s">
        <v>16</v>
      </c>
      <c r="C729" s="1">
        <v>45058</v>
      </c>
      <c r="D729" s="2">
        <f>YEAR(Table1[[#This Row],[PurchaseDate]])</f>
        <v>2023</v>
      </c>
      <c r="E729" s="2" t="str">
        <f>"Q"&amp;ROUNDUP(MONTH(Table1[[#This Row],[PurchaseDate]])/3,0)</f>
        <v>Q2</v>
      </c>
      <c r="F729" s="2">
        <f>MONTH(Table1[[#This Row],[PurchaseDate]])</f>
        <v>5</v>
      </c>
      <c r="G729" s="2" t="str">
        <f>TEXT(Table1[[#This Row],[PurchaseDate]],"MMM")</f>
        <v>May</v>
      </c>
      <c r="H729">
        <v>4</v>
      </c>
      <c r="I729">
        <v>176.79</v>
      </c>
      <c r="J729" t="s">
        <v>1420</v>
      </c>
      <c r="K729" t="s">
        <v>13</v>
      </c>
      <c r="L729" t="s">
        <v>27</v>
      </c>
      <c r="M729">
        <v>5</v>
      </c>
      <c r="N729">
        <v>707.16</v>
      </c>
    </row>
    <row r="730" spans="1:14" x14ac:dyDescent="0.3">
      <c r="A730" t="s">
        <v>1421</v>
      </c>
      <c r="B730" t="s">
        <v>25</v>
      </c>
      <c r="C730" s="1">
        <v>45207</v>
      </c>
      <c r="D730" s="2">
        <f>YEAR(Table1[[#This Row],[PurchaseDate]])</f>
        <v>2023</v>
      </c>
      <c r="E730" s="2" t="str">
        <f>"Q"&amp;ROUNDUP(MONTH(Table1[[#This Row],[PurchaseDate]])/3,0)</f>
        <v>Q4</v>
      </c>
      <c r="F730" s="2">
        <f>MONTH(Table1[[#This Row],[PurchaseDate]])</f>
        <v>10</v>
      </c>
      <c r="G730" s="2" t="str">
        <f>TEXT(Table1[[#This Row],[PurchaseDate]],"MMM")</f>
        <v>Oct</v>
      </c>
      <c r="H730">
        <v>1</v>
      </c>
      <c r="I730">
        <v>314.94</v>
      </c>
      <c r="J730" t="s">
        <v>1422</v>
      </c>
      <c r="K730" t="s">
        <v>13</v>
      </c>
      <c r="L730" t="s">
        <v>19</v>
      </c>
      <c r="M730">
        <v>2</v>
      </c>
      <c r="N730">
        <v>314.94</v>
      </c>
    </row>
    <row r="731" spans="1:14" x14ac:dyDescent="0.3">
      <c r="A731" t="s">
        <v>1423</v>
      </c>
      <c r="B731" t="s">
        <v>25</v>
      </c>
      <c r="C731" s="1">
        <v>45756</v>
      </c>
      <c r="D731" s="2">
        <f>YEAR(Table1[[#This Row],[PurchaseDate]])</f>
        <v>2025</v>
      </c>
      <c r="E731" s="2" t="str">
        <f>"Q"&amp;ROUNDUP(MONTH(Table1[[#This Row],[PurchaseDate]])/3,0)</f>
        <v>Q2</v>
      </c>
      <c r="F731" s="2">
        <f>MONTH(Table1[[#This Row],[PurchaseDate]])</f>
        <v>4</v>
      </c>
      <c r="G731" s="2" t="str">
        <f>TEXT(Table1[[#This Row],[PurchaseDate]],"MMM")</f>
        <v>Apr</v>
      </c>
      <c r="H731">
        <v>4</v>
      </c>
      <c r="I731">
        <v>159.33000000000001</v>
      </c>
      <c r="J731" t="s">
        <v>1424</v>
      </c>
      <c r="K731" t="s">
        <v>18</v>
      </c>
      <c r="L731" t="s">
        <v>27</v>
      </c>
      <c r="M731">
        <v>3</v>
      </c>
      <c r="N731">
        <v>637.32000000000005</v>
      </c>
    </row>
    <row r="732" spans="1:14" x14ac:dyDescent="0.3">
      <c r="A732" t="s">
        <v>1425</v>
      </c>
      <c r="B732" t="s">
        <v>11</v>
      </c>
      <c r="C732" s="1">
        <v>45005</v>
      </c>
      <c r="D732" s="2">
        <f>YEAR(Table1[[#This Row],[PurchaseDate]])</f>
        <v>2023</v>
      </c>
      <c r="E732" s="2" t="str">
        <f>"Q"&amp;ROUNDUP(MONTH(Table1[[#This Row],[PurchaseDate]])/3,0)</f>
        <v>Q1</v>
      </c>
      <c r="F732" s="2">
        <f>MONTH(Table1[[#This Row],[PurchaseDate]])</f>
        <v>3</v>
      </c>
      <c r="G732" s="2" t="str">
        <f>TEXT(Table1[[#This Row],[PurchaseDate]],"MMM")</f>
        <v>Mar</v>
      </c>
      <c r="H732">
        <v>7</v>
      </c>
      <c r="I732">
        <v>497.96</v>
      </c>
      <c r="J732" t="s">
        <v>1426</v>
      </c>
      <c r="K732" t="s">
        <v>18</v>
      </c>
      <c r="L732" t="s">
        <v>58</v>
      </c>
      <c r="M732">
        <v>5</v>
      </c>
      <c r="N732">
        <v>3485.72</v>
      </c>
    </row>
    <row r="733" spans="1:14" x14ac:dyDescent="0.3">
      <c r="A733" t="s">
        <v>1427</v>
      </c>
      <c r="B733" t="s">
        <v>25</v>
      </c>
      <c r="C733" s="1">
        <v>45397</v>
      </c>
      <c r="D733" s="2">
        <f>YEAR(Table1[[#This Row],[PurchaseDate]])</f>
        <v>2024</v>
      </c>
      <c r="E733" s="2" t="str">
        <f>"Q"&amp;ROUNDUP(MONTH(Table1[[#This Row],[PurchaseDate]])/3,0)</f>
        <v>Q2</v>
      </c>
      <c r="F733" s="2">
        <f>MONTH(Table1[[#This Row],[PurchaseDate]])</f>
        <v>4</v>
      </c>
      <c r="G733" s="2" t="str">
        <f>TEXT(Table1[[#This Row],[PurchaseDate]],"MMM")</f>
        <v>Apr</v>
      </c>
      <c r="H733">
        <v>4</v>
      </c>
      <c r="I733">
        <v>775.29</v>
      </c>
      <c r="J733" t="s">
        <v>1428</v>
      </c>
      <c r="K733" t="s">
        <v>38</v>
      </c>
      <c r="L733" t="s">
        <v>14</v>
      </c>
      <c r="M733">
        <v>5</v>
      </c>
      <c r="N733">
        <v>3101.16</v>
      </c>
    </row>
    <row r="734" spans="1:14" x14ac:dyDescent="0.3">
      <c r="A734" t="s">
        <v>1429</v>
      </c>
      <c r="B734" t="s">
        <v>34</v>
      </c>
      <c r="C734" s="1">
        <v>45339</v>
      </c>
      <c r="D734" s="2">
        <f>YEAR(Table1[[#This Row],[PurchaseDate]])</f>
        <v>2024</v>
      </c>
      <c r="E734" s="2" t="str">
        <f>"Q"&amp;ROUNDUP(MONTH(Table1[[#This Row],[PurchaseDate]])/3,0)</f>
        <v>Q1</v>
      </c>
      <c r="F734" s="2">
        <f>MONTH(Table1[[#This Row],[PurchaseDate]])</f>
        <v>2</v>
      </c>
      <c r="G734" s="2" t="str">
        <f>TEXT(Table1[[#This Row],[PurchaseDate]],"MMM")</f>
        <v>Feb</v>
      </c>
      <c r="H734">
        <v>8</v>
      </c>
      <c r="I734">
        <v>675.18</v>
      </c>
      <c r="J734" t="s">
        <v>1430</v>
      </c>
      <c r="K734" t="s">
        <v>18</v>
      </c>
      <c r="L734" t="s">
        <v>27</v>
      </c>
      <c r="M734">
        <v>2</v>
      </c>
      <c r="N734">
        <v>5401.44</v>
      </c>
    </row>
    <row r="735" spans="1:14" x14ac:dyDescent="0.3">
      <c r="A735" t="s">
        <v>1431</v>
      </c>
      <c r="B735" t="s">
        <v>21</v>
      </c>
      <c r="C735" s="1">
        <v>45478</v>
      </c>
      <c r="D735" s="2">
        <f>YEAR(Table1[[#This Row],[PurchaseDate]])</f>
        <v>2024</v>
      </c>
      <c r="E735" s="2" t="str">
        <f>"Q"&amp;ROUNDUP(MONTH(Table1[[#This Row],[PurchaseDate]])/3,0)</f>
        <v>Q3</v>
      </c>
      <c r="F735" s="2">
        <f>MONTH(Table1[[#This Row],[PurchaseDate]])</f>
        <v>7</v>
      </c>
      <c r="G735" s="2" t="str">
        <f>TEXT(Table1[[#This Row],[PurchaseDate]],"MMM")</f>
        <v>Jul</v>
      </c>
      <c r="H735">
        <v>4</v>
      </c>
      <c r="I735">
        <v>522.89</v>
      </c>
      <c r="J735" t="s">
        <v>1432</v>
      </c>
      <c r="K735" t="s">
        <v>13</v>
      </c>
      <c r="L735" t="s">
        <v>19</v>
      </c>
      <c r="M735">
        <v>4</v>
      </c>
      <c r="N735">
        <v>2091.56</v>
      </c>
    </row>
    <row r="736" spans="1:14" x14ac:dyDescent="0.3">
      <c r="A736" t="s">
        <v>1433</v>
      </c>
      <c r="B736" t="s">
        <v>25</v>
      </c>
      <c r="C736" s="1">
        <v>45779</v>
      </c>
      <c r="D736" s="2">
        <f>YEAR(Table1[[#This Row],[PurchaseDate]])</f>
        <v>2025</v>
      </c>
      <c r="E736" s="2" t="str">
        <f>"Q"&amp;ROUNDUP(MONTH(Table1[[#This Row],[PurchaseDate]])/3,0)</f>
        <v>Q2</v>
      </c>
      <c r="F736" s="2">
        <f>MONTH(Table1[[#This Row],[PurchaseDate]])</f>
        <v>5</v>
      </c>
      <c r="G736" s="2" t="str">
        <f>TEXT(Table1[[#This Row],[PurchaseDate]],"MMM")</f>
        <v>May</v>
      </c>
      <c r="H736">
        <v>6</v>
      </c>
      <c r="I736">
        <v>70.87</v>
      </c>
      <c r="J736" t="s">
        <v>1434</v>
      </c>
      <c r="K736" t="s">
        <v>18</v>
      </c>
      <c r="L736" t="s">
        <v>19</v>
      </c>
      <c r="M736">
        <v>4</v>
      </c>
      <c r="N736">
        <v>425.22</v>
      </c>
    </row>
    <row r="737" spans="1:14" x14ac:dyDescent="0.3">
      <c r="A737" t="s">
        <v>1435</v>
      </c>
      <c r="B737" t="s">
        <v>34</v>
      </c>
      <c r="C737" s="1">
        <v>45162</v>
      </c>
      <c r="D737" s="2">
        <f>YEAR(Table1[[#This Row],[PurchaseDate]])</f>
        <v>2023</v>
      </c>
      <c r="E737" s="2" t="str">
        <f>"Q"&amp;ROUNDUP(MONTH(Table1[[#This Row],[PurchaseDate]])/3,0)</f>
        <v>Q3</v>
      </c>
      <c r="F737" s="2">
        <f>MONTH(Table1[[#This Row],[PurchaseDate]])</f>
        <v>8</v>
      </c>
      <c r="G737" s="2" t="str">
        <f>TEXT(Table1[[#This Row],[PurchaseDate]],"MMM")</f>
        <v>Aug</v>
      </c>
      <c r="H737">
        <v>5</v>
      </c>
      <c r="I737">
        <v>383.03</v>
      </c>
      <c r="J737" t="s">
        <v>1436</v>
      </c>
      <c r="K737" t="s">
        <v>38</v>
      </c>
      <c r="L737" t="s">
        <v>58</v>
      </c>
      <c r="M737">
        <v>2</v>
      </c>
      <c r="N737">
        <v>1915.15</v>
      </c>
    </row>
    <row r="738" spans="1:14" x14ac:dyDescent="0.3">
      <c r="A738" t="s">
        <v>1437</v>
      </c>
      <c r="B738" t="s">
        <v>29</v>
      </c>
      <c r="C738" s="1">
        <v>45417</v>
      </c>
      <c r="D738" s="2">
        <f>YEAR(Table1[[#This Row],[PurchaseDate]])</f>
        <v>2024</v>
      </c>
      <c r="E738" s="2" t="str">
        <f>"Q"&amp;ROUNDUP(MONTH(Table1[[#This Row],[PurchaseDate]])/3,0)</f>
        <v>Q2</v>
      </c>
      <c r="F738" s="2">
        <f>MONTH(Table1[[#This Row],[PurchaseDate]])</f>
        <v>5</v>
      </c>
      <c r="G738" s="2" t="str">
        <f>TEXT(Table1[[#This Row],[PurchaseDate]],"MMM")</f>
        <v>May</v>
      </c>
      <c r="H738">
        <v>5</v>
      </c>
      <c r="I738">
        <v>186.86</v>
      </c>
      <c r="J738" t="s">
        <v>1438</v>
      </c>
      <c r="K738" t="s">
        <v>38</v>
      </c>
      <c r="L738" t="s">
        <v>27</v>
      </c>
      <c r="M738">
        <v>2</v>
      </c>
      <c r="N738">
        <v>934.3</v>
      </c>
    </row>
    <row r="739" spans="1:14" x14ac:dyDescent="0.3">
      <c r="A739" t="s">
        <v>529</v>
      </c>
      <c r="B739" t="s">
        <v>16</v>
      </c>
      <c r="C739" s="1">
        <v>45363</v>
      </c>
      <c r="D739" s="2">
        <f>YEAR(Table1[[#This Row],[PurchaseDate]])</f>
        <v>2024</v>
      </c>
      <c r="E739" s="2" t="str">
        <f>"Q"&amp;ROUNDUP(MONTH(Table1[[#This Row],[PurchaseDate]])/3,0)</f>
        <v>Q1</v>
      </c>
      <c r="F739" s="2">
        <f>MONTH(Table1[[#This Row],[PurchaseDate]])</f>
        <v>3</v>
      </c>
      <c r="G739" s="2" t="str">
        <f>TEXT(Table1[[#This Row],[PurchaseDate]],"MMM")</f>
        <v>Mar</v>
      </c>
      <c r="H739">
        <v>5</v>
      </c>
      <c r="I739">
        <v>209.86</v>
      </c>
      <c r="J739" t="s">
        <v>530</v>
      </c>
      <c r="K739" t="s">
        <v>38</v>
      </c>
      <c r="L739" t="s">
        <v>58</v>
      </c>
      <c r="M739">
        <v>5</v>
      </c>
      <c r="N739">
        <v>1049.3</v>
      </c>
    </row>
    <row r="740" spans="1:14" x14ac:dyDescent="0.3">
      <c r="A740" t="s">
        <v>1439</v>
      </c>
      <c r="B740" t="s">
        <v>25</v>
      </c>
      <c r="C740" s="1">
        <v>45078</v>
      </c>
      <c r="D740" s="2">
        <f>YEAR(Table1[[#This Row],[PurchaseDate]])</f>
        <v>2023</v>
      </c>
      <c r="E740" s="2" t="str">
        <f>"Q"&amp;ROUNDUP(MONTH(Table1[[#This Row],[PurchaseDate]])/3,0)</f>
        <v>Q2</v>
      </c>
      <c r="F740" s="2">
        <f>MONTH(Table1[[#This Row],[PurchaseDate]])</f>
        <v>6</v>
      </c>
      <c r="G740" s="2" t="str">
        <f>TEXT(Table1[[#This Row],[PurchaseDate]],"MMM")</f>
        <v>Jun</v>
      </c>
      <c r="H740">
        <v>1</v>
      </c>
      <c r="I740">
        <v>114.84</v>
      </c>
      <c r="J740" t="s">
        <v>1440</v>
      </c>
      <c r="K740" t="s">
        <v>18</v>
      </c>
      <c r="L740" t="s">
        <v>23</v>
      </c>
      <c r="M740">
        <v>5</v>
      </c>
      <c r="N740">
        <v>114.84</v>
      </c>
    </row>
    <row r="741" spans="1:14" x14ac:dyDescent="0.3">
      <c r="A741" t="s">
        <v>1441</v>
      </c>
      <c r="B741" t="s">
        <v>16</v>
      </c>
      <c r="C741" s="1">
        <v>45601</v>
      </c>
      <c r="D741" s="2">
        <f>YEAR(Table1[[#This Row],[PurchaseDate]])</f>
        <v>2024</v>
      </c>
      <c r="E741" s="2" t="str">
        <f>"Q"&amp;ROUNDUP(MONTH(Table1[[#This Row],[PurchaseDate]])/3,0)</f>
        <v>Q4</v>
      </c>
      <c r="F741" s="2">
        <f>MONTH(Table1[[#This Row],[PurchaseDate]])</f>
        <v>11</v>
      </c>
      <c r="G741" s="2" t="str">
        <f>TEXT(Table1[[#This Row],[PurchaseDate]],"MMM")</f>
        <v>Nov</v>
      </c>
      <c r="H741">
        <v>8</v>
      </c>
      <c r="I741">
        <v>374.39</v>
      </c>
      <c r="J741" t="s">
        <v>1442</v>
      </c>
      <c r="K741" t="s">
        <v>38</v>
      </c>
      <c r="L741" t="s">
        <v>19</v>
      </c>
      <c r="M741">
        <v>3</v>
      </c>
      <c r="N741">
        <v>2995.12</v>
      </c>
    </row>
    <row r="742" spans="1:14" x14ac:dyDescent="0.3">
      <c r="A742" t="s">
        <v>1443</v>
      </c>
      <c r="B742" t="s">
        <v>34</v>
      </c>
      <c r="C742" s="1">
        <v>45034</v>
      </c>
      <c r="D742" s="2">
        <f>YEAR(Table1[[#This Row],[PurchaseDate]])</f>
        <v>2023</v>
      </c>
      <c r="E742" s="2" t="str">
        <f>"Q"&amp;ROUNDUP(MONTH(Table1[[#This Row],[PurchaseDate]])/3,0)</f>
        <v>Q2</v>
      </c>
      <c r="F742" s="2">
        <f>MONTH(Table1[[#This Row],[PurchaseDate]])</f>
        <v>4</v>
      </c>
      <c r="G742" s="2" t="str">
        <f>TEXT(Table1[[#This Row],[PurchaseDate]],"MMM")</f>
        <v>Apr</v>
      </c>
      <c r="H742">
        <v>7</v>
      </c>
      <c r="I742">
        <v>494.18</v>
      </c>
      <c r="J742" t="s">
        <v>1444</v>
      </c>
      <c r="K742" t="s">
        <v>13</v>
      </c>
      <c r="L742" t="s">
        <v>58</v>
      </c>
      <c r="M742">
        <v>2</v>
      </c>
      <c r="N742">
        <v>3459.26</v>
      </c>
    </row>
    <row r="743" spans="1:14" x14ac:dyDescent="0.3">
      <c r="A743" t="s">
        <v>1445</v>
      </c>
      <c r="B743" t="s">
        <v>16</v>
      </c>
      <c r="C743" s="1">
        <v>45239</v>
      </c>
      <c r="D743" s="2">
        <f>YEAR(Table1[[#This Row],[PurchaseDate]])</f>
        <v>2023</v>
      </c>
      <c r="E743" s="2" t="str">
        <f>"Q"&amp;ROUNDUP(MONTH(Table1[[#This Row],[PurchaseDate]])/3,0)</f>
        <v>Q4</v>
      </c>
      <c r="F743" s="2">
        <f>MONTH(Table1[[#This Row],[PurchaseDate]])</f>
        <v>11</v>
      </c>
      <c r="G743" s="2" t="str">
        <f>TEXT(Table1[[#This Row],[PurchaseDate]],"MMM")</f>
        <v>Nov</v>
      </c>
      <c r="H743">
        <v>4</v>
      </c>
      <c r="I743">
        <v>780.37</v>
      </c>
      <c r="J743" t="s">
        <v>1446</v>
      </c>
      <c r="K743" t="s">
        <v>18</v>
      </c>
      <c r="L743" t="s">
        <v>58</v>
      </c>
      <c r="M743">
        <v>2</v>
      </c>
      <c r="N743">
        <v>3121.48</v>
      </c>
    </row>
    <row r="744" spans="1:14" x14ac:dyDescent="0.3">
      <c r="A744" t="s">
        <v>1447</v>
      </c>
      <c r="B744" t="s">
        <v>16</v>
      </c>
      <c r="C744" s="1">
        <v>45356</v>
      </c>
      <c r="D744" s="2">
        <f>YEAR(Table1[[#This Row],[PurchaseDate]])</f>
        <v>2024</v>
      </c>
      <c r="E744" s="2" t="str">
        <f>"Q"&amp;ROUNDUP(MONTH(Table1[[#This Row],[PurchaseDate]])/3,0)</f>
        <v>Q1</v>
      </c>
      <c r="F744" s="2">
        <f>MONTH(Table1[[#This Row],[PurchaseDate]])</f>
        <v>3</v>
      </c>
      <c r="G744" s="2" t="str">
        <f>TEXT(Table1[[#This Row],[PurchaseDate]],"MMM")</f>
        <v>Mar</v>
      </c>
      <c r="H744">
        <v>6</v>
      </c>
      <c r="I744">
        <v>766.8</v>
      </c>
      <c r="J744" t="s">
        <v>1448</v>
      </c>
      <c r="K744" t="s">
        <v>18</v>
      </c>
      <c r="L744" t="s">
        <v>19</v>
      </c>
      <c r="M744">
        <v>2</v>
      </c>
      <c r="N744">
        <v>4600.8</v>
      </c>
    </row>
    <row r="745" spans="1:14" x14ac:dyDescent="0.3">
      <c r="A745" t="s">
        <v>781</v>
      </c>
      <c r="B745" t="s">
        <v>34</v>
      </c>
      <c r="C745" s="1">
        <v>45227</v>
      </c>
      <c r="D745" s="2">
        <f>YEAR(Table1[[#This Row],[PurchaseDate]])</f>
        <v>2023</v>
      </c>
      <c r="E745" s="2" t="str">
        <f>"Q"&amp;ROUNDUP(MONTH(Table1[[#This Row],[PurchaseDate]])/3,0)</f>
        <v>Q4</v>
      </c>
      <c r="F745" s="2">
        <f>MONTH(Table1[[#This Row],[PurchaseDate]])</f>
        <v>10</v>
      </c>
      <c r="G745" s="2" t="str">
        <f>TEXT(Table1[[#This Row],[PurchaseDate]],"MMM")</f>
        <v>Oct</v>
      </c>
      <c r="H745">
        <v>7</v>
      </c>
      <c r="I745">
        <v>59.51</v>
      </c>
      <c r="J745" t="s">
        <v>782</v>
      </c>
      <c r="K745" t="s">
        <v>18</v>
      </c>
      <c r="L745" t="s">
        <v>14</v>
      </c>
      <c r="M745">
        <v>3</v>
      </c>
      <c r="N745">
        <v>416.57</v>
      </c>
    </row>
    <row r="746" spans="1:14" x14ac:dyDescent="0.3">
      <c r="A746" t="s">
        <v>1449</v>
      </c>
      <c r="B746" t="s">
        <v>25</v>
      </c>
      <c r="C746" s="1">
        <v>45643</v>
      </c>
      <c r="D746" s="2">
        <f>YEAR(Table1[[#This Row],[PurchaseDate]])</f>
        <v>2024</v>
      </c>
      <c r="E746" s="2" t="str">
        <f>"Q"&amp;ROUNDUP(MONTH(Table1[[#This Row],[PurchaseDate]])/3,0)</f>
        <v>Q4</v>
      </c>
      <c r="F746" s="2">
        <f>MONTH(Table1[[#This Row],[PurchaseDate]])</f>
        <v>12</v>
      </c>
      <c r="G746" s="2" t="str">
        <f>TEXT(Table1[[#This Row],[PurchaseDate]],"MMM")</f>
        <v>Dec</v>
      </c>
      <c r="H746">
        <v>5</v>
      </c>
      <c r="I746">
        <v>457.47</v>
      </c>
      <c r="J746" t="s">
        <v>1450</v>
      </c>
      <c r="K746" t="s">
        <v>18</v>
      </c>
      <c r="L746" t="s">
        <v>27</v>
      </c>
      <c r="M746">
        <v>1</v>
      </c>
      <c r="N746">
        <v>2287.35</v>
      </c>
    </row>
    <row r="747" spans="1:14" x14ac:dyDescent="0.3">
      <c r="A747" t="s">
        <v>1451</v>
      </c>
      <c r="B747" t="s">
        <v>34</v>
      </c>
      <c r="C747" s="1">
        <v>45834</v>
      </c>
      <c r="D747" s="2">
        <f>YEAR(Table1[[#This Row],[PurchaseDate]])</f>
        <v>2025</v>
      </c>
      <c r="E747" s="2" t="str">
        <f>"Q"&amp;ROUNDUP(MONTH(Table1[[#This Row],[PurchaseDate]])/3,0)</f>
        <v>Q2</v>
      </c>
      <c r="F747" s="2">
        <f>MONTH(Table1[[#This Row],[PurchaseDate]])</f>
        <v>6</v>
      </c>
      <c r="G747" s="2" t="str">
        <f>TEXT(Table1[[#This Row],[PurchaseDate]],"MMM")</f>
        <v>Jun</v>
      </c>
      <c r="H747">
        <v>2</v>
      </c>
      <c r="I747">
        <v>746.79</v>
      </c>
      <c r="J747" t="s">
        <v>1452</v>
      </c>
      <c r="K747" t="s">
        <v>38</v>
      </c>
      <c r="L747" t="s">
        <v>23</v>
      </c>
      <c r="M747">
        <v>1</v>
      </c>
      <c r="N747">
        <v>1493.58</v>
      </c>
    </row>
    <row r="748" spans="1:14" x14ac:dyDescent="0.3">
      <c r="A748" t="s">
        <v>1453</v>
      </c>
      <c r="B748" t="s">
        <v>29</v>
      </c>
      <c r="C748" s="1">
        <v>45663</v>
      </c>
      <c r="D748" s="2">
        <f>YEAR(Table1[[#This Row],[PurchaseDate]])</f>
        <v>2025</v>
      </c>
      <c r="E748" s="2" t="str">
        <f>"Q"&amp;ROUNDUP(MONTH(Table1[[#This Row],[PurchaseDate]])/3,0)</f>
        <v>Q1</v>
      </c>
      <c r="F748" s="2">
        <f>MONTH(Table1[[#This Row],[PurchaseDate]])</f>
        <v>1</v>
      </c>
      <c r="G748" s="2" t="str">
        <f>TEXT(Table1[[#This Row],[PurchaseDate]],"MMM")</f>
        <v>Jan</v>
      </c>
      <c r="H748">
        <v>3</v>
      </c>
      <c r="I748">
        <v>406.07</v>
      </c>
      <c r="J748" t="s">
        <v>1454</v>
      </c>
      <c r="K748" t="s">
        <v>13</v>
      </c>
      <c r="L748" t="s">
        <v>14</v>
      </c>
      <c r="M748">
        <v>3</v>
      </c>
      <c r="N748">
        <v>1218.21</v>
      </c>
    </row>
    <row r="749" spans="1:14" x14ac:dyDescent="0.3">
      <c r="A749" t="s">
        <v>1455</v>
      </c>
      <c r="B749" t="s">
        <v>21</v>
      </c>
      <c r="C749" s="1">
        <v>45282</v>
      </c>
      <c r="D749" s="2">
        <f>YEAR(Table1[[#This Row],[PurchaseDate]])</f>
        <v>2023</v>
      </c>
      <c r="E749" s="2" t="str">
        <f>"Q"&amp;ROUNDUP(MONTH(Table1[[#This Row],[PurchaseDate]])/3,0)</f>
        <v>Q4</v>
      </c>
      <c r="F749" s="2">
        <f>MONTH(Table1[[#This Row],[PurchaseDate]])</f>
        <v>12</v>
      </c>
      <c r="G749" s="2" t="str">
        <f>TEXT(Table1[[#This Row],[PurchaseDate]],"MMM")</f>
        <v>Dec</v>
      </c>
      <c r="H749">
        <v>7</v>
      </c>
      <c r="I749">
        <v>450.13</v>
      </c>
      <c r="J749" t="s">
        <v>1456</v>
      </c>
      <c r="K749" t="s">
        <v>38</v>
      </c>
      <c r="L749" t="s">
        <v>27</v>
      </c>
      <c r="M749">
        <v>5</v>
      </c>
      <c r="N749">
        <v>3150.91</v>
      </c>
    </row>
    <row r="750" spans="1:14" x14ac:dyDescent="0.3">
      <c r="A750" t="s">
        <v>1457</v>
      </c>
      <c r="B750" t="s">
        <v>16</v>
      </c>
      <c r="C750" s="1">
        <v>45732</v>
      </c>
      <c r="D750" s="2">
        <f>YEAR(Table1[[#This Row],[PurchaseDate]])</f>
        <v>2025</v>
      </c>
      <c r="E750" s="2" t="str">
        <f>"Q"&amp;ROUNDUP(MONTH(Table1[[#This Row],[PurchaseDate]])/3,0)</f>
        <v>Q1</v>
      </c>
      <c r="F750" s="2">
        <f>MONTH(Table1[[#This Row],[PurchaseDate]])</f>
        <v>3</v>
      </c>
      <c r="G750" s="2" t="str">
        <f>TEXT(Table1[[#This Row],[PurchaseDate]],"MMM")</f>
        <v>Mar</v>
      </c>
      <c r="H750">
        <v>3</v>
      </c>
      <c r="I750">
        <v>253.17</v>
      </c>
      <c r="J750" t="s">
        <v>1458</v>
      </c>
      <c r="K750" t="s">
        <v>18</v>
      </c>
      <c r="L750" t="s">
        <v>58</v>
      </c>
      <c r="M750">
        <v>2</v>
      </c>
      <c r="N750">
        <v>759.51</v>
      </c>
    </row>
    <row r="751" spans="1:14" x14ac:dyDescent="0.3">
      <c r="A751" t="s">
        <v>1459</v>
      </c>
      <c r="B751" t="s">
        <v>25</v>
      </c>
      <c r="C751" s="1">
        <v>45826</v>
      </c>
      <c r="D751" s="2">
        <f>YEAR(Table1[[#This Row],[PurchaseDate]])</f>
        <v>2025</v>
      </c>
      <c r="E751" s="2" t="str">
        <f>"Q"&amp;ROUNDUP(MONTH(Table1[[#This Row],[PurchaseDate]])/3,0)</f>
        <v>Q2</v>
      </c>
      <c r="F751" s="2">
        <f>MONTH(Table1[[#This Row],[PurchaseDate]])</f>
        <v>6</v>
      </c>
      <c r="G751" s="2" t="str">
        <f>TEXT(Table1[[#This Row],[PurchaseDate]],"MMM")</f>
        <v>Jun</v>
      </c>
      <c r="H751">
        <v>1</v>
      </c>
      <c r="I751">
        <v>52.44</v>
      </c>
      <c r="J751" t="s">
        <v>1460</v>
      </c>
      <c r="K751" t="s">
        <v>13</v>
      </c>
      <c r="L751" t="s">
        <v>23</v>
      </c>
      <c r="M751">
        <v>5</v>
      </c>
      <c r="N751">
        <v>52.44</v>
      </c>
    </row>
    <row r="752" spans="1:14" x14ac:dyDescent="0.3">
      <c r="A752" t="s">
        <v>1065</v>
      </c>
      <c r="B752" t="s">
        <v>11</v>
      </c>
      <c r="C752" s="1">
        <v>45148</v>
      </c>
      <c r="D752" s="2">
        <f>YEAR(Table1[[#This Row],[PurchaseDate]])</f>
        <v>2023</v>
      </c>
      <c r="E752" s="2" t="str">
        <f>"Q"&amp;ROUNDUP(MONTH(Table1[[#This Row],[PurchaseDate]])/3,0)</f>
        <v>Q3</v>
      </c>
      <c r="F752" s="2">
        <f>MONTH(Table1[[#This Row],[PurchaseDate]])</f>
        <v>8</v>
      </c>
      <c r="G752" s="2" t="str">
        <f>TEXT(Table1[[#This Row],[PurchaseDate]],"MMM")</f>
        <v>Aug</v>
      </c>
      <c r="H752">
        <v>5</v>
      </c>
      <c r="I752">
        <v>389.16</v>
      </c>
      <c r="J752" t="s">
        <v>1066</v>
      </c>
      <c r="K752" t="s">
        <v>38</v>
      </c>
      <c r="L752" t="s">
        <v>58</v>
      </c>
      <c r="M752">
        <v>3</v>
      </c>
      <c r="N752">
        <v>1945.8</v>
      </c>
    </row>
    <row r="753" spans="1:14" x14ac:dyDescent="0.3">
      <c r="A753" t="s">
        <v>1461</v>
      </c>
      <c r="B753" t="s">
        <v>21</v>
      </c>
      <c r="C753" s="1">
        <v>45393</v>
      </c>
      <c r="D753" s="2">
        <f>YEAR(Table1[[#This Row],[PurchaseDate]])</f>
        <v>2024</v>
      </c>
      <c r="E753" s="2" t="str">
        <f>"Q"&amp;ROUNDUP(MONTH(Table1[[#This Row],[PurchaseDate]])/3,0)</f>
        <v>Q2</v>
      </c>
      <c r="F753" s="2">
        <f>MONTH(Table1[[#This Row],[PurchaseDate]])</f>
        <v>4</v>
      </c>
      <c r="G753" s="2" t="str">
        <f>TEXT(Table1[[#This Row],[PurchaseDate]],"MMM")</f>
        <v>Apr</v>
      </c>
      <c r="H753">
        <v>6</v>
      </c>
      <c r="I753">
        <v>453.57</v>
      </c>
      <c r="J753" t="s">
        <v>1462</v>
      </c>
      <c r="K753" t="s">
        <v>13</v>
      </c>
      <c r="L753" t="s">
        <v>23</v>
      </c>
      <c r="M753">
        <v>1</v>
      </c>
      <c r="N753">
        <v>2721.42</v>
      </c>
    </row>
    <row r="754" spans="1:14" x14ac:dyDescent="0.3">
      <c r="A754" t="s">
        <v>1463</v>
      </c>
      <c r="B754" t="s">
        <v>29</v>
      </c>
      <c r="C754" s="1">
        <v>45021</v>
      </c>
      <c r="D754" s="2">
        <f>YEAR(Table1[[#This Row],[PurchaseDate]])</f>
        <v>2023</v>
      </c>
      <c r="E754" s="2" t="str">
        <f>"Q"&amp;ROUNDUP(MONTH(Table1[[#This Row],[PurchaseDate]])/3,0)</f>
        <v>Q2</v>
      </c>
      <c r="F754" s="2">
        <f>MONTH(Table1[[#This Row],[PurchaseDate]])</f>
        <v>4</v>
      </c>
      <c r="G754" s="2" t="str">
        <f>TEXT(Table1[[#This Row],[PurchaseDate]],"MMM")</f>
        <v>Apr</v>
      </c>
      <c r="H754">
        <v>6</v>
      </c>
      <c r="I754">
        <v>137.88</v>
      </c>
      <c r="J754" t="s">
        <v>1464</v>
      </c>
      <c r="K754" t="s">
        <v>13</v>
      </c>
      <c r="L754" t="s">
        <v>23</v>
      </c>
      <c r="M754">
        <v>1</v>
      </c>
      <c r="N754">
        <v>827.28</v>
      </c>
    </row>
    <row r="755" spans="1:14" x14ac:dyDescent="0.3">
      <c r="A755" t="s">
        <v>1465</v>
      </c>
      <c r="B755" t="s">
        <v>21</v>
      </c>
      <c r="C755" s="1">
        <v>45140</v>
      </c>
      <c r="D755" s="2">
        <f>YEAR(Table1[[#This Row],[PurchaseDate]])</f>
        <v>2023</v>
      </c>
      <c r="E755" s="2" t="str">
        <f>"Q"&amp;ROUNDUP(MONTH(Table1[[#This Row],[PurchaseDate]])/3,0)</f>
        <v>Q3</v>
      </c>
      <c r="F755" s="2">
        <f>MONTH(Table1[[#This Row],[PurchaseDate]])</f>
        <v>8</v>
      </c>
      <c r="G755" s="2" t="str">
        <f>TEXT(Table1[[#This Row],[PurchaseDate]],"MMM")</f>
        <v>Aug</v>
      </c>
      <c r="H755">
        <v>2</v>
      </c>
      <c r="I755">
        <v>183.53</v>
      </c>
      <c r="J755" t="s">
        <v>1466</v>
      </c>
      <c r="K755" t="s">
        <v>13</v>
      </c>
      <c r="L755" t="s">
        <v>14</v>
      </c>
      <c r="M755">
        <v>5</v>
      </c>
      <c r="N755">
        <v>367.06</v>
      </c>
    </row>
    <row r="756" spans="1:14" x14ac:dyDescent="0.3">
      <c r="A756" t="s">
        <v>1467</v>
      </c>
      <c r="B756" t="s">
        <v>11</v>
      </c>
      <c r="C756" s="1">
        <v>45297</v>
      </c>
      <c r="D756" s="2">
        <f>YEAR(Table1[[#This Row],[PurchaseDate]])</f>
        <v>2024</v>
      </c>
      <c r="E756" s="2" t="str">
        <f>"Q"&amp;ROUNDUP(MONTH(Table1[[#This Row],[PurchaseDate]])/3,0)</f>
        <v>Q1</v>
      </c>
      <c r="F756" s="2">
        <f>MONTH(Table1[[#This Row],[PurchaseDate]])</f>
        <v>1</v>
      </c>
      <c r="G756" s="2" t="str">
        <f>TEXT(Table1[[#This Row],[PurchaseDate]],"MMM")</f>
        <v>Jan</v>
      </c>
      <c r="H756">
        <v>5</v>
      </c>
      <c r="I756">
        <v>771.5</v>
      </c>
      <c r="J756" t="s">
        <v>1468</v>
      </c>
      <c r="K756" t="s">
        <v>18</v>
      </c>
      <c r="L756" t="s">
        <v>14</v>
      </c>
      <c r="M756">
        <v>4</v>
      </c>
      <c r="N756">
        <v>3857.5</v>
      </c>
    </row>
    <row r="757" spans="1:14" x14ac:dyDescent="0.3">
      <c r="A757" t="s">
        <v>1469</v>
      </c>
      <c r="B757" t="s">
        <v>29</v>
      </c>
      <c r="C757" s="1">
        <v>45058</v>
      </c>
      <c r="D757" s="2">
        <f>YEAR(Table1[[#This Row],[PurchaseDate]])</f>
        <v>2023</v>
      </c>
      <c r="E757" s="2" t="str">
        <f>"Q"&amp;ROUNDUP(MONTH(Table1[[#This Row],[PurchaseDate]])/3,0)</f>
        <v>Q2</v>
      </c>
      <c r="F757" s="2">
        <f>MONTH(Table1[[#This Row],[PurchaseDate]])</f>
        <v>5</v>
      </c>
      <c r="G757" s="2" t="str">
        <f>TEXT(Table1[[#This Row],[PurchaseDate]],"MMM")</f>
        <v>May</v>
      </c>
      <c r="H757">
        <v>6</v>
      </c>
      <c r="I757">
        <v>428.16</v>
      </c>
      <c r="J757" t="s">
        <v>1470</v>
      </c>
      <c r="K757" t="s">
        <v>13</v>
      </c>
      <c r="L757" t="s">
        <v>14</v>
      </c>
      <c r="M757">
        <v>3</v>
      </c>
      <c r="N757">
        <v>2568.96</v>
      </c>
    </row>
    <row r="758" spans="1:14" x14ac:dyDescent="0.3">
      <c r="A758" t="s">
        <v>1471</v>
      </c>
      <c r="B758" t="s">
        <v>42</v>
      </c>
      <c r="C758" s="1">
        <v>45700</v>
      </c>
      <c r="D758" s="2">
        <f>YEAR(Table1[[#This Row],[PurchaseDate]])</f>
        <v>2025</v>
      </c>
      <c r="E758" s="2" t="str">
        <f>"Q"&amp;ROUNDUP(MONTH(Table1[[#This Row],[PurchaseDate]])/3,0)</f>
        <v>Q1</v>
      </c>
      <c r="F758" s="2">
        <f>MONTH(Table1[[#This Row],[PurchaseDate]])</f>
        <v>2</v>
      </c>
      <c r="G758" s="2" t="str">
        <f>TEXT(Table1[[#This Row],[PurchaseDate]],"MMM")</f>
        <v>Feb</v>
      </c>
      <c r="H758">
        <v>8</v>
      </c>
      <c r="I758">
        <v>184.05</v>
      </c>
      <c r="J758" t="s">
        <v>1472</v>
      </c>
      <c r="K758" t="s">
        <v>38</v>
      </c>
      <c r="L758" t="s">
        <v>19</v>
      </c>
      <c r="M758">
        <v>5</v>
      </c>
      <c r="N758">
        <v>1472.4</v>
      </c>
    </row>
    <row r="759" spans="1:14" x14ac:dyDescent="0.3">
      <c r="A759" t="s">
        <v>1473</v>
      </c>
      <c r="B759" t="s">
        <v>16</v>
      </c>
      <c r="C759" s="1">
        <v>45793</v>
      </c>
      <c r="D759" s="2">
        <f>YEAR(Table1[[#This Row],[PurchaseDate]])</f>
        <v>2025</v>
      </c>
      <c r="E759" s="2" t="str">
        <f>"Q"&amp;ROUNDUP(MONTH(Table1[[#This Row],[PurchaseDate]])/3,0)</f>
        <v>Q2</v>
      </c>
      <c r="F759" s="2">
        <f>MONTH(Table1[[#This Row],[PurchaseDate]])</f>
        <v>5</v>
      </c>
      <c r="G759" s="2" t="str">
        <f>TEXT(Table1[[#This Row],[PurchaseDate]],"MMM")</f>
        <v>May</v>
      </c>
      <c r="H759">
        <v>8</v>
      </c>
      <c r="I759">
        <v>99.49</v>
      </c>
      <c r="J759" t="s">
        <v>1474</v>
      </c>
      <c r="K759" t="s">
        <v>38</v>
      </c>
      <c r="L759" t="s">
        <v>23</v>
      </c>
      <c r="M759">
        <v>2</v>
      </c>
      <c r="N759">
        <v>795.92</v>
      </c>
    </row>
    <row r="760" spans="1:14" x14ac:dyDescent="0.3">
      <c r="A760" t="s">
        <v>1475</v>
      </c>
      <c r="B760" t="s">
        <v>21</v>
      </c>
      <c r="C760" s="1">
        <v>45200</v>
      </c>
      <c r="D760" s="2">
        <f>YEAR(Table1[[#This Row],[PurchaseDate]])</f>
        <v>2023</v>
      </c>
      <c r="E760" s="2" t="str">
        <f>"Q"&amp;ROUNDUP(MONTH(Table1[[#This Row],[PurchaseDate]])/3,0)</f>
        <v>Q4</v>
      </c>
      <c r="F760" s="2">
        <f>MONTH(Table1[[#This Row],[PurchaseDate]])</f>
        <v>10</v>
      </c>
      <c r="G760" s="2" t="str">
        <f>TEXT(Table1[[#This Row],[PurchaseDate]],"MMM")</f>
        <v>Oct</v>
      </c>
      <c r="H760">
        <v>7</v>
      </c>
      <c r="I760">
        <v>773.06</v>
      </c>
      <c r="J760" t="s">
        <v>1476</v>
      </c>
      <c r="K760" t="s">
        <v>18</v>
      </c>
      <c r="L760" t="s">
        <v>27</v>
      </c>
      <c r="M760">
        <v>5</v>
      </c>
      <c r="N760">
        <v>5411.42</v>
      </c>
    </row>
    <row r="761" spans="1:14" x14ac:dyDescent="0.3">
      <c r="A761" t="s">
        <v>1477</v>
      </c>
      <c r="B761" t="s">
        <v>16</v>
      </c>
      <c r="C761" s="1">
        <v>45428</v>
      </c>
      <c r="D761" s="2">
        <f>YEAR(Table1[[#This Row],[PurchaseDate]])</f>
        <v>2024</v>
      </c>
      <c r="E761" s="2" t="str">
        <f>"Q"&amp;ROUNDUP(MONTH(Table1[[#This Row],[PurchaseDate]])/3,0)</f>
        <v>Q2</v>
      </c>
      <c r="F761" s="2">
        <f>MONTH(Table1[[#This Row],[PurchaseDate]])</f>
        <v>5</v>
      </c>
      <c r="G761" s="2" t="str">
        <f>TEXT(Table1[[#This Row],[PurchaseDate]],"MMM")</f>
        <v>May</v>
      </c>
      <c r="H761">
        <v>8</v>
      </c>
      <c r="I761">
        <v>526.76</v>
      </c>
      <c r="J761" t="s">
        <v>1478</v>
      </c>
      <c r="K761" t="s">
        <v>13</v>
      </c>
      <c r="L761" t="s">
        <v>23</v>
      </c>
      <c r="M761">
        <v>2</v>
      </c>
      <c r="N761">
        <v>4214.08</v>
      </c>
    </row>
    <row r="762" spans="1:14" x14ac:dyDescent="0.3">
      <c r="A762" t="s">
        <v>1479</v>
      </c>
      <c r="B762" t="s">
        <v>16</v>
      </c>
      <c r="C762" s="1">
        <v>45041</v>
      </c>
      <c r="D762" s="2">
        <f>YEAR(Table1[[#This Row],[PurchaseDate]])</f>
        <v>2023</v>
      </c>
      <c r="E762" s="2" t="str">
        <f>"Q"&amp;ROUNDUP(MONTH(Table1[[#This Row],[PurchaseDate]])/3,0)</f>
        <v>Q2</v>
      </c>
      <c r="F762" s="2">
        <f>MONTH(Table1[[#This Row],[PurchaseDate]])</f>
        <v>4</v>
      </c>
      <c r="G762" s="2" t="str">
        <f>TEXT(Table1[[#This Row],[PurchaseDate]],"MMM")</f>
        <v>Apr</v>
      </c>
      <c r="H762">
        <v>6</v>
      </c>
      <c r="I762">
        <v>98.54</v>
      </c>
      <c r="J762" t="s">
        <v>1480</v>
      </c>
      <c r="K762" t="s">
        <v>13</v>
      </c>
      <c r="L762" t="s">
        <v>58</v>
      </c>
      <c r="M762">
        <v>4</v>
      </c>
      <c r="N762">
        <v>591.24</v>
      </c>
    </row>
    <row r="763" spans="1:14" x14ac:dyDescent="0.3">
      <c r="A763" t="s">
        <v>1481</v>
      </c>
      <c r="B763" t="s">
        <v>42</v>
      </c>
      <c r="C763" s="1">
        <v>45693</v>
      </c>
      <c r="D763" s="2">
        <f>YEAR(Table1[[#This Row],[PurchaseDate]])</f>
        <v>2025</v>
      </c>
      <c r="E763" s="2" t="str">
        <f>"Q"&amp;ROUNDUP(MONTH(Table1[[#This Row],[PurchaseDate]])/3,0)</f>
        <v>Q1</v>
      </c>
      <c r="F763" s="2">
        <f>MONTH(Table1[[#This Row],[PurchaseDate]])</f>
        <v>2</v>
      </c>
      <c r="G763" s="2" t="str">
        <f>TEXT(Table1[[#This Row],[PurchaseDate]],"MMM")</f>
        <v>Feb</v>
      </c>
      <c r="H763">
        <v>7</v>
      </c>
      <c r="I763">
        <v>751.2</v>
      </c>
      <c r="J763" t="s">
        <v>1482</v>
      </c>
      <c r="K763" t="s">
        <v>13</v>
      </c>
      <c r="L763" t="s">
        <v>14</v>
      </c>
      <c r="M763">
        <v>5</v>
      </c>
      <c r="N763">
        <v>5258.4</v>
      </c>
    </row>
    <row r="764" spans="1:14" x14ac:dyDescent="0.3">
      <c r="A764" t="s">
        <v>1483</v>
      </c>
      <c r="B764" t="s">
        <v>42</v>
      </c>
      <c r="C764" s="1">
        <v>45199</v>
      </c>
      <c r="D764" s="2">
        <f>YEAR(Table1[[#This Row],[PurchaseDate]])</f>
        <v>2023</v>
      </c>
      <c r="E764" s="2" t="str">
        <f>"Q"&amp;ROUNDUP(MONTH(Table1[[#This Row],[PurchaseDate]])/3,0)</f>
        <v>Q3</v>
      </c>
      <c r="F764" s="2">
        <f>MONTH(Table1[[#This Row],[PurchaseDate]])</f>
        <v>9</v>
      </c>
      <c r="G764" s="2" t="str">
        <f>TEXT(Table1[[#This Row],[PurchaseDate]],"MMM")</f>
        <v>Sep</v>
      </c>
      <c r="H764">
        <v>2</v>
      </c>
      <c r="I764">
        <v>721.89</v>
      </c>
      <c r="J764" t="s">
        <v>1484</v>
      </c>
      <c r="K764" t="s">
        <v>13</v>
      </c>
      <c r="L764" t="s">
        <v>27</v>
      </c>
      <c r="M764">
        <v>5</v>
      </c>
      <c r="N764">
        <v>1443.78</v>
      </c>
    </row>
    <row r="765" spans="1:14" x14ac:dyDescent="0.3">
      <c r="A765" t="s">
        <v>1485</v>
      </c>
      <c r="B765" t="s">
        <v>21</v>
      </c>
      <c r="C765" s="1">
        <v>45555</v>
      </c>
      <c r="D765" s="2">
        <f>YEAR(Table1[[#This Row],[PurchaseDate]])</f>
        <v>2024</v>
      </c>
      <c r="E765" s="2" t="str">
        <f>"Q"&amp;ROUNDUP(MONTH(Table1[[#This Row],[PurchaseDate]])/3,0)</f>
        <v>Q3</v>
      </c>
      <c r="F765" s="2">
        <f>MONTH(Table1[[#This Row],[PurchaseDate]])</f>
        <v>9</v>
      </c>
      <c r="G765" s="2" t="str">
        <f>TEXT(Table1[[#This Row],[PurchaseDate]],"MMM")</f>
        <v>Sep</v>
      </c>
      <c r="H765">
        <v>4</v>
      </c>
      <c r="I765">
        <v>709.04</v>
      </c>
      <c r="J765" t="s">
        <v>1486</v>
      </c>
      <c r="K765" t="s">
        <v>13</v>
      </c>
      <c r="L765" t="s">
        <v>19</v>
      </c>
      <c r="M765">
        <v>2</v>
      </c>
      <c r="N765">
        <v>2836.16</v>
      </c>
    </row>
    <row r="766" spans="1:14" x14ac:dyDescent="0.3">
      <c r="A766" t="s">
        <v>1487</v>
      </c>
      <c r="B766" t="s">
        <v>42</v>
      </c>
      <c r="C766" s="1">
        <v>45241</v>
      </c>
      <c r="D766" s="2">
        <f>YEAR(Table1[[#This Row],[PurchaseDate]])</f>
        <v>2023</v>
      </c>
      <c r="E766" s="2" t="str">
        <f>"Q"&amp;ROUNDUP(MONTH(Table1[[#This Row],[PurchaseDate]])/3,0)</f>
        <v>Q4</v>
      </c>
      <c r="F766" s="2">
        <f>MONTH(Table1[[#This Row],[PurchaseDate]])</f>
        <v>11</v>
      </c>
      <c r="G766" s="2" t="str">
        <f>TEXT(Table1[[#This Row],[PurchaseDate]],"MMM")</f>
        <v>Nov</v>
      </c>
      <c r="H766">
        <v>1</v>
      </c>
      <c r="I766">
        <v>776.79</v>
      </c>
      <c r="J766" t="s">
        <v>1488</v>
      </c>
      <c r="K766" t="s">
        <v>38</v>
      </c>
      <c r="L766" t="s">
        <v>58</v>
      </c>
      <c r="M766">
        <v>2</v>
      </c>
      <c r="N766">
        <v>776.79</v>
      </c>
    </row>
    <row r="767" spans="1:14" x14ac:dyDescent="0.3">
      <c r="A767" t="s">
        <v>1489</v>
      </c>
      <c r="B767" t="s">
        <v>34</v>
      </c>
      <c r="C767" s="1">
        <v>45325</v>
      </c>
      <c r="D767" s="2">
        <f>YEAR(Table1[[#This Row],[PurchaseDate]])</f>
        <v>2024</v>
      </c>
      <c r="E767" s="2" t="str">
        <f>"Q"&amp;ROUNDUP(MONTH(Table1[[#This Row],[PurchaseDate]])/3,0)</f>
        <v>Q1</v>
      </c>
      <c r="F767" s="2">
        <f>MONTH(Table1[[#This Row],[PurchaseDate]])</f>
        <v>2</v>
      </c>
      <c r="G767" s="2" t="str">
        <f>TEXT(Table1[[#This Row],[PurchaseDate]],"MMM")</f>
        <v>Feb</v>
      </c>
      <c r="H767">
        <v>3</v>
      </c>
      <c r="I767">
        <v>635.16999999999996</v>
      </c>
      <c r="J767" t="s">
        <v>1490</v>
      </c>
      <c r="K767" t="s">
        <v>18</v>
      </c>
      <c r="L767" t="s">
        <v>58</v>
      </c>
      <c r="M767">
        <v>2</v>
      </c>
      <c r="N767">
        <v>1905.51</v>
      </c>
    </row>
    <row r="768" spans="1:14" x14ac:dyDescent="0.3">
      <c r="A768" t="s">
        <v>1491</v>
      </c>
      <c r="B768" t="s">
        <v>11</v>
      </c>
      <c r="C768" s="1">
        <v>45233</v>
      </c>
      <c r="D768" s="2">
        <f>YEAR(Table1[[#This Row],[PurchaseDate]])</f>
        <v>2023</v>
      </c>
      <c r="E768" s="2" t="str">
        <f>"Q"&amp;ROUNDUP(MONTH(Table1[[#This Row],[PurchaseDate]])/3,0)</f>
        <v>Q4</v>
      </c>
      <c r="F768" s="2">
        <f>MONTH(Table1[[#This Row],[PurchaseDate]])</f>
        <v>11</v>
      </c>
      <c r="G768" s="2" t="str">
        <f>TEXT(Table1[[#This Row],[PurchaseDate]],"MMM")</f>
        <v>Nov</v>
      </c>
      <c r="H768">
        <v>3</v>
      </c>
      <c r="I768">
        <v>773.11</v>
      </c>
      <c r="J768" t="s">
        <v>1492</v>
      </c>
      <c r="K768" t="s">
        <v>38</v>
      </c>
      <c r="L768" t="s">
        <v>19</v>
      </c>
      <c r="M768">
        <v>4</v>
      </c>
      <c r="N768">
        <v>2319.33</v>
      </c>
    </row>
    <row r="769" spans="1:14" x14ac:dyDescent="0.3">
      <c r="A769" t="s">
        <v>1493</v>
      </c>
      <c r="B769" t="s">
        <v>29</v>
      </c>
      <c r="C769" s="1">
        <v>45242</v>
      </c>
      <c r="D769" s="2">
        <f>YEAR(Table1[[#This Row],[PurchaseDate]])</f>
        <v>2023</v>
      </c>
      <c r="E769" s="2" t="str">
        <f>"Q"&amp;ROUNDUP(MONTH(Table1[[#This Row],[PurchaseDate]])/3,0)</f>
        <v>Q4</v>
      </c>
      <c r="F769" s="2">
        <f>MONTH(Table1[[#This Row],[PurchaseDate]])</f>
        <v>11</v>
      </c>
      <c r="G769" s="2" t="str">
        <f>TEXT(Table1[[#This Row],[PurchaseDate]],"MMM")</f>
        <v>Nov</v>
      </c>
      <c r="H769">
        <v>8</v>
      </c>
      <c r="I769">
        <v>397.16</v>
      </c>
      <c r="J769" t="s">
        <v>1494</v>
      </c>
      <c r="K769" t="s">
        <v>13</v>
      </c>
      <c r="L769" t="s">
        <v>27</v>
      </c>
      <c r="M769">
        <v>2</v>
      </c>
      <c r="N769">
        <v>3177.28</v>
      </c>
    </row>
    <row r="770" spans="1:14" x14ac:dyDescent="0.3">
      <c r="A770" t="s">
        <v>1495</v>
      </c>
      <c r="B770" t="s">
        <v>42</v>
      </c>
      <c r="C770" s="1">
        <v>45668</v>
      </c>
      <c r="D770" s="2">
        <f>YEAR(Table1[[#This Row],[PurchaseDate]])</f>
        <v>2025</v>
      </c>
      <c r="E770" s="2" t="str">
        <f>"Q"&amp;ROUNDUP(MONTH(Table1[[#This Row],[PurchaseDate]])/3,0)</f>
        <v>Q1</v>
      </c>
      <c r="F770" s="2">
        <f>MONTH(Table1[[#This Row],[PurchaseDate]])</f>
        <v>1</v>
      </c>
      <c r="G770" s="2" t="str">
        <f>TEXT(Table1[[#This Row],[PurchaseDate]],"MMM")</f>
        <v>Jan</v>
      </c>
      <c r="H770">
        <v>7</v>
      </c>
      <c r="I770">
        <v>404.2</v>
      </c>
      <c r="J770" t="s">
        <v>1496</v>
      </c>
      <c r="K770" t="s">
        <v>13</v>
      </c>
      <c r="L770" t="s">
        <v>58</v>
      </c>
      <c r="M770">
        <v>1</v>
      </c>
      <c r="N770">
        <v>2829.4</v>
      </c>
    </row>
    <row r="771" spans="1:14" x14ac:dyDescent="0.3">
      <c r="A771" t="s">
        <v>1497</v>
      </c>
      <c r="B771" t="s">
        <v>29</v>
      </c>
      <c r="C771" s="1">
        <v>45836</v>
      </c>
      <c r="D771" s="2">
        <f>YEAR(Table1[[#This Row],[PurchaseDate]])</f>
        <v>2025</v>
      </c>
      <c r="E771" s="2" t="str">
        <f>"Q"&amp;ROUNDUP(MONTH(Table1[[#This Row],[PurchaseDate]])/3,0)</f>
        <v>Q2</v>
      </c>
      <c r="F771" s="2">
        <f>MONTH(Table1[[#This Row],[PurchaseDate]])</f>
        <v>6</v>
      </c>
      <c r="G771" s="2" t="str">
        <f>TEXT(Table1[[#This Row],[PurchaseDate]],"MMM")</f>
        <v>Jun</v>
      </c>
      <c r="H771">
        <v>5</v>
      </c>
      <c r="I771">
        <v>375.93</v>
      </c>
      <c r="J771" t="s">
        <v>1498</v>
      </c>
      <c r="K771" t="s">
        <v>18</v>
      </c>
      <c r="L771" t="s">
        <v>14</v>
      </c>
      <c r="M771">
        <v>2</v>
      </c>
      <c r="N771">
        <v>1879.65</v>
      </c>
    </row>
    <row r="772" spans="1:14" x14ac:dyDescent="0.3">
      <c r="A772" t="s">
        <v>1499</v>
      </c>
      <c r="B772" t="s">
        <v>42</v>
      </c>
      <c r="C772" s="1">
        <v>45579</v>
      </c>
      <c r="D772" s="2">
        <f>YEAR(Table1[[#This Row],[PurchaseDate]])</f>
        <v>2024</v>
      </c>
      <c r="E772" s="2" t="str">
        <f>"Q"&amp;ROUNDUP(MONTH(Table1[[#This Row],[PurchaseDate]])/3,0)</f>
        <v>Q4</v>
      </c>
      <c r="F772" s="2">
        <f>MONTH(Table1[[#This Row],[PurchaseDate]])</f>
        <v>10</v>
      </c>
      <c r="G772" s="2" t="str">
        <f>TEXT(Table1[[#This Row],[PurchaseDate]],"MMM")</f>
        <v>Oct</v>
      </c>
      <c r="H772">
        <v>8</v>
      </c>
      <c r="I772">
        <v>651.34</v>
      </c>
      <c r="J772" t="s">
        <v>1500</v>
      </c>
      <c r="K772" t="s">
        <v>18</v>
      </c>
      <c r="L772" t="s">
        <v>23</v>
      </c>
      <c r="M772">
        <v>5</v>
      </c>
      <c r="N772">
        <v>5210.72</v>
      </c>
    </row>
    <row r="773" spans="1:14" x14ac:dyDescent="0.3">
      <c r="A773" t="s">
        <v>1501</v>
      </c>
      <c r="B773" t="s">
        <v>21</v>
      </c>
      <c r="C773" s="1">
        <v>45709</v>
      </c>
      <c r="D773" s="2">
        <f>YEAR(Table1[[#This Row],[PurchaseDate]])</f>
        <v>2025</v>
      </c>
      <c r="E773" s="2" t="str">
        <f>"Q"&amp;ROUNDUP(MONTH(Table1[[#This Row],[PurchaseDate]])/3,0)</f>
        <v>Q1</v>
      </c>
      <c r="F773" s="2">
        <f>MONTH(Table1[[#This Row],[PurchaseDate]])</f>
        <v>2</v>
      </c>
      <c r="G773" s="2" t="str">
        <f>TEXT(Table1[[#This Row],[PurchaseDate]],"MMM")</f>
        <v>Feb</v>
      </c>
      <c r="H773">
        <v>7</v>
      </c>
      <c r="I773">
        <v>77.790000000000006</v>
      </c>
      <c r="J773" t="s">
        <v>1502</v>
      </c>
      <c r="K773" t="s">
        <v>13</v>
      </c>
      <c r="L773" t="s">
        <v>14</v>
      </c>
      <c r="M773">
        <v>5</v>
      </c>
      <c r="N773">
        <v>544.53</v>
      </c>
    </row>
    <row r="774" spans="1:14" x14ac:dyDescent="0.3">
      <c r="A774" t="s">
        <v>1503</v>
      </c>
      <c r="B774" t="s">
        <v>16</v>
      </c>
      <c r="C774" s="1">
        <v>45584</v>
      </c>
      <c r="D774" s="2">
        <f>YEAR(Table1[[#This Row],[PurchaseDate]])</f>
        <v>2024</v>
      </c>
      <c r="E774" s="2" t="str">
        <f>"Q"&amp;ROUNDUP(MONTH(Table1[[#This Row],[PurchaseDate]])/3,0)</f>
        <v>Q4</v>
      </c>
      <c r="F774" s="2">
        <f>MONTH(Table1[[#This Row],[PurchaseDate]])</f>
        <v>10</v>
      </c>
      <c r="G774" s="2" t="str">
        <f>TEXT(Table1[[#This Row],[PurchaseDate]],"MMM")</f>
        <v>Oct</v>
      </c>
      <c r="H774">
        <v>3</v>
      </c>
      <c r="I774">
        <v>556.14</v>
      </c>
      <c r="J774" t="s">
        <v>1504</v>
      </c>
      <c r="K774" t="s">
        <v>38</v>
      </c>
      <c r="L774" t="s">
        <v>27</v>
      </c>
      <c r="M774">
        <v>4</v>
      </c>
      <c r="N774">
        <v>1668.42</v>
      </c>
    </row>
    <row r="775" spans="1:14" x14ac:dyDescent="0.3">
      <c r="A775" t="s">
        <v>569</v>
      </c>
      <c r="B775" t="s">
        <v>16</v>
      </c>
      <c r="C775" s="1">
        <v>45085</v>
      </c>
      <c r="D775" s="2">
        <f>YEAR(Table1[[#This Row],[PurchaseDate]])</f>
        <v>2023</v>
      </c>
      <c r="E775" s="2" t="str">
        <f>"Q"&amp;ROUNDUP(MONTH(Table1[[#This Row],[PurchaseDate]])/3,0)</f>
        <v>Q2</v>
      </c>
      <c r="F775" s="2">
        <f>MONTH(Table1[[#This Row],[PurchaseDate]])</f>
        <v>6</v>
      </c>
      <c r="G775" s="2" t="str">
        <f>TEXT(Table1[[#This Row],[PurchaseDate]],"MMM")</f>
        <v>Jun</v>
      </c>
      <c r="H775">
        <v>2</v>
      </c>
      <c r="I775">
        <v>544.39</v>
      </c>
      <c r="J775" t="s">
        <v>570</v>
      </c>
      <c r="K775" t="s">
        <v>13</v>
      </c>
      <c r="L775" t="s">
        <v>27</v>
      </c>
      <c r="M775">
        <v>2</v>
      </c>
      <c r="N775">
        <v>1088.78</v>
      </c>
    </row>
    <row r="776" spans="1:14" x14ac:dyDescent="0.3">
      <c r="A776" t="s">
        <v>1505</v>
      </c>
      <c r="B776" t="s">
        <v>34</v>
      </c>
      <c r="C776" s="1">
        <v>45659</v>
      </c>
      <c r="D776" s="2">
        <f>YEAR(Table1[[#This Row],[PurchaseDate]])</f>
        <v>2025</v>
      </c>
      <c r="E776" s="2" t="str">
        <f>"Q"&amp;ROUNDUP(MONTH(Table1[[#This Row],[PurchaseDate]])/3,0)</f>
        <v>Q1</v>
      </c>
      <c r="F776" s="2">
        <f>MONTH(Table1[[#This Row],[PurchaseDate]])</f>
        <v>1</v>
      </c>
      <c r="G776" s="2" t="str">
        <f>TEXT(Table1[[#This Row],[PurchaseDate]],"MMM")</f>
        <v>Jan</v>
      </c>
      <c r="H776">
        <v>7</v>
      </c>
      <c r="I776">
        <v>387.04</v>
      </c>
      <c r="J776" t="s">
        <v>1506</v>
      </c>
      <c r="K776" t="s">
        <v>18</v>
      </c>
      <c r="L776" t="s">
        <v>14</v>
      </c>
      <c r="M776">
        <v>2</v>
      </c>
      <c r="N776">
        <v>2709.28</v>
      </c>
    </row>
    <row r="777" spans="1:14" x14ac:dyDescent="0.3">
      <c r="A777" t="s">
        <v>1507</v>
      </c>
      <c r="B777" t="s">
        <v>21</v>
      </c>
      <c r="C777" s="1">
        <v>45813</v>
      </c>
      <c r="D777" s="2">
        <f>YEAR(Table1[[#This Row],[PurchaseDate]])</f>
        <v>2025</v>
      </c>
      <c r="E777" s="2" t="str">
        <f>"Q"&amp;ROUNDUP(MONTH(Table1[[#This Row],[PurchaseDate]])/3,0)</f>
        <v>Q2</v>
      </c>
      <c r="F777" s="2">
        <f>MONTH(Table1[[#This Row],[PurchaseDate]])</f>
        <v>6</v>
      </c>
      <c r="G777" s="2" t="str">
        <f>TEXT(Table1[[#This Row],[PurchaseDate]],"MMM")</f>
        <v>Jun</v>
      </c>
      <c r="H777">
        <v>4</v>
      </c>
      <c r="I777">
        <v>711.67</v>
      </c>
      <c r="J777" t="s">
        <v>1508</v>
      </c>
      <c r="K777" t="s">
        <v>18</v>
      </c>
      <c r="L777" t="s">
        <v>23</v>
      </c>
      <c r="M777">
        <v>5</v>
      </c>
      <c r="N777">
        <v>2846.68</v>
      </c>
    </row>
    <row r="778" spans="1:14" x14ac:dyDescent="0.3">
      <c r="A778" t="s">
        <v>1509</v>
      </c>
      <c r="B778" t="s">
        <v>16</v>
      </c>
      <c r="C778" s="1">
        <v>45449</v>
      </c>
      <c r="D778" s="2">
        <f>YEAR(Table1[[#This Row],[PurchaseDate]])</f>
        <v>2024</v>
      </c>
      <c r="E778" s="2" t="str">
        <f>"Q"&amp;ROUNDUP(MONTH(Table1[[#This Row],[PurchaseDate]])/3,0)</f>
        <v>Q2</v>
      </c>
      <c r="F778" s="2">
        <f>MONTH(Table1[[#This Row],[PurchaseDate]])</f>
        <v>6</v>
      </c>
      <c r="G778" s="2" t="str">
        <f>TEXT(Table1[[#This Row],[PurchaseDate]],"MMM")</f>
        <v>Jun</v>
      </c>
      <c r="H778">
        <v>1</v>
      </c>
      <c r="I778">
        <v>347.08</v>
      </c>
      <c r="J778" t="s">
        <v>1510</v>
      </c>
      <c r="K778" t="s">
        <v>13</v>
      </c>
      <c r="L778" t="s">
        <v>23</v>
      </c>
      <c r="M778">
        <v>2</v>
      </c>
      <c r="N778">
        <v>347.08</v>
      </c>
    </row>
    <row r="779" spans="1:14" x14ac:dyDescent="0.3">
      <c r="A779" t="s">
        <v>1511</v>
      </c>
      <c r="B779" t="s">
        <v>29</v>
      </c>
      <c r="C779" s="1">
        <v>44985</v>
      </c>
      <c r="D779" s="2">
        <f>YEAR(Table1[[#This Row],[PurchaseDate]])</f>
        <v>2023</v>
      </c>
      <c r="E779" s="2" t="str">
        <f>"Q"&amp;ROUNDUP(MONTH(Table1[[#This Row],[PurchaseDate]])/3,0)</f>
        <v>Q1</v>
      </c>
      <c r="F779" s="2">
        <f>MONTH(Table1[[#This Row],[PurchaseDate]])</f>
        <v>2</v>
      </c>
      <c r="G779" s="2" t="str">
        <f>TEXT(Table1[[#This Row],[PurchaseDate]],"MMM")</f>
        <v>Feb</v>
      </c>
      <c r="H779">
        <v>8</v>
      </c>
      <c r="I779">
        <v>147.6</v>
      </c>
      <c r="J779" t="s">
        <v>1512</v>
      </c>
      <c r="K779" t="s">
        <v>18</v>
      </c>
      <c r="L779" t="s">
        <v>14</v>
      </c>
      <c r="M779">
        <v>4</v>
      </c>
      <c r="N779">
        <v>1180.8</v>
      </c>
    </row>
    <row r="780" spans="1:14" x14ac:dyDescent="0.3">
      <c r="A780" t="s">
        <v>1513</v>
      </c>
      <c r="B780" t="s">
        <v>16</v>
      </c>
      <c r="C780" s="1">
        <v>45540</v>
      </c>
      <c r="D780" s="2">
        <f>YEAR(Table1[[#This Row],[PurchaseDate]])</f>
        <v>2024</v>
      </c>
      <c r="E780" s="2" t="str">
        <f>"Q"&amp;ROUNDUP(MONTH(Table1[[#This Row],[PurchaseDate]])/3,0)</f>
        <v>Q3</v>
      </c>
      <c r="F780" s="2">
        <f>MONTH(Table1[[#This Row],[PurchaseDate]])</f>
        <v>9</v>
      </c>
      <c r="G780" s="2" t="str">
        <f>TEXT(Table1[[#This Row],[PurchaseDate]],"MMM")</f>
        <v>Sep</v>
      </c>
      <c r="H780">
        <v>5</v>
      </c>
      <c r="I780">
        <v>390.16</v>
      </c>
      <c r="J780" t="s">
        <v>1514</v>
      </c>
      <c r="K780" t="s">
        <v>18</v>
      </c>
      <c r="L780" t="s">
        <v>58</v>
      </c>
      <c r="M780">
        <v>3</v>
      </c>
      <c r="N780">
        <v>1950.8</v>
      </c>
    </row>
    <row r="781" spans="1:14" x14ac:dyDescent="0.3">
      <c r="A781" t="s">
        <v>1515</v>
      </c>
      <c r="B781" t="s">
        <v>42</v>
      </c>
      <c r="C781" s="1">
        <v>45204</v>
      </c>
      <c r="D781" s="2">
        <f>YEAR(Table1[[#This Row],[PurchaseDate]])</f>
        <v>2023</v>
      </c>
      <c r="E781" s="2" t="str">
        <f>"Q"&amp;ROUNDUP(MONTH(Table1[[#This Row],[PurchaseDate]])/3,0)</f>
        <v>Q4</v>
      </c>
      <c r="F781" s="2">
        <f>MONTH(Table1[[#This Row],[PurchaseDate]])</f>
        <v>10</v>
      </c>
      <c r="G781" s="2" t="str">
        <f>TEXT(Table1[[#This Row],[PurchaseDate]],"MMM")</f>
        <v>Oct</v>
      </c>
      <c r="H781">
        <v>1</v>
      </c>
      <c r="I781">
        <v>782.08</v>
      </c>
      <c r="J781" t="s">
        <v>1516</v>
      </c>
      <c r="K781" t="s">
        <v>38</v>
      </c>
      <c r="L781" t="s">
        <v>23</v>
      </c>
      <c r="M781">
        <v>4</v>
      </c>
      <c r="N781">
        <v>782.08</v>
      </c>
    </row>
    <row r="782" spans="1:14" x14ac:dyDescent="0.3">
      <c r="A782" t="s">
        <v>1517</v>
      </c>
      <c r="B782" t="s">
        <v>29</v>
      </c>
      <c r="C782" s="1">
        <v>45657</v>
      </c>
      <c r="D782" s="2">
        <f>YEAR(Table1[[#This Row],[PurchaseDate]])</f>
        <v>2024</v>
      </c>
      <c r="E782" s="2" t="str">
        <f>"Q"&amp;ROUNDUP(MONTH(Table1[[#This Row],[PurchaseDate]])/3,0)</f>
        <v>Q4</v>
      </c>
      <c r="F782" s="2">
        <f>MONTH(Table1[[#This Row],[PurchaseDate]])</f>
        <v>12</v>
      </c>
      <c r="G782" s="2" t="str">
        <f>TEXT(Table1[[#This Row],[PurchaseDate]],"MMM")</f>
        <v>Dec</v>
      </c>
      <c r="H782">
        <v>7</v>
      </c>
      <c r="I782">
        <v>170.39</v>
      </c>
      <c r="J782" t="s">
        <v>1518</v>
      </c>
      <c r="K782" t="s">
        <v>18</v>
      </c>
      <c r="L782" t="s">
        <v>23</v>
      </c>
      <c r="M782">
        <v>3</v>
      </c>
      <c r="N782">
        <v>1192.73</v>
      </c>
    </row>
    <row r="783" spans="1:14" x14ac:dyDescent="0.3">
      <c r="A783" t="s">
        <v>1519</v>
      </c>
      <c r="B783" t="s">
        <v>29</v>
      </c>
      <c r="C783" s="1">
        <v>45374</v>
      </c>
      <c r="D783" s="2">
        <f>YEAR(Table1[[#This Row],[PurchaseDate]])</f>
        <v>2024</v>
      </c>
      <c r="E783" s="2" t="str">
        <f>"Q"&amp;ROUNDUP(MONTH(Table1[[#This Row],[PurchaseDate]])/3,0)</f>
        <v>Q1</v>
      </c>
      <c r="F783" s="2">
        <f>MONTH(Table1[[#This Row],[PurchaseDate]])</f>
        <v>3</v>
      </c>
      <c r="G783" s="2" t="str">
        <f>TEXT(Table1[[#This Row],[PurchaseDate]],"MMM")</f>
        <v>Mar</v>
      </c>
      <c r="H783">
        <v>2</v>
      </c>
      <c r="I783">
        <v>352.65</v>
      </c>
      <c r="J783" t="s">
        <v>1520</v>
      </c>
      <c r="K783" t="s">
        <v>38</v>
      </c>
      <c r="L783" t="s">
        <v>58</v>
      </c>
      <c r="M783">
        <v>2</v>
      </c>
      <c r="N783">
        <v>705.3</v>
      </c>
    </row>
    <row r="784" spans="1:14" x14ac:dyDescent="0.3">
      <c r="A784" t="s">
        <v>1521</v>
      </c>
      <c r="B784" t="s">
        <v>25</v>
      </c>
      <c r="C784" s="1">
        <v>44929</v>
      </c>
      <c r="D784" s="2">
        <f>YEAR(Table1[[#This Row],[PurchaseDate]])</f>
        <v>2023</v>
      </c>
      <c r="E784" s="2" t="str">
        <f>"Q"&amp;ROUNDUP(MONTH(Table1[[#This Row],[PurchaseDate]])/3,0)</f>
        <v>Q1</v>
      </c>
      <c r="F784" s="2">
        <f>MONTH(Table1[[#This Row],[PurchaseDate]])</f>
        <v>1</v>
      </c>
      <c r="G784" s="2" t="str">
        <f>TEXT(Table1[[#This Row],[PurchaseDate]],"MMM")</f>
        <v>Jan</v>
      </c>
      <c r="H784">
        <v>6</v>
      </c>
      <c r="I784">
        <v>98.82</v>
      </c>
      <c r="J784" t="s">
        <v>1522</v>
      </c>
      <c r="K784" t="s">
        <v>18</v>
      </c>
      <c r="L784" t="s">
        <v>58</v>
      </c>
      <c r="M784">
        <v>1</v>
      </c>
      <c r="N784">
        <v>592.91999999999996</v>
      </c>
    </row>
    <row r="785" spans="1:14" x14ac:dyDescent="0.3">
      <c r="A785" t="s">
        <v>1523</v>
      </c>
      <c r="B785" t="s">
        <v>29</v>
      </c>
      <c r="C785" s="1">
        <v>45489</v>
      </c>
      <c r="D785" s="2">
        <f>YEAR(Table1[[#This Row],[PurchaseDate]])</f>
        <v>2024</v>
      </c>
      <c r="E785" s="2" t="str">
        <f>"Q"&amp;ROUNDUP(MONTH(Table1[[#This Row],[PurchaseDate]])/3,0)</f>
        <v>Q3</v>
      </c>
      <c r="F785" s="2">
        <f>MONTH(Table1[[#This Row],[PurchaseDate]])</f>
        <v>7</v>
      </c>
      <c r="G785" s="2" t="str">
        <f>TEXT(Table1[[#This Row],[PurchaseDate]],"MMM")</f>
        <v>Jul</v>
      </c>
      <c r="H785">
        <v>4</v>
      </c>
      <c r="I785">
        <v>175.63</v>
      </c>
      <c r="J785" t="s">
        <v>1524</v>
      </c>
      <c r="K785" t="s">
        <v>38</v>
      </c>
      <c r="L785" t="s">
        <v>58</v>
      </c>
      <c r="M785">
        <v>4</v>
      </c>
      <c r="N785">
        <v>702.52</v>
      </c>
    </row>
    <row r="786" spans="1:14" x14ac:dyDescent="0.3">
      <c r="A786" t="s">
        <v>1525</v>
      </c>
      <c r="B786" t="s">
        <v>34</v>
      </c>
      <c r="C786" s="1">
        <v>45114</v>
      </c>
      <c r="D786" s="2">
        <f>YEAR(Table1[[#This Row],[PurchaseDate]])</f>
        <v>2023</v>
      </c>
      <c r="E786" s="2" t="str">
        <f>"Q"&amp;ROUNDUP(MONTH(Table1[[#This Row],[PurchaseDate]])/3,0)</f>
        <v>Q3</v>
      </c>
      <c r="F786" s="2">
        <f>MONTH(Table1[[#This Row],[PurchaseDate]])</f>
        <v>7</v>
      </c>
      <c r="G786" s="2" t="str">
        <f>TEXT(Table1[[#This Row],[PurchaseDate]],"MMM")</f>
        <v>Jul</v>
      </c>
      <c r="H786">
        <v>3</v>
      </c>
      <c r="I786">
        <v>325.83999999999997</v>
      </c>
      <c r="J786" t="s">
        <v>1526</v>
      </c>
      <c r="K786" t="s">
        <v>18</v>
      </c>
      <c r="L786" t="s">
        <v>23</v>
      </c>
      <c r="M786">
        <v>1</v>
      </c>
      <c r="N786">
        <v>977.52</v>
      </c>
    </row>
    <row r="787" spans="1:14" x14ac:dyDescent="0.3">
      <c r="A787" t="s">
        <v>1527</v>
      </c>
      <c r="B787" t="s">
        <v>34</v>
      </c>
      <c r="C787" s="1">
        <v>45169</v>
      </c>
      <c r="D787" s="2">
        <f>YEAR(Table1[[#This Row],[PurchaseDate]])</f>
        <v>2023</v>
      </c>
      <c r="E787" s="2" t="str">
        <f>"Q"&amp;ROUNDUP(MONTH(Table1[[#This Row],[PurchaseDate]])/3,0)</f>
        <v>Q3</v>
      </c>
      <c r="F787" s="2">
        <f>MONTH(Table1[[#This Row],[PurchaseDate]])</f>
        <v>8</v>
      </c>
      <c r="G787" s="2" t="str">
        <f>TEXT(Table1[[#This Row],[PurchaseDate]],"MMM")</f>
        <v>Aug</v>
      </c>
      <c r="H787">
        <v>1</v>
      </c>
      <c r="I787">
        <v>13.47</v>
      </c>
      <c r="J787" t="s">
        <v>1528</v>
      </c>
      <c r="K787" t="s">
        <v>18</v>
      </c>
      <c r="L787" t="s">
        <v>58</v>
      </c>
      <c r="M787">
        <v>1</v>
      </c>
      <c r="N787">
        <v>13.47</v>
      </c>
    </row>
    <row r="788" spans="1:14" x14ac:dyDescent="0.3">
      <c r="A788" t="s">
        <v>1299</v>
      </c>
      <c r="B788" t="s">
        <v>42</v>
      </c>
      <c r="C788" s="1">
        <v>45076</v>
      </c>
      <c r="D788" s="2">
        <f>YEAR(Table1[[#This Row],[PurchaseDate]])</f>
        <v>2023</v>
      </c>
      <c r="E788" s="2" t="str">
        <f>"Q"&amp;ROUNDUP(MONTH(Table1[[#This Row],[PurchaseDate]])/3,0)</f>
        <v>Q2</v>
      </c>
      <c r="F788" s="2">
        <f>MONTH(Table1[[#This Row],[PurchaseDate]])</f>
        <v>5</v>
      </c>
      <c r="G788" s="2" t="str">
        <f>TEXT(Table1[[#This Row],[PurchaseDate]],"MMM")</f>
        <v>May</v>
      </c>
      <c r="H788">
        <v>5</v>
      </c>
      <c r="I788">
        <v>343.43</v>
      </c>
      <c r="J788" t="s">
        <v>1300</v>
      </c>
      <c r="K788" t="s">
        <v>18</v>
      </c>
      <c r="L788" t="s">
        <v>19</v>
      </c>
      <c r="M788">
        <v>5</v>
      </c>
      <c r="N788">
        <v>1717.15</v>
      </c>
    </row>
    <row r="789" spans="1:14" x14ac:dyDescent="0.3">
      <c r="A789" t="s">
        <v>1529</v>
      </c>
      <c r="B789" t="s">
        <v>29</v>
      </c>
      <c r="C789" s="1">
        <v>44958</v>
      </c>
      <c r="D789" s="2">
        <f>YEAR(Table1[[#This Row],[PurchaseDate]])</f>
        <v>2023</v>
      </c>
      <c r="E789" s="2" t="str">
        <f>"Q"&amp;ROUNDUP(MONTH(Table1[[#This Row],[PurchaseDate]])/3,0)</f>
        <v>Q1</v>
      </c>
      <c r="F789" s="2">
        <f>MONTH(Table1[[#This Row],[PurchaseDate]])</f>
        <v>2</v>
      </c>
      <c r="G789" s="2" t="str">
        <f>TEXT(Table1[[#This Row],[PurchaseDate]],"MMM")</f>
        <v>Feb</v>
      </c>
      <c r="H789">
        <v>4</v>
      </c>
      <c r="I789">
        <v>14.21</v>
      </c>
      <c r="J789" t="s">
        <v>1530</v>
      </c>
      <c r="K789" t="s">
        <v>18</v>
      </c>
      <c r="L789" t="s">
        <v>23</v>
      </c>
      <c r="M789">
        <v>3</v>
      </c>
      <c r="N789">
        <v>56.84</v>
      </c>
    </row>
    <row r="790" spans="1:14" x14ac:dyDescent="0.3">
      <c r="A790" t="s">
        <v>1531</v>
      </c>
      <c r="B790" t="s">
        <v>25</v>
      </c>
      <c r="C790" s="1">
        <v>45157</v>
      </c>
      <c r="D790" s="2">
        <f>YEAR(Table1[[#This Row],[PurchaseDate]])</f>
        <v>2023</v>
      </c>
      <c r="E790" s="2" t="str">
        <f>"Q"&amp;ROUNDUP(MONTH(Table1[[#This Row],[PurchaseDate]])/3,0)</f>
        <v>Q3</v>
      </c>
      <c r="F790" s="2">
        <f>MONTH(Table1[[#This Row],[PurchaseDate]])</f>
        <v>8</v>
      </c>
      <c r="G790" s="2" t="str">
        <f>TEXT(Table1[[#This Row],[PurchaseDate]],"MMM")</f>
        <v>Aug</v>
      </c>
      <c r="H790">
        <v>4</v>
      </c>
      <c r="I790">
        <v>776.74</v>
      </c>
      <c r="J790" t="s">
        <v>1532</v>
      </c>
      <c r="K790" t="s">
        <v>18</v>
      </c>
      <c r="L790" t="s">
        <v>27</v>
      </c>
      <c r="M790">
        <v>4</v>
      </c>
      <c r="N790">
        <v>3106.96</v>
      </c>
    </row>
    <row r="791" spans="1:14" x14ac:dyDescent="0.3">
      <c r="A791" t="s">
        <v>1533</v>
      </c>
      <c r="B791" t="s">
        <v>25</v>
      </c>
      <c r="C791" s="1">
        <v>45290</v>
      </c>
      <c r="D791" s="2">
        <f>YEAR(Table1[[#This Row],[PurchaseDate]])</f>
        <v>2023</v>
      </c>
      <c r="E791" s="2" t="str">
        <f>"Q"&amp;ROUNDUP(MONTH(Table1[[#This Row],[PurchaseDate]])/3,0)</f>
        <v>Q4</v>
      </c>
      <c r="F791" s="2">
        <f>MONTH(Table1[[#This Row],[PurchaseDate]])</f>
        <v>12</v>
      </c>
      <c r="G791" s="2" t="str">
        <f>TEXT(Table1[[#This Row],[PurchaseDate]],"MMM")</f>
        <v>Dec</v>
      </c>
      <c r="H791">
        <v>8</v>
      </c>
      <c r="I791">
        <v>389.64</v>
      </c>
      <c r="J791" t="s">
        <v>1534</v>
      </c>
      <c r="K791" t="s">
        <v>18</v>
      </c>
      <c r="L791" t="s">
        <v>23</v>
      </c>
      <c r="M791">
        <v>4</v>
      </c>
      <c r="N791">
        <v>3117.12</v>
      </c>
    </row>
    <row r="792" spans="1:14" x14ac:dyDescent="0.3">
      <c r="A792" t="s">
        <v>1535</v>
      </c>
      <c r="B792" t="s">
        <v>42</v>
      </c>
      <c r="C792" s="1">
        <v>45488</v>
      </c>
      <c r="D792" s="2">
        <f>YEAR(Table1[[#This Row],[PurchaseDate]])</f>
        <v>2024</v>
      </c>
      <c r="E792" s="2" t="str">
        <f>"Q"&amp;ROUNDUP(MONTH(Table1[[#This Row],[PurchaseDate]])/3,0)</f>
        <v>Q3</v>
      </c>
      <c r="F792" s="2">
        <f>MONTH(Table1[[#This Row],[PurchaseDate]])</f>
        <v>7</v>
      </c>
      <c r="G792" s="2" t="str">
        <f>TEXT(Table1[[#This Row],[PurchaseDate]],"MMM")</f>
        <v>Jul</v>
      </c>
      <c r="H792">
        <v>5</v>
      </c>
      <c r="I792">
        <v>762.58</v>
      </c>
      <c r="J792" t="s">
        <v>1536</v>
      </c>
      <c r="K792" t="s">
        <v>13</v>
      </c>
      <c r="L792" t="s">
        <v>19</v>
      </c>
      <c r="M792">
        <v>1</v>
      </c>
      <c r="N792">
        <v>3812.9</v>
      </c>
    </row>
    <row r="793" spans="1:14" x14ac:dyDescent="0.3">
      <c r="A793" t="s">
        <v>1537</v>
      </c>
      <c r="B793" t="s">
        <v>29</v>
      </c>
      <c r="C793" s="1">
        <v>45715</v>
      </c>
      <c r="D793" s="2">
        <f>YEAR(Table1[[#This Row],[PurchaseDate]])</f>
        <v>2025</v>
      </c>
      <c r="E793" s="2" t="str">
        <f>"Q"&amp;ROUNDUP(MONTH(Table1[[#This Row],[PurchaseDate]])/3,0)</f>
        <v>Q1</v>
      </c>
      <c r="F793" s="2">
        <f>MONTH(Table1[[#This Row],[PurchaseDate]])</f>
        <v>2</v>
      </c>
      <c r="G793" s="2" t="str">
        <f>TEXT(Table1[[#This Row],[PurchaseDate]],"MMM")</f>
        <v>Feb</v>
      </c>
      <c r="H793">
        <v>7</v>
      </c>
      <c r="I793">
        <v>369.21</v>
      </c>
      <c r="J793" t="s">
        <v>1538</v>
      </c>
      <c r="K793" t="s">
        <v>38</v>
      </c>
      <c r="L793" t="s">
        <v>27</v>
      </c>
      <c r="M793">
        <v>1</v>
      </c>
      <c r="N793">
        <v>2584.4699999999998</v>
      </c>
    </row>
    <row r="794" spans="1:14" x14ac:dyDescent="0.3">
      <c r="A794" t="s">
        <v>1539</v>
      </c>
      <c r="B794" t="s">
        <v>25</v>
      </c>
      <c r="C794" s="1">
        <v>45287</v>
      </c>
      <c r="D794" s="2">
        <f>YEAR(Table1[[#This Row],[PurchaseDate]])</f>
        <v>2023</v>
      </c>
      <c r="E794" s="2" t="str">
        <f>"Q"&amp;ROUNDUP(MONTH(Table1[[#This Row],[PurchaseDate]])/3,0)</f>
        <v>Q4</v>
      </c>
      <c r="F794" s="2">
        <f>MONTH(Table1[[#This Row],[PurchaseDate]])</f>
        <v>12</v>
      </c>
      <c r="G794" s="2" t="str">
        <f>TEXT(Table1[[#This Row],[PurchaseDate]],"MMM")</f>
        <v>Dec</v>
      </c>
      <c r="H794">
        <v>5</v>
      </c>
      <c r="I794">
        <v>551.55999999999995</v>
      </c>
      <c r="J794" t="s">
        <v>1540</v>
      </c>
      <c r="K794" t="s">
        <v>13</v>
      </c>
      <c r="L794" t="s">
        <v>19</v>
      </c>
      <c r="M794">
        <v>3</v>
      </c>
      <c r="N794">
        <v>2757.8</v>
      </c>
    </row>
    <row r="795" spans="1:14" x14ac:dyDescent="0.3">
      <c r="A795" t="s">
        <v>1541</v>
      </c>
      <c r="B795" t="s">
        <v>21</v>
      </c>
      <c r="C795" s="1">
        <v>45235</v>
      </c>
      <c r="D795" s="2">
        <f>YEAR(Table1[[#This Row],[PurchaseDate]])</f>
        <v>2023</v>
      </c>
      <c r="E795" s="2" t="str">
        <f>"Q"&amp;ROUNDUP(MONTH(Table1[[#This Row],[PurchaseDate]])/3,0)</f>
        <v>Q4</v>
      </c>
      <c r="F795" s="2">
        <f>MONTH(Table1[[#This Row],[PurchaseDate]])</f>
        <v>11</v>
      </c>
      <c r="G795" s="2" t="str">
        <f>TEXT(Table1[[#This Row],[PurchaseDate]],"MMM")</f>
        <v>Nov</v>
      </c>
      <c r="H795">
        <v>1</v>
      </c>
      <c r="I795">
        <v>475.81</v>
      </c>
      <c r="J795" t="s">
        <v>1542</v>
      </c>
      <c r="K795" t="s">
        <v>18</v>
      </c>
      <c r="L795" t="s">
        <v>14</v>
      </c>
      <c r="M795">
        <v>3</v>
      </c>
      <c r="N795">
        <v>475.81</v>
      </c>
    </row>
    <row r="796" spans="1:14" x14ac:dyDescent="0.3">
      <c r="A796" t="s">
        <v>1543</v>
      </c>
      <c r="B796" t="s">
        <v>11</v>
      </c>
      <c r="C796" s="1">
        <v>45799</v>
      </c>
      <c r="D796" s="2">
        <f>YEAR(Table1[[#This Row],[PurchaseDate]])</f>
        <v>2025</v>
      </c>
      <c r="E796" s="2" t="str">
        <f>"Q"&amp;ROUNDUP(MONTH(Table1[[#This Row],[PurchaseDate]])/3,0)</f>
        <v>Q2</v>
      </c>
      <c r="F796" s="2">
        <f>MONTH(Table1[[#This Row],[PurchaseDate]])</f>
        <v>5</v>
      </c>
      <c r="G796" s="2" t="str">
        <f>TEXT(Table1[[#This Row],[PurchaseDate]],"MMM")</f>
        <v>May</v>
      </c>
      <c r="H796">
        <v>4</v>
      </c>
      <c r="I796">
        <v>139.85</v>
      </c>
      <c r="J796" t="s">
        <v>1544</v>
      </c>
      <c r="K796" t="s">
        <v>18</v>
      </c>
      <c r="L796" t="s">
        <v>58</v>
      </c>
      <c r="M796">
        <v>3</v>
      </c>
      <c r="N796">
        <v>559.4</v>
      </c>
    </row>
    <row r="797" spans="1:14" x14ac:dyDescent="0.3">
      <c r="A797" t="s">
        <v>1545</v>
      </c>
      <c r="B797" t="s">
        <v>42</v>
      </c>
      <c r="C797" s="1">
        <v>45180</v>
      </c>
      <c r="D797" s="2">
        <f>YEAR(Table1[[#This Row],[PurchaseDate]])</f>
        <v>2023</v>
      </c>
      <c r="E797" s="2" t="str">
        <f>"Q"&amp;ROUNDUP(MONTH(Table1[[#This Row],[PurchaseDate]])/3,0)</f>
        <v>Q3</v>
      </c>
      <c r="F797" s="2">
        <f>MONTH(Table1[[#This Row],[PurchaseDate]])</f>
        <v>9</v>
      </c>
      <c r="G797" s="2" t="str">
        <f>TEXT(Table1[[#This Row],[PurchaseDate]],"MMM")</f>
        <v>Sep</v>
      </c>
      <c r="H797">
        <v>8</v>
      </c>
      <c r="I797">
        <v>615.47</v>
      </c>
      <c r="J797" t="s">
        <v>1546</v>
      </c>
      <c r="K797" t="s">
        <v>18</v>
      </c>
      <c r="L797" t="s">
        <v>27</v>
      </c>
      <c r="M797">
        <v>2</v>
      </c>
      <c r="N797">
        <v>4923.76</v>
      </c>
    </row>
    <row r="798" spans="1:14" x14ac:dyDescent="0.3">
      <c r="A798" t="s">
        <v>1547</v>
      </c>
      <c r="B798" t="s">
        <v>25</v>
      </c>
      <c r="C798" s="1">
        <v>45413</v>
      </c>
      <c r="D798" s="2">
        <f>YEAR(Table1[[#This Row],[PurchaseDate]])</f>
        <v>2024</v>
      </c>
      <c r="E798" s="2" t="str">
        <f>"Q"&amp;ROUNDUP(MONTH(Table1[[#This Row],[PurchaseDate]])/3,0)</f>
        <v>Q2</v>
      </c>
      <c r="F798" s="2">
        <f>MONTH(Table1[[#This Row],[PurchaseDate]])</f>
        <v>5</v>
      </c>
      <c r="G798" s="2" t="str">
        <f>TEXT(Table1[[#This Row],[PurchaseDate]],"MMM")</f>
        <v>May</v>
      </c>
      <c r="H798">
        <v>8</v>
      </c>
      <c r="I798">
        <v>149.28</v>
      </c>
      <c r="J798" t="s">
        <v>1548</v>
      </c>
      <c r="K798" t="s">
        <v>18</v>
      </c>
      <c r="L798" t="s">
        <v>27</v>
      </c>
      <c r="M798">
        <v>3</v>
      </c>
      <c r="N798">
        <v>1194.24</v>
      </c>
    </row>
    <row r="799" spans="1:14" x14ac:dyDescent="0.3">
      <c r="A799" t="s">
        <v>1549</v>
      </c>
      <c r="B799" t="s">
        <v>11</v>
      </c>
      <c r="C799" s="1">
        <v>44976</v>
      </c>
      <c r="D799" s="2">
        <f>YEAR(Table1[[#This Row],[PurchaseDate]])</f>
        <v>2023</v>
      </c>
      <c r="E799" s="2" t="str">
        <f>"Q"&amp;ROUNDUP(MONTH(Table1[[#This Row],[PurchaseDate]])/3,0)</f>
        <v>Q1</v>
      </c>
      <c r="F799" s="2">
        <f>MONTH(Table1[[#This Row],[PurchaseDate]])</f>
        <v>2</v>
      </c>
      <c r="G799" s="2" t="str">
        <f>TEXT(Table1[[#This Row],[PurchaseDate]],"MMM")</f>
        <v>Feb</v>
      </c>
      <c r="H799">
        <v>7</v>
      </c>
      <c r="I799">
        <v>345.77</v>
      </c>
      <c r="J799" t="s">
        <v>1550</v>
      </c>
      <c r="K799" t="s">
        <v>38</v>
      </c>
      <c r="L799" t="s">
        <v>27</v>
      </c>
      <c r="M799">
        <v>3</v>
      </c>
      <c r="N799">
        <v>2420.39</v>
      </c>
    </row>
    <row r="800" spans="1:14" x14ac:dyDescent="0.3">
      <c r="A800" t="s">
        <v>1551</v>
      </c>
      <c r="B800" t="s">
        <v>29</v>
      </c>
      <c r="C800" s="1">
        <v>45582</v>
      </c>
      <c r="D800" s="2">
        <f>YEAR(Table1[[#This Row],[PurchaseDate]])</f>
        <v>2024</v>
      </c>
      <c r="E800" s="2" t="str">
        <f>"Q"&amp;ROUNDUP(MONTH(Table1[[#This Row],[PurchaseDate]])/3,0)</f>
        <v>Q4</v>
      </c>
      <c r="F800" s="2">
        <f>MONTH(Table1[[#This Row],[PurchaseDate]])</f>
        <v>10</v>
      </c>
      <c r="G800" s="2" t="str">
        <f>TEXT(Table1[[#This Row],[PurchaseDate]],"MMM")</f>
        <v>Oct</v>
      </c>
      <c r="H800">
        <v>3</v>
      </c>
      <c r="I800">
        <v>583.25</v>
      </c>
      <c r="J800" t="s">
        <v>1552</v>
      </c>
      <c r="K800" t="s">
        <v>13</v>
      </c>
      <c r="L800" t="s">
        <v>14</v>
      </c>
      <c r="M800">
        <v>1</v>
      </c>
      <c r="N800">
        <v>1749.75</v>
      </c>
    </row>
    <row r="801" spans="1:14" x14ac:dyDescent="0.3">
      <c r="A801" t="s">
        <v>1553</v>
      </c>
      <c r="B801" t="s">
        <v>16</v>
      </c>
      <c r="C801" s="1">
        <v>45411</v>
      </c>
      <c r="D801" s="2">
        <f>YEAR(Table1[[#This Row],[PurchaseDate]])</f>
        <v>2024</v>
      </c>
      <c r="E801" s="2" t="str">
        <f>"Q"&amp;ROUNDUP(MONTH(Table1[[#This Row],[PurchaseDate]])/3,0)</f>
        <v>Q2</v>
      </c>
      <c r="F801" s="2">
        <f>MONTH(Table1[[#This Row],[PurchaseDate]])</f>
        <v>4</v>
      </c>
      <c r="G801" s="2" t="str">
        <f>TEXT(Table1[[#This Row],[PurchaseDate]],"MMM")</f>
        <v>Apr</v>
      </c>
      <c r="H801">
        <v>2</v>
      </c>
      <c r="I801">
        <v>768.13</v>
      </c>
      <c r="J801" t="s">
        <v>1554</v>
      </c>
      <c r="K801" t="s">
        <v>38</v>
      </c>
      <c r="L801" t="s">
        <v>14</v>
      </c>
      <c r="M801">
        <v>2</v>
      </c>
      <c r="N801">
        <v>1536.26</v>
      </c>
    </row>
    <row r="802" spans="1:14" x14ac:dyDescent="0.3">
      <c r="A802" t="s">
        <v>1555</v>
      </c>
      <c r="B802" t="s">
        <v>16</v>
      </c>
      <c r="C802" s="1">
        <v>45649</v>
      </c>
      <c r="D802" s="2">
        <f>YEAR(Table1[[#This Row],[PurchaseDate]])</f>
        <v>2024</v>
      </c>
      <c r="E802" s="2" t="str">
        <f>"Q"&amp;ROUNDUP(MONTH(Table1[[#This Row],[PurchaseDate]])/3,0)</f>
        <v>Q4</v>
      </c>
      <c r="F802" s="2">
        <f>MONTH(Table1[[#This Row],[PurchaseDate]])</f>
        <v>12</v>
      </c>
      <c r="G802" s="2" t="str">
        <f>TEXT(Table1[[#This Row],[PurchaseDate]],"MMM")</f>
        <v>Dec</v>
      </c>
      <c r="H802">
        <v>6</v>
      </c>
      <c r="I802">
        <v>500.14</v>
      </c>
      <c r="J802" t="s">
        <v>1556</v>
      </c>
      <c r="K802" t="s">
        <v>13</v>
      </c>
      <c r="L802" t="s">
        <v>58</v>
      </c>
      <c r="M802">
        <v>2</v>
      </c>
      <c r="N802">
        <v>3000.84</v>
      </c>
    </row>
    <row r="803" spans="1:14" x14ac:dyDescent="0.3">
      <c r="A803" t="s">
        <v>1557</v>
      </c>
      <c r="B803" t="s">
        <v>42</v>
      </c>
      <c r="C803" s="1">
        <v>45517</v>
      </c>
      <c r="D803" s="2">
        <f>YEAR(Table1[[#This Row],[PurchaseDate]])</f>
        <v>2024</v>
      </c>
      <c r="E803" s="2" t="str">
        <f>"Q"&amp;ROUNDUP(MONTH(Table1[[#This Row],[PurchaseDate]])/3,0)</f>
        <v>Q3</v>
      </c>
      <c r="F803" s="2">
        <f>MONTH(Table1[[#This Row],[PurchaseDate]])</f>
        <v>8</v>
      </c>
      <c r="G803" s="2" t="str">
        <f>TEXT(Table1[[#This Row],[PurchaseDate]],"MMM")</f>
        <v>Aug</v>
      </c>
      <c r="H803">
        <v>1</v>
      </c>
      <c r="I803">
        <v>740.42</v>
      </c>
      <c r="J803" t="s">
        <v>1558</v>
      </c>
      <c r="K803" t="s">
        <v>18</v>
      </c>
      <c r="L803" t="s">
        <v>58</v>
      </c>
      <c r="M803">
        <v>4</v>
      </c>
      <c r="N803">
        <v>740.42</v>
      </c>
    </row>
    <row r="804" spans="1:14" x14ac:dyDescent="0.3">
      <c r="A804" t="s">
        <v>569</v>
      </c>
      <c r="B804" t="s">
        <v>29</v>
      </c>
      <c r="C804" s="1">
        <v>44932</v>
      </c>
      <c r="D804" s="2">
        <f>YEAR(Table1[[#This Row],[PurchaseDate]])</f>
        <v>2023</v>
      </c>
      <c r="E804" s="2" t="str">
        <f>"Q"&amp;ROUNDUP(MONTH(Table1[[#This Row],[PurchaseDate]])/3,0)</f>
        <v>Q1</v>
      </c>
      <c r="F804" s="2">
        <f>MONTH(Table1[[#This Row],[PurchaseDate]])</f>
        <v>1</v>
      </c>
      <c r="G804" s="2" t="str">
        <f>TEXT(Table1[[#This Row],[PurchaseDate]],"MMM")</f>
        <v>Jan</v>
      </c>
      <c r="H804">
        <v>7</v>
      </c>
      <c r="I804">
        <v>579.37</v>
      </c>
      <c r="J804" t="s">
        <v>570</v>
      </c>
      <c r="K804" t="s">
        <v>18</v>
      </c>
      <c r="L804" t="s">
        <v>58</v>
      </c>
      <c r="M804">
        <v>1</v>
      </c>
      <c r="N804">
        <v>4055.59</v>
      </c>
    </row>
    <row r="805" spans="1:14" x14ac:dyDescent="0.3">
      <c r="A805" t="s">
        <v>1559</v>
      </c>
      <c r="B805" t="s">
        <v>11</v>
      </c>
      <c r="C805" s="1">
        <v>45459</v>
      </c>
      <c r="D805" s="2">
        <f>YEAR(Table1[[#This Row],[PurchaseDate]])</f>
        <v>2024</v>
      </c>
      <c r="E805" s="2" t="str">
        <f>"Q"&amp;ROUNDUP(MONTH(Table1[[#This Row],[PurchaseDate]])/3,0)</f>
        <v>Q2</v>
      </c>
      <c r="F805" s="2">
        <f>MONTH(Table1[[#This Row],[PurchaseDate]])</f>
        <v>6</v>
      </c>
      <c r="G805" s="2" t="str">
        <f>TEXT(Table1[[#This Row],[PurchaseDate]],"MMM")</f>
        <v>Jun</v>
      </c>
      <c r="H805">
        <v>7</v>
      </c>
      <c r="I805">
        <v>700.67</v>
      </c>
      <c r="J805" t="s">
        <v>1560</v>
      </c>
      <c r="K805" t="s">
        <v>38</v>
      </c>
      <c r="L805" t="s">
        <v>58</v>
      </c>
      <c r="M805">
        <v>2</v>
      </c>
      <c r="N805">
        <v>4904.6899999999996</v>
      </c>
    </row>
    <row r="806" spans="1:14" x14ac:dyDescent="0.3">
      <c r="A806" t="s">
        <v>1561</v>
      </c>
      <c r="B806" t="s">
        <v>16</v>
      </c>
      <c r="C806" s="1">
        <v>45616</v>
      </c>
      <c r="D806" s="2">
        <f>YEAR(Table1[[#This Row],[PurchaseDate]])</f>
        <v>2024</v>
      </c>
      <c r="E806" s="2" t="str">
        <f>"Q"&amp;ROUNDUP(MONTH(Table1[[#This Row],[PurchaseDate]])/3,0)</f>
        <v>Q4</v>
      </c>
      <c r="F806" s="2">
        <f>MONTH(Table1[[#This Row],[PurchaseDate]])</f>
        <v>11</v>
      </c>
      <c r="G806" s="2" t="str">
        <f>TEXT(Table1[[#This Row],[PurchaseDate]],"MMM")</f>
        <v>Nov</v>
      </c>
      <c r="H806">
        <v>6</v>
      </c>
      <c r="I806">
        <v>289.11</v>
      </c>
      <c r="J806" t="s">
        <v>1562</v>
      </c>
      <c r="K806" t="s">
        <v>18</v>
      </c>
      <c r="L806" t="s">
        <v>27</v>
      </c>
      <c r="M806">
        <v>1</v>
      </c>
      <c r="N806">
        <v>1734.66</v>
      </c>
    </row>
    <row r="807" spans="1:14" x14ac:dyDescent="0.3">
      <c r="A807" t="s">
        <v>1563</v>
      </c>
      <c r="B807" t="s">
        <v>21</v>
      </c>
      <c r="C807" s="1">
        <v>45564</v>
      </c>
      <c r="D807" s="2">
        <f>YEAR(Table1[[#This Row],[PurchaseDate]])</f>
        <v>2024</v>
      </c>
      <c r="E807" s="2" t="str">
        <f>"Q"&amp;ROUNDUP(MONTH(Table1[[#This Row],[PurchaseDate]])/3,0)</f>
        <v>Q3</v>
      </c>
      <c r="F807" s="2">
        <f>MONTH(Table1[[#This Row],[PurchaseDate]])</f>
        <v>9</v>
      </c>
      <c r="G807" s="2" t="str">
        <f>TEXT(Table1[[#This Row],[PurchaseDate]],"MMM")</f>
        <v>Sep</v>
      </c>
      <c r="H807">
        <v>2</v>
      </c>
      <c r="I807">
        <v>339.11</v>
      </c>
      <c r="J807" t="s">
        <v>1564</v>
      </c>
      <c r="K807" t="s">
        <v>18</v>
      </c>
      <c r="L807" t="s">
        <v>19</v>
      </c>
      <c r="M807">
        <v>5</v>
      </c>
      <c r="N807">
        <v>678.22</v>
      </c>
    </row>
    <row r="808" spans="1:14" x14ac:dyDescent="0.3">
      <c r="A808" t="s">
        <v>1565</v>
      </c>
      <c r="B808" t="s">
        <v>21</v>
      </c>
      <c r="C808" s="1">
        <v>45663</v>
      </c>
      <c r="D808" s="2">
        <f>YEAR(Table1[[#This Row],[PurchaseDate]])</f>
        <v>2025</v>
      </c>
      <c r="E808" s="2" t="str">
        <f>"Q"&amp;ROUNDUP(MONTH(Table1[[#This Row],[PurchaseDate]])/3,0)</f>
        <v>Q1</v>
      </c>
      <c r="F808" s="2">
        <f>MONTH(Table1[[#This Row],[PurchaseDate]])</f>
        <v>1</v>
      </c>
      <c r="G808" s="2" t="str">
        <f>TEXT(Table1[[#This Row],[PurchaseDate]],"MMM")</f>
        <v>Jan</v>
      </c>
      <c r="H808">
        <v>7</v>
      </c>
      <c r="I808">
        <v>206.05</v>
      </c>
      <c r="J808" t="s">
        <v>1566</v>
      </c>
      <c r="K808" t="s">
        <v>18</v>
      </c>
      <c r="L808" t="s">
        <v>27</v>
      </c>
      <c r="M808">
        <v>1</v>
      </c>
      <c r="N808">
        <v>1442.35</v>
      </c>
    </row>
    <row r="809" spans="1:14" x14ac:dyDescent="0.3">
      <c r="A809" t="s">
        <v>1567</v>
      </c>
      <c r="B809" t="s">
        <v>34</v>
      </c>
      <c r="C809" s="1">
        <v>45719</v>
      </c>
      <c r="D809" s="2">
        <f>YEAR(Table1[[#This Row],[PurchaseDate]])</f>
        <v>2025</v>
      </c>
      <c r="E809" s="2" t="str">
        <f>"Q"&amp;ROUNDUP(MONTH(Table1[[#This Row],[PurchaseDate]])/3,0)</f>
        <v>Q1</v>
      </c>
      <c r="F809" s="2">
        <f>MONTH(Table1[[#This Row],[PurchaseDate]])</f>
        <v>3</v>
      </c>
      <c r="G809" s="2" t="str">
        <f>TEXT(Table1[[#This Row],[PurchaseDate]],"MMM")</f>
        <v>Mar</v>
      </c>
      <c r="H809">
        <v>1</v>
      </c>
      <c r="I809">
        <v>264.41000000000003</v>
      </c>
      <c r="J809" t="s">
        <v>1568</v>
      </c>
      <c r="K809" t="s">
        <v>13</v>
      </c>
      <c r="L809" t="s">
        <v>19</v>
      </c>
      <c r="M809">
        <v>3</v>
      </c>
      <c r="N809">
        <v>264.41000000000003</v>
      </c>
    </row>
    <row r="810" spans="1:14" x14ac:dyDescent="0.3">
      <c r="A810" t="s">
        <v>1569</v>
      </c>
      <c r="B810" t="s">
        <v>29</v>
      </c>
      <c r="C810" s="1">
        <v>45071</v>
      </c>
      <c r="D810" s="2">
        <f>YEAR(Table1[[#This Row],[PurchaseDate]])</f>
        <v>2023</v>
      </c>
      <c r="E810" s="2" t="str">
        <f>"Q"&amp;ROUNDUP(MONTH(Table1[[#This Row],[PurchaseDate]])/3,0)</f>
        <v>Q2</v>
      </c>
      <c r="F810" s="2">
        <f>MONTH(Table1[[#This Row],[PurchaseDate]])</f>
        <v>5</v>
      </c>
      <c r="G810" s="2" t="str">
        <f>TEXT(Table1[[#This Row],[PurchaseDate]],"MMM")</f>
        <v>May</v>
      </c>
      <c r="H810">
        <v>6</v>
      </c>
      <c r="I810">
        <v>31.97</v>
      </c>
      <c r="J810" t="s">
        <v>1570</v>
      </c>
      <c r="K810" t="s">
        <v>13</v>
      </c>
      <c r="L810" t="s">
        <v>27</v>
      </c>
      <c r="M810">
        <v>1</v>
      </c>
      <c r="N810">
        <v>191.82</v>
      </c>
    </row>
    <row r="811" spans="1:14" x14ac:dyDescent="0.3">
      <c r="A811" t="s">
        <v>271</v>
      </c>
      <c r="B811" t="s">
        <v>42</v>
      </c>
      <c r="C811" s="1">
        <v>45080</v>
      </c>
      <c r="D811" s="2">
        <f>YEAR(Table1[[#This Row],[PurchaseDate]])</f>
        <v>2023</v>
      </c>
      <c r="E811" s="2" t="str">
        <f>"Q"&amp;ROUNDUP(MONTH(Table1[[#This Row],[PurchaseDate]])/3,0)</f>
        <v>Q2</v>
      </c>
      <c r="F811" s="2">
        <f>MONTH(Table1[[#This Row],[PurchaseDate]])</f>
        <v>6</v>
      </c>
      <c r="G811" s="2" t="str">
        <f>TEXT(Table1[[#This Row],[PurchaseDate]],"MMM")</f>
        <v>Jun</v>
      </c>
      <c r="H811">
        <v>4</v>
      </c>
      <c r="I811">
        <v>210.3</v>
      </c>
      <c r="J811" t="s">
        <v>272</v>
      </c>
      <c r="K811" t="s">
        <v>18</v>
      </c>
      <c r="L811" t="s">
        <v>27</v>
      </c>
      <c r="M811">
        <v>1</v>
      </c>
      <c r="N811">
        <v>841.2</v>
      </c>
    </row>
    <row r="812" spans="1:14" x14ac:dyDescent="0.3">
      <c r="A812" t="s">
        <v>1571</v>
      </c>
      <c r="B812" t="s">
        <v>25</v>
      </c>
      <c r="C812" s="1">
        <v>45153</v>
      </c>
      <c r="D812" s="2">
        <f>YEAR(Table1[[#This Row],[PurchaseDate]])</f>
        <v>2023</v>
      </c>
      <c r="E812" s="2" t="str">
        <f>"Q"&amp;ROUNDUP(MONTH(Table1[[#This Row],[PurchaseDate]])/3,0)</f>
        <v>Q3</v>
      </c>
      <c r="F812" s="2">
        <f>MONTH(Table1[[#This Row],[PurchaseDate]])</f>
        <v>8</v>
      </c>
      <c r="G812" s="2" t="str">
        <f>TEXT(Table1[[#This Row],[PurchaseDate]],"MMM")</f>
        <v>Aug</v>
      </c>
      <c r="H812">
        <v>6</v>
      </c>
      <c r="I812">
        <v>338.59</v>
      </c>
      <c r="J812" t="s">
        <v>1572</v>
      </c>
      <c r="K812" t="s">
        <v>38</v>
      </c>
      <c r="L812" t="s">
        <v>58</v>
      </c>
      <c r="M812">
        <v>3</v>
      </c>
      <c r="N812">
        <v>2031.54</v>
      </c>
    </row>
    <row r="813" spans="1:14" x14ac:dyDescent="0.3">
      <c r="A813" t="s">
        <v>1573</v>
      </c>
      <c r="B813" t="s">
        <v>25</v>
      </c>
      <c r="C813" s="1">
        <v>45797</v>
      </c>
      <c r="D813" s="2">
        <f>YEAR(Table1[[#This Row],[PurchaseDate]])</f>
        <v>2025</v>
      </c>
      <c r="E813" s="2" t="str">
        <f>"Q"&amp;ROUNDUP(MONTH(Table1[[#This Row],[PurchaseDate]])/3,0)</f>
        <v>Q2</v>
      </c>
      <c r="F813" s="2">
        <f>MONTH(Table1[[#This Row],[PurchaseDate]])</f>
        <v>5</v>
      </c>
      <c r="G813" s="2" t="str">
        <f>TEXT(Table1[[#This Row],[PurchaseDate]],"MMM")</f>
        <v>May</v>
      </c>
      <c r="H813">
        <v>7</v>
      </c>
      <c r="I813">
        <v>666.05</v>
      </c>
      <c r="J813" t="s">
        <v>1574</v>
      </c>
      <c r="K813" t="s">
        <v>38</v>
      </c>
      <c r="L813" t="s">
        <v>14</v>
      </c>
      <c r="M813">
        <v>3</v>
      </c>
      <c r="N813">
        <v>4662.3500000000004</v>
      </c>
    </row>
    <row r="814" spans="1:14" x14ac:dyDescent="0.3">
      <c r="A814" t="s">
        <v>1575</v>
      </c>
      <c r="B814" t="s">
        <v>29</v>
      </c>
      <c r="C814" s="1">
        <v>45486</v>
      </c>
      <c r="D814" s="2">
        <f>YEAR(Table1[[#This Row],[PurchaseDate]])</f>
        <v>2024</v>
      </c>
      <c r="E814" s="2" t="str">
        <f>"Q"&amp;ROUNDUP(MONTH(Table1[[#This Row],[PurchaseDate]])/3,0)</f>
        <v>Q3</v>
      </c>
      <c r="F814" s="2">
        <f>MONTH(Table1[[#This Row],[PurchaseDate]])</f>
        <v>7</v>
      </c>
      <c r="G814" s="2" t="str">
        <f>TEXT(Table1[[#This Row],[PurchaseDate]],"MMM")</f>
        <v>Jul</v>
      </c>
      <c r="H814">
        <v>4</v>
      </c>
      <c r="I814">
        <v>126.37</v>
      </c>
      <c r="J814" t="s">
        <v>1576</v>
      </c>
      <c r="K814" t="s">
        <v>13</v>
      </c>
      <c r="L814" t="s">
        <v>27</v>
      </c>
      <c r="M814">
        <v>4</v>
      </c>
      <c r="N814">
        <v>505.48</v>
      </c>
    </row>
    <row r="815" spans="1:14" x14ac:dyDescent="0.3">
      <c r="A815" t="s">
        <v>1577</v>
      </c>
      <c r="B815" t="s">
        <v>34</v>
      </c>
      <c r="C815" s="1">
        <v>45338</v>
      </c>
      <c r="D815" s="2">
        <f>YEAR(Table1[[#This Row],[PurchaseDate]])</f>
        <v>2024</v>
      </c>
      <c r="E815" s="2" t="str">
        <f>"Q"&amp;ROUNDUP(MONTH(Table1[[#This Row],[PurchaseDate]])/3,0)</f>
        <v>Q1</v>
      </c>
      <c r="F815" s="2">
        <f>MONTH(Table1[[#This Row],[PurchaseDate]])</f>
        <v>2</v>
      </c>
      <c r="G815" s="2" t="str">
        <f>TEXT(Table1[[#This Row],[PurchaseDate]],"MMM")</f>
        <v>Feb</v>
      </c>
      <c r="H815">
        <v>3</v>
      </c>
      <c r="I815">
        <v>674.32</v>
      </c>
      <c r="J815" t="s">
        <v>1578</v>
      </c>
      <c r="K815" t="s">
        <v>18</v>
      </c>
      <c r="L815" t="s">
        <v>14</v>
      </c>
      <c r="M815">
        <v>5</v>
      </c>
      <c r="N815">
        <v>2022.96</v>
      </c>
    </row>
    <row r="816" spans="1:14" x14ac:dyDescent="0.3">
      <c r="A816" t="s">
        <v>501</v>
      </c>
      <c r="B816" t="s">
        <v>34</v>
      </c>
      <c r="C816" s="1">
        <v>44961</v>
      </c>
      <c r="D816" s="2">
        <f>YEAR(Table1[[#This Row],[PurchaseDate]])</f>
        <v>2023</v>
      </c>
      <c r="E816" s="2" t="str">
        <f>"Q"&amp;ROUNDUP(MONTH(Table1[[#This Row],[PurchaseDate]])/3,0)</f>
        <v>Q1</v>
      </c>
      <c r="F816" s="2">
        <f>MONTH(Table1[[#This Row],[PurchaseDate]])</f>
        <v>2</v>
      </c>
      <c r="G816" s="2" t="str">
        <f>TEXT(Table1[[#This Row],[PurchaseDate]],"MMM")</f>
        <v>Feb</v>
      </c>
      <c r="H816">
        <v>8</v>
      </c>
      <c r="I816">
        <v>46.56</v>
      </c>
      <c r="J816" t="s">
        <v>502</v>
      </c>
      <c r="K816" t="s">
        <v>13</v>
      </c>
      <c r="L816" t="s">
        <v>27</v>
      </c>
      <c r="M816">
        <v>5</v>
      </c>
      <c r="N816">
        <v>372.48</v>
      </c>
    </row>
    <row r="817" spans="1:14" x14ac:dyDescent="0.3">
      <c r="A817" t="s">
        <v>1579</v>
      </c>
      <c r="B817" t="s">
        <v>16</v>
      </c>
      <c r="C817" s="1">
        <v>45508</v>
      </c>
      <c r="D817" s="2">
        <f>YEAR(Table1[[#This Row],[PurchaseDate]])</f>
        <v>2024</v>
      </c>
      <c r="E817" s="2" t="str">
        <f>"Q"&amp;ROUNDUP(MONTH(Table1[[#This Row],[PurchaseDate]])/3,0)</f>
        <v>Q3</v>
      </c>
      <c r="F817" s="2">
        <f>MONTH(Table1[[#This Row],[PurchaseDate]])</f>
        <v>8</v>
      </c>
      <c r="G817" s="2" t="str">
        <f>TEXT(Table1[[#This Row],[PurchaseDate]],"MMM")</f>
        <v>Aug</v>
      </c>
      <c r="H817">
        <v>7</v>
      </c>
      <c r="I817">
        <v>287.95</v>
      </c>
      <c r="J817" t="s">
        <v>1580</v>
      </c>
      <c r="K817" t="s">
        <v>38</v>
      </c>
      <c r="L817" t="s">
        <v>23</v>
      </c>
      <c r="M817">
        <v>5</v>
      </c>
      <c r="N817">
        <v>2015.65</v>
      </c>
    </row>
    <row r="818" spans="1:14" x14ac:dyDescent="0.3">
      <c r="A818" t="s">
        <v>1581</v>
      </c>
      <c r="B818" t="s">
        <v>16</v>
      </c>
      <c r="C818" s="1">
        <v>45648</v>
      </c>
      <c r="D818" s="2">
        <f>YEAR(Table1[[#This Row],[PurchaseDate]])</f>
        <v>2024</v>
      </c>
      <c r="E818" s="2" t="str">
        <f>"Q"&amp;ROUNDUP(MONTH(Table1[[#This Row],[PurchaseDate]])/3,0)</f>
        <v>Q4</v>
      </c>
      <c r="F818" s="2">
        <f>MONTH(Table1[[#This Row],[PurchaseDate]])</f>
        <v>12</v>
      </c>
      <c r="G818" s="2" t="str">
        <f>TEXT(Table1[[#This Row],[PurchaseDate]],"MMM")</f>
        <v>Dec</v>
      </c>
      <c r="H818">
        <v>2</v>
      </c>
      <c r="I818">
        <v>285.51</v>
      </c>
      <c r="J818" t="s">
        <v>1582</v>
      </c>
      <c r="K818" t="s">
        <v>38</v>
      </c>
      <c r="L818" t="s">
        <v>58</v>
      </c>
      <c r="M818">
        <v>4</v>
      </c>
      <c r="N818">
        <v>571.02</v>
      </c>
    </row>
    <row r="819" spans="1:14" x14ac:dyDescent="0.3">
      <c r="A819" t="s">
        <v>1583</v>
      </c>
      <c r="B819" t="s">
        <v>42</v>
      </c>
      <c r="C819" s="1">
        <v>44986</v>
      </c>
      <c r="D819" s="2">
        <f>YEAR(Table1[[#This Row],[PurchaseDate]])</f>
        <v>2023</v>
      </c>
      <c r="E819" s="2" t="str">
        <f>"Q"&amp;ROUNDUP(MONTH(Table1[[#This Row],[PurchaseDate]])/3,0)</f>
        <v>Q1</v>
      </c>
      <c r="F819" s="2">
        <f>MONTH(Table1[[#This Row],[PurchaseDate]])</f>
        <v>3</v>
      </c>
      <c r="G819" s="2" t="str">
        <f>TEXT(Table1[[#This Row],[PurchaseDate]],"MMM")</f>
        <v>Mar</v>
      </c>
      <c r="H819">
        <v>3</v>
      </c>
      <c r="I819">
        <v>30.16</v>
      </c>
      <c r="J819" t="s">
        <v>1584</v>
      </c>
      <c r="K819" t="s">
        <v>13</v>
      </c>
      <c r="L819" t="s">
        <v>27</v>
      </c>
      <c r="M819">
        <v>1</v>
      </c>
      <c r="N819">
        <v>90.48</v>
      </c>
    </row>
    <row r="820" spans="1:14" x14ac:dyDescent="0.3">
      <c r="A820" t="s">
        <v>1585</v>
      </c>
      <c r="B820" t="s">
        <v>11</v>
      </c>
      <c r="C820" s="1">
        <v>45221</v>
      </c>
      <c r="D820" s="2">
        <f>YEAR(Table1[[#This Row],[PurchaseDate]])</f>
        <v>2023</v>
      </c>
      <c r="E820" s="2" t="str">
        <f>"Q"&amp;ROUNDUP(MONTH(Table1[[#This Row],[PurchaseDate]])/3,0)</f>
        <v>Q4</v>
      </c>
      <c r="F820" s="2">
        <f>MONTH(Table1[[#This Row],[PurchaseDate]])</f>
        <v>10</v>
      </c>
      <c r="G820" s="2" t="str">
        <f>TEXT(Table1[[#This Row],[PurchaseDate]],"MMM")</f>
        <v>Oct</v>
      </c>
      <c r="H820">
        <v>1</v>
      </c>
      <c r="I820">
        <v>626.98</v>
      </c>
      <c r="J820" t="s">
        <v>1586</v>
      </c>
      <c r="K820" t="s">
        <v>13</v>
      </c>
      <c r="L820" t="s">
        <v>23</v>
      </c>
      <c r="M820">
        <v>3</v>
      </c>
      <c r="N820">
        <v>626.98</v>
      </c>
    </row>
    <row r="821" spans="1:14" x14ac:dyDescent="0.3">
      <c r="A821" t="s">
        <v>1587</v>
      </c>
      <c r="B821" t="s">
        <v>29</v>
      </c>
      <c r="C821" s="1">
        <v>45620</v>
      </c>
      <c r="D821" s="2">
        <f>YEAR(Table1[[#This Row],[PurchaseDate]])</f>
        <v>2024</v>
      </c>
      <c r="E821" s="2" t="str">
        <f>"Q"&amp;ROUNDUP(MONTH(Table1[[#This Row],[PurchaseDate]])/3,0)</f>
        <v>Q4</v>
      </c>
      <c r="F821" s="2">
        <f>MONTH(Table1[[#This Row],[PurchaseDate]])</f>
        <v>11</v>
      </c>
      <c r="G821" s="2" t="str">
        <f>TEXT(Table1[[#This Row],[PurchaseDate]],"MMM")</f>
        <v>Nov</v>
      </c>
      <c r="H821">
        <v>1</v>
      </c>
      <c r="I821">
        <v>89.17</v>
      </c>
      <c r="J821" t="s">
        <v>1588</v>
      </c>
      <c r="K821" t="s">
        <v>38</v>
      </c>
      <c r="L821" t="s">
        <v>58</v>
      </c>
      <c r="M821">
        <v>4</v>
      </c>
      <c r="N821">
        <v>89.17</v>
      </c>
    </row>
    <row r="822" spans="1:14" x14ac:dyDescent="0.3">
      <c r="A822" t="s">
        <v>1589</v>
      </c>
      <c r="B822" t="s">
        <v>25</v>
      </c>
      <c r="C822" s="1">
        <v>45758</v>
      </c>
      <c r="D822" s="2">
        <f>YEAR(Table1[[#This Row],[PurchaseDate]])</f>
        <v>2025</v>
      </c>
      <c r="E822" s="2" t="str">
        <f>"Q"&amp;ROUNDUP(MONTH(Table1[[#This Row],[PurchaseDate]])/3,0)</f>
        <v>Q2</v>
      </c>
      <c r="F822" s="2">
        <f>MONTH(Table1[[#This Row],[PurchaseDate]])</f>
        <v>4</v>
      </c>
      <c r="G822" s="2" t="str">
        <f>TEXT(Table1[[#This Row],[PurchaseDate]],"MMM")</f>
        <v>Apr</v>
      </c>
      <c r="H822">
        <v>7</v>
      </c>
      <c r="I822">
        <v>791.91</v>
      </c>
      <c r="J822" t="s">
        <v>1590</v>
      </c>
      <c r="K822" t="s">
        <v>18</v>
      </c>
      <c r="L822" t="s">
        <v>27</v>
      </c>
      <c r="M822">
        <v>2</v>
      </c>
      <c r="N822">
        <v>5543.37</v>
      </c>
    </row>
    <row r="823" spans="1:14" x14ac:dyDescent="0.3">
      <c r="A823" t="s">
        <v>1591</v>
      </c>
      <c r="B823" t="s">
        <v>16</v>
      </c>
      <c r="C823" s="1">
        <v>44982</v>
      </c>
      <c r="D823" s="2">
        <f>YEAR(Table1[[#This Row],[PurchaseDate]])</f>
        <v>2023</v>
      </c>
      <c r="E823" s="2" t="str">
        <f>"Q"&amp;ROUNDUP(MONTH(Table1[[#This Row],[PurchaseDate]])/3,0)</f>
        <v>Q1</v>
      </c>
      <c r="F823" s="2">
        <f>MONTH(Table1[[#This Row],[PurchaseDate]])</f>
        <v>2</v>
      </c>
      <c r="G823" s="2" t="str">
        <f>TEXT(Table1[[#This Row],[PurchaseDate]],"MMM")</f>
        <v>Feb</v>
      </c>
      <c r="H823">
        <v>4</v>
      </c>
      <c r="I823">
        <v>612.47</v>
      </c>
      <c r="J823" t="s">
        <v>1592</v>
      </c>
      <c r="K823" t="s">
        <v>38</v>
      </c>
      <c r="L823" t="s">
        <v>27</v>
      </c>
      <c r="M823">
        <v>1</v>
      </c>
      <c r="N823">
        <v>2449.88</v>
      </c>
    </row>
    <row r="824" spans="1:14" x14ac:dyDescent="0.3">
      <c r="A824" t="s">
        <v>1593</v>
      </c>
      <c r="B824" t="s">
        <v>25</v>
      </c>
      <c r="C824" s="1">
        <v>45261</v>
      </c>
      <c r="D824" s="2">
        <f>YEAR(Table1[[#This Row],[PurchaseDate]])</f>
        <v>2023</v>
      </c>
      <c r="E824" s="2" t="str">
        <f>"Q"&amp;ROUNDUP(MONTH(Table1[[#This Row],[PurchaseDate]])/3,0)</f>
        <v>Q4</v>
      </c>
      <c r="F824" s="2">
        <f>MONTH(Table1[[#This Row],[PurchaseDate]])</f>
        <v>12</v>
      </c>
      <c r="G824" s="2" t="str">
        <f>TEXT(Table1[[#This Row],[PurchaseDate]],"MMM")</f>
        <v>Dec</v>
      </c>
      <c r="H824">
        <v>3</v>
      </c>
      <c r="I824">
        <v>278.73</v>
      </c>
      <c r="J824" t="s">
        <v>1594</v>
      </c>
      <c r="K824" t="s">
        <v>18</v>
      </c>
      <c r="L824" t="s">
        <v>23</v>
      </c>
      <c r="M824">
        <v>5</v>
      </c>
      <c r="N824">
        <v>836.19</v>
      </c>
    </row>
    <row r="825" spans="1:14" x14ac:dyDescent="0.3">
      <c r="A825" t="s">
        <v>1595</v>
      </c>
      <c r="B825" t="s">
        <v>25</v>
      </c>
      <c r="C825" s="1">
        <v>45214</v>
      </c>
      <c r="D825" s="2">
        <f>YEAR(Table1[[#This Row],[PurchaseDate]])</f>
        <v>2023</v>
      </c>
      <c r="E825" s="2" t="str">
        <f>"Q"&amp;ROUNDUP(MONTH(Table1[[#This Row],[PurchaseDate]])/3,0)</f>
        <v>Q4</v>
      </c>
      <c r="F825" s="2">
        <f>MONTH(Table1[[#This Row],[PurchaseDate]])</f>
        <v>10</v>
      </c>
      <c r="G825" s="2" t="str">
        <f>TEXT(Table1[[#This Row],[PurchaseDate]],"MMM")</f>
        <v>Oct</v>
      </c>
      <c r="H825">
        <v>8</v>
      </c>
      <c r="I825">
        <v>383.65</v>
      </c>
      <c r="J825" t="s">
        <v>1596</v>
      </c>
      <c r="K825" t="s">
        <v>18</v>
      </c>
      <c r="L825" t="s">
        <v>23</v>
      </c>
      <c r="M825">
        <v>3</v>
      </c>
      <c r="N825">
        <v>3069.2</v>
      </c>
    </row>
    <row r="826" spans="1:14" x14ac:dyDescent="0.3">
      <c r="A826" t="s">
        <v>1597</v>
      </c>
      <c r="B826" t="s">
        <v>29</v>
      </c>
      <c r="C826" s="1">
        <v>45285</v>
      </c>
      <c r="D826" s="2">
        <f>YEAR(Table1[[#This Row],[PurchaseDate]])</f>
        <v>2023</v>
      </c>
      <c r="E826" s="2" t="str">
        <f>"Q"&amp;ROUNDUP(MONTH(Table1[[#This Row],[PurchaseDate]])/3,0)</f>
        <v>Q4</v>
      </c>
      <c r="F826" s="2">
        <f>MONTH(Table1[[#This Row],[PurchaseDate]])</f>
        <v>12</v>
      </c>
      <c r="G826" s="2" t="str">
        <f>TEXT(Table1[[#This Row],[PurchaseDate]],"MMM")</f>
        <v>Dec</v>
      </c>
      <c r="H826">
        <v>4</v>
      </c>
      <c r="I826">
        <v>472.35</v>
      </c>
      <c r="J826" t="s">
        <v>1598</v>
      </c>
      <c r="K826" t="s">
        <v>18</v>
      </c>
      <c r="L826" t="s">
        <v>19</v>
      </c>
      <c r="M826">
        <v>3</v>
      </c>
      <c r="N826">
        <v>1889.4</v>
      </c>
    </row>
    <row r="827" spans="1:14" x14ac:dyDescent="0.3">
      <c r="A827" t="s">
        <v>1599</v>
      </c>
      <c r="B827" t="s">
        <v>29</v>
      </c>
      <c r="C827" s="1">
        <v>45401</v>
      </c>
      <c r="D827" s="2">
        <f>YEAR(Table1[[#This Row],[PurchaseDate]])</f>
        <v>2024</v>
      </c>
      <c r="E827" s="2" t="str">
        <f>"Q"&amp;ROUNDUP(MONTH(Table1[[#This Row],[PurchaseDate]])/3,0)</f>
        <v>Q2</v>
      </c>
      <c r="F827" s="2">
        <f>MONTH(Table1[[#This Row],[PurchaseDate]])</f>
        <v>4</v>
      </c>
      <c r="G827" s="2" t="str">
        <f>TEXT(Table1[[#This Row],[PurchaseDate]],"MMM")</f>
        <v>Apr</v>
      </c>
      <c r="H827">
        <v>1</v>
      </c>
      <c r="I827">
        <v>438.65</v>
      </c>
      <c r="J827" t="s">
        <v>1600</v>
      </c>
      <c r="K827" t="s">
        <v>38</v>
      </c>
      <c r="L827" t="s">
        <v>23</v>
      </c>
      <c r="M827">
        <v>4</v>
      </c>
      <c r="N827">
        <v>438.65</v>
      </c>
    </row>
    <row r="828" spans="1:14" x14ac:dyDescent="0.3">
      <c r="A828" t="s">
        <v>1601</v>
      </c>
      <c r="B828" t="s">
        <v>21</v>
      </c>
      <c r="C828" s="1">
        <v>45799</v>
      </c>
      <c r="D828" s="2">
        <f>YEAR(Table1[[#This Row],[PurchaseDate]])</f>
        <v>2025</v>
      </c>
      <c r="E828" s="2" t="str">
        <f>"Q"&amp;ROUNDUP(MONTH(Table1[[#This Row],[PurchaseDate]])/3,0)</f>
        <v>Q2</v>
      </c>
      <c r="F828" s="2">
        <f>MONTH(Table1[[#This Row],[PurchaseDate]])</f>
        <v>5</v>
      </c>
      <c r="G828" s="2" t="str">
        <f>TEXT(Table1[[#This Row],[PurchaseDate]],"MMM")</f>
        <v>May</v>
      </c>
      <c r="H828">
        <v>5</v>
      </c>
      <c r="I828">
        <v>695.64</v>
      </c>
      <c r="J828" t="s">
        <v>1602</v>
      </c>
      <c r="K828" t="s">
        <v>18</v>
      </c>
      <c r="L828" t="s">
        <v>58</v>
      </c>
      <c r="M828">
        <v>5</v>
      </c>
      <c r="N828">
        <v>3478.2</v>
      </c>
    </row>
    <row r="829" spans="1:14" x14ac:dyDescent="0.3">
      <c r="A829" t="s">
        <v>1603</v>
      </c>
      <c r="B829" t="s">
        <v>16</v>
      </c>
      <c r="C829" s="1">
        <v>45787</v>
      </c>
      <c r="D829" s="2">
        <f>YEAR(Table1[[#This Row],[PurchaseDate]])</f>
        <v>2025</v>
      </c>
      <c r="E829" s="2" t="str">
        <f>"Q"&amp;ROUNDUP(MONTH(Table1[[#This Row],[PurchaseDate]])/3,0)</f>
        <v>Q2</v>
      </c>
      <c r="F829" s="2">
        <f>MONTH(Table1[[#This Row],[PurchaseDate]])</f>
        <v>5</v>
      </c>
      <c r="G829" s="2" t="str">
        <f>TEXT(Table1[[#This Row],[PurchaseDate]],"MMM")</f>
        <v>May</v>
      </c>
      <c r="H829">
        <v>8</v>
      </c>
      <c r="I829">
        <v>642.59</v>
      </c>
      <c r="J829" t="s">
        <v>1604</v>
      </c>
      <c r="K829" t="s">
        <v>38</v>
      </c>
      <c r="L829" t="s">
        <v>27</v>
      </c>
      <c r="M829">
        <v>5</v>
      </c>
      <c r="N829">
        <v>5140.72</v>
      </c>
    </row>
    <row r="830" spans="1:14" x14ac:dyDescent="0.3">
      <c r="A830" t="s">
        <v>1605</v>
      </c>
      <c r="B830" t="s">
        <v>42</v>
      </c>
      <c r="C830" s="1">
        <v>45741</v>
      </c>
      <c r="D830" s="2">
        <f>YEAR(Table1[[#This Row],[PurchaseDate]])</f>
        <v>2025</v>
      </c>
      <c r="E830" s="2" t="str">
        <f>"Q"&amp;ROUNDUP(MONTH(Table1[[#This Row],[PurchaseDate]])/3,0)</f>
        <v>Q1</v>
      </c>
      <c r="F830" s="2">
        <f>MONTH(Table1[[#This Row],[PurchaseDate]])</f>
        <v>3</v>
      </c>
      <c r="G830" s="2" t="str">
        <f>TEXT(Table1[[#This Row],[PurchaseDate]],"MMM")</f>
        <v>Mar</v>
      </c>
      <c r="H830">
        <v>2</v>
      </c>
      <c r="I830">
        <v>560.77</v>
      </c>
      <c r="J830" t="s">
        <v>1606</v>
      </c>
      <c r="K830" t="s">
        <v>18</v>
      </c>
      <c r="L830" t="s">
        <v>27</v>
      </c>
      <c r="M830">
        <v>5</v>
      </c>
      <c r="N830">
        <v>1121.54</v>
      </c>
    </row>
    <row r="831" spans="1:14" x14ac:dyDescent="0.3">
      <c r="A831" t="s">
        <v>1607</v>
      </c>
      <c r="B831" t="s">
        <v>42</v>
      </c>
      <c r="C831" s="1">
        <v>45818</v>
      </c>
      <c r="D831" s="2">
        <f>YEAR(Table1[[#This Row],[PurchaseDate]])</f>
        <v>2025</v>
      </c>
      <c r="E831" s="2" t="str">
        <f>"Q"&amp;ROUNDUP(MONTH(Table1[[#This Row],[PurchaseDate]])/3,0)</f>
        <v>Q2</v>
      </c>
      <c r="F831" s="2">
        <f>MONTH(Table1[[#This Row],[PurchaseDate]])</f>
        <v>6</v>
      </c>
      <c r="G831" s="2" t="str">
        <f>TEXT(Table1[[#This Row],[PurchaseDate]],"MMM")</f>
        <v>Jun</v>
      </c>
      <c r="H831">
        <v>6</v>
      </c>
      <c r="I831">
        <v>7.55</v>
      </c>
      <c r="J831" t="s">
        <v>1608</v>
      </c>
      <c r="K831" t="s">
        <v>18</v>
      </c>
      <c r="L831" t="s">
        <v>23</v>
      </c>
      <c r="M831">
        <v>5</v>
      </c>
      <c r="N831">
        <v>45.3</v>
      </c>
    </row>
    <row r="832" spans="1:14" x14ac:dyDescent="0.3">
      <c r="A832" t="s">
        <v>1609</v>
      </c>
      <c r="B832" t="s">
        <v>16</v>
      </c>
      <c r="C832" s="1">
        <v>45610</v>
      </c>
      <c r="D832" s="2">
        <f>YEAR(Table1[[#This Row],[PurchaseDate]])</f>
        <v>2024</v>
      </c>
      <c r="E832" s="2" t="str">
        <f>"Q"&amp;ROUNDUP(MONTH(Table1[[#This Row],[PurchaseDate]])/3,0)</f>
        <v>Q4</v>
      </c>
      <c r="F832" s="2">
        <f>MONTH(Table1[[#This Row],[PurchaseDate]])</f>
        <v>11</v>
      </c>
      <c r="G832" s="2" t="str">
        <f>TEXT(Table1[[#This Row],[PurchaseDate]],"MMM")</f>
        <v>Nov</v>
      </c>
      <c r="H832">
        <v>6</v>
      </c>
      <c r="I832">
        <v>256.02999999999997</v>
      </c>
      <c r="J832" t="s">
        <v>1610</v>
      </c>
      <c r="K832" t="s">
        <v>18</v>
      </c>
      <c r="L832" t="s">
        <v>27</v>
      </c>
      <c r="M832">
        <v>1</v>
      </c>
      <c r="N832">
        <v>1536.18</v>
      </c>
    </row>
    <row r="833" spans="1:14" x14ac:dyDescent="0.3">
      <c r="A833" t="s">
        <v>1611</v>
      </c>
      <c r="B833" t="s">
        <v>34</v>
      </c>
      <c r="C833" s="1">
        <v>45246</v>
      </c>
      <c r="D833" s="2">
        <f>YEAR(Table1[[#This Row],[PurchaseDate]])</f>
        <v>2023</v>
      </c>
      <c r="E833" s="2" t="str">
        <f>"Q"&amp;ROUNDUP(MONTH(Table1[[#This Row],[PurchaseDate]])/3,0)</f>
        <v>Q4</v>
      </c>
      <c r="F833" s="2">
        <f>MONTH(Table1[[#This Row],[PurchaseDate]])</f>
        <v>11</v>
      </c>
      <c r="G833" s="2" t="str">
        <f>TEXT(Table1[[#This Row],[PurchaseDate]],"MMM")</f>
        <v>Nov</v>
      </c>
      <c r="H833">
        <v>8</v>
      </c>
      <c r="I833">
        <v>323.16000000000003</v>
      </c>
      <c r="J833" t="s">
        <v>1612</v>
      </c>
      <c r="K833" t="s">
        <v>38</v>
      </c>
      <c r="L833" t="s">
        <v>27</v>
      </c>
      <c r="M833">
        <v>1</v>
      </c>
      <c r="N833">
        <v>2585.2800000000002</v>
      </c>
    </row>
    <row r="834" spans="1:14" x14ac:dyDescent="0.3">
      <c r="A834" t="s">
        <v>1613</v>
      </c>
      <c r="B834" t="s">
        <v>42</v>
      </c>
      <c r="C834" s="1">
        <v>45757</v>
      </c>
      <c r="D834" s="2">
        <f>YEAR(Table1[[#This Row],[PurchaseDate]])</f>
        <v>2025</v>
      </c>
      <c r="E834" s="2" t="str">
        <f>"Q"&amp;ROUNDUP(MONTH(Table1[[#This Row],[PurchaseDate]])/3,0)</f>
        <v>Q2</v>
      </c>
      <c r="F834" s="2">
        <f>MONTH(Table1[[#This Row],[PurchaseDate]])</f>
        <v>4</v>
      </c>
      <c r="G834" s="2" t="str">
        <f>TEXT(Table1[[#This Row],[PurchaseDate]],"MMM")</f>
        <v>Apr</v>
      </c>
      <c r="H834">
        <v>2</v>
      </c>
      <c r="I834">
        <v>665.61</v>
      </c>
      <c r="J834" t="s">
        <v>1614</v>
      </c>
      <c r="K834" t="s">
        <v>13</v>
      </c>
      <c r="L834" t="s">
        <v>23</v>
      </c>
      <c r="M834">
        <v>5</v>
      </c>
      <c r="N834">
        <v>1331.22</v>
      </c>
    </row>
    <row r="835" spans="1:14" x14ac:dyDescent="0.3">
      <c r="A835" t="s">
        <v>1615</v>
      </c>
      <c r="B835" t="s">
        <v>25</v>
      </c>
      <c r="C835" s="1">
        <v>45466</v>
      </c>
      <c r="D835" s="2">
        <f>YEAR(Table1[[#This Row],[PurchaseDate]])</f>
        <v>2024</v>
      </c>
      <c r="E835" s="2" t="str">
        <f>"Q"&amp;ROUNDUP(MONTH(Table1[[#This Row],[PurchaseDate]])/3,0)</f>
        <v>Q2</v>
      </c>
      <c r="F835" s="2">
        <f>MONTH(Table1[[#This Row],[PurchaseDate]])</f>
        <v>6</v>
      </c>
      <c r="G835" s="2" t="str">
        <f>TEXT(Table1[[#This Row],[PurchaseDate]],"MMM")</f>
        <v>Jun</v>
      </c>
      <c r="H835">
        <v>8</v>
      </c>
      <c r="I835">
        <v>284.95</v>
      </c>
      <c r="J835" t="s">
        <v>1616</v>
      </c>
      <c r="K835" t="s">
        <v>38</v>
      </c>
      <c r="L835" t="s">
        <v>23</v>
      </c>
      <c r="M835">
        <v>2</v>
      </c>
      <c r="N835">
        <v>2279.6</v>
      </c>
    </row>
    <row r="836" spans="1:14" x14ac:dyDescent="0.3">
      <c r="A836" t="s">
        <v>1617</v>
      </c>
      <c r="B836" t="s">
        <v>16</v>
      </c>
      <c r="C836" s="1">
        <v>45531</v>
      </c>
      <c r="D836" s="2">
        <f>YEAR(Table1[[#This Row],[PurchaseDate]])</f>
        <v>2024</v>
      </c>
      <c r="E836" s="2" t="str">
        <f>"Q"&amp;ROUNDUP(MONTH(Table1[[#This Row],[PurchaseDate]])/3,0)</f>
        <v>Q3</v>
      </c>
      <c r="F836" s="2">
        <f>MONTH(Table1[[#This Row],[PurchaseDate]])</f>
        <v>8</v>
      </c>
      <c r="G836" s="2" t="str">
        <f>TEXT(Table1[[#This Row],[PurchaseDate]],"MMM")</f>
        <v>Aug</v>
      </c>
      <c r="H836">
        <v>7</v>
      </c>
      <c r="I836">
        <v>695.02</v>
      </c>
      <c r="J836" t="s">
        <v>1618</v>
      </c>
      <c r="K836" t="s">
        <v>18</v>
      </c>
      <c r="L836" t="s">
        <v>58</v>
      </c>
      <c r="M836">
        <v>3</v>
      </c>
      <c r="N836">
        <v>4865.1400000000003</v>
      </c>
    </row>
    <row r="837" spans="1:14" x14ac:dyDescent="0.3">
      <c r="A837" t="s">
        <v>1619</v>
      </c>
      <c r="B837" t="s">
        <v>29</v>
      </c>
      <c r="C837" s="1">
        <v>45369</v>
      </c>
      <c r="D837" s="2">
        <f>YEAR(Table1[[#This Row],[PurchaseDate]])</f>
        <v>2024</v>
      </c>
      <c r="E837" s="2" t="str">
        <f>"Q"&amp;ROUNDUP(MONTH(Table1[[#This Row],[PurchaseDate]])/3,0)</f>
        <v>Q1</v>
      </c>
      <c r="F837" s="2">
        <f>MONTH(Table1[[#This Row],[PurchaseDate]])</f>
        <v>3</v>
      </c>
      <c r="G837" s="2" t="str">
        <f>TEXT(Table1[[#This Row],[PurchaseDate]],"MMM")</f>
        <v>Mar</v>
      </c>
      <c r="H837">
        <v>4</v>
      </c>
      <c r="I837">
        <v>168.32</v>
      </c>
      <c r="J837" t="s">
        <v>1620</v>
      </c>
      <c r="K837" t="s">
        <v>13</v>
      </c>
      <c r="L837" t="s">
        <v>27</v>
      </c>
      <c r="M837">
        <v>5</v>
      </c>
      <c r="N837">
        <v>673.28</v>
      </c>
    </row>
    <row r="838" spans="1:14" x14ac:dyDescent="0.3">
      <c r="A838" t="s">
        <v>1621</v>
      </c>
      <c r="B838" t="s">
        <v>11</v>
      </c>
      <c r="C838" s="1">
        <v>45424</v>
      </c>
      <c r="D838" s="2">
        <f>YEAR(Table1[[#This Row],[PurchaseDate]])</f>
        <v>2024</v>
      </c>
      <c r="E838" s="2" t="str">
        <f>"Q"&amp;ROUNDUP(MONTH(Table1[[#This Row],[PurchaseDate]])/3,0)</f>
        <v>Q2</v>
      </c>
      <c r="F838" s="2">
        <f>MONTH(Table1[[#This Row],[PurchaseDate]])</f>
        <v>5</v>
      </c>
      <c r="G838" s="2" t="str">
        <f>TEXT(Table1[[#This Row],[PurchaseDate]],"MMM")</f>
        <v>May</v>
      </c>
      <c r="H838">
        <v>5</v>
      </c>
      <c r="I838">
        <v>226.71</v>
      </c>
      <c r="J838" t="s">
        <v>1622</v>
      </c>
      <c r="K838" t="s">
        <v>13</v>
      </c>
      <c r="L838" t="s">
        <v>27</v>
      </c>
      <c r="M838">
        <v>4</v>
      </c>
      <c r="N838">
        <v>1133.55</v>
      </c>
    </row>
    <row r="839" spans="1:14" x14ac:dyDescent="0.3">
      <c r="A839" t="s">
        <v>1623</v>
      </c>
      <c r="B839" t="s">
        <v>25</v>
      </c>
      <c r="C839" s="1">
        <v>45533</v>
      </c>
      <c r="D839" s="2">
        <f>YEAR(Table1[[#This Row],[PurchaseDate]])</f>
        <v>2024</v>
      </c>
      <c r="E839" s="2" t="str">
        <f>"Q"&amp;ROUNDUP(MONTH(Table1[[#This Row],[PurchaseDate]])/3,0)</f>
        <v>Q3</v>
      </c>
      <c r="F839" s="2">
        <f>MONTH(Table1[[#This Row],[PurchaseDate]])</f>
        <v>8</v>
      </c>
      <c r="G839" s="2" t="str">
        <f>TEXT(Table1[[#This Row],[PurchaseDate]],"MMM")</f>
        <v>Aug</v>
      </c>
      <c r="H839">
        <v>7</v>
      </c>
      <c r="I839">
        <v>606.16999999999996</v>
      </c>
      <c r="J839" t="s">
        <v>1624</v>
      </c>
      <c r="K839" t="s">
        <v>18</v>
      </c>
      <c r="L839" t="s">
        <v>58</v>
      </c>
      <c r="M839">
        <v>2</v>
      </c>
      <c r="N839">
        <v>4243.1899999999996</v>
      </c>
    </row>
    <row r="840" spans="1:14" x14ac:dyDescent="0.3">
      <c r="A840" t="s">
        <v>1625</v>
      </c>
      <c r="B840" t="s">
        <v>25</v>
      </c>
      <c r="C840" s="1">
        <v>45687</v>
      </c>
      <c r="D840" s="2">
        <f>YEAR(Table1[[#This Row],[PurchaseDate]])</f>
        <v>2025</v>
      </c>
      <c r="E840" s="2" t="str">
        <f>"Q"&amp;ROUNDUP(MONTH(Table1[[#This Row],[PurchaseDate]])/3,0)</f>
        <v>Q1</v>
      </c>
      <c r="F840" s="2">
        <f>MONTH(Table1[[#This Row],[PurchaseDate]])</f>
        <v>1</v>
      </c>
      <c r="G840" s="2" t="str">
        <f>TEXT(Table1[[#This Row],[PurchaseDate]],"MMM")</f>
        <v>Jan</v>
      </c>
      <c r="H840">
        <v>5</v>
      </c>
      <c r="I840">
        <v>432.85</v>
      </c>
      <c r="J840" t="s">
        <v>1626</v>
      </c>
      <c r="K840" t="s">
        <v>38</v>
      </c>
      <c r="L840" t="s">
        <v>27</v>
      </c>
      <c r="M840">
        <v>5</v>
      </c>
      <c r="N840">
        <v>2164.25</v>
      </c>
    </row>
    <row r="841" spans="1:14" x14ac:dyDescent="0.3">
      <c r="A841" t="s">
        <v>1627</v>
      </c>
      <c r="B841" t="s">
        <v>21</v>
      </c>
      <c r="C841" s="1">
        <v>45275</v>
      </c>
      <c r="D841" s="2">
        <f>YEAR(Table1[[#This Row],[PurchaseDate]])</f>
        <v>2023</v>
      </c>
      <c r="E841" s="2" t="str">
        <f>"Q"&amp;ROUNDUP(MONTH(Table1[[#This Row],[PurchaseDate]])/3,0)</f>
        <v>Q4</v>
      </c>
      <c r="F841" s="2">
        <f>MONTH(Table1[[#This Row],[PurchaseDate]])</f>
        <v>12</v>
      </c>
      <c r="G841" s="2" t="str">
        <f>TEXT(Table1[[#This Row],[PurchaseDate]],"MMM")</f>
        <v>Dec</v>
      </c>
      <c r="H841">
        <v>3</v>
      </c>
      <c r="I841">
        <v>204.93</v>
      </c>
      <c r="J841" t="s">
        <v>1628</v>
      </c>
      <c r="K841" t="s">
        <v>18</v>
      </c>
      <c r="L841" t="s">
        <v>19</v>
      </c>
      <c r="M841">
        <v>3</v>
      </c>
      <c r="N841">
        <v>614.79</v>
      </c>
    </row>
    <row r="842" spans="1:14" x14ac:dyDescent="0.3">
      <c r="A842" t="s">
        <v>1629</v>
      </c>
      <c r="B842" t="s">
        <v>34</v>
      </c>
      <c r="C842" s="1">
        <v>45234</v>
      </c>
      <c r="D842" s="2">
        <f>YEAR(Table1[[#This Row],[PurchaseDate]])</f>
        <v>2023</v>
      </c>
      <c r="E842" s="2" t="str">
        <f>"Q"&amp;ROUNDUP(MONTH(Table1[[#This Row],[PurchaseDate]])/3,0)</f>
        <v>Q4</v>
      </c>
      <c r="F842" s="2">
        <f>MONTH(Table1[[#This Row],[PurchaseDate]])</f>
        <v>11</v>
      </c>
      <c r="G842" s="2" t="str">
        <f>TEXT(Table1[[#This Row],[PurchaseDate]],"MMM")</f>
        <v>Nov</v>
      </c>
      <c r="H842">
        <v>6</v>
      </c>
      <c r="I842">
        <v>548.88</v>
      </c>
      <c r="J842" t="s">
        <v>1630</v>
      </c>
      <c r="K842" t="s">
        <v>13</v>
      </c>
      <c r="L842" t="s">
        <v>14</v>
      </c>
      <c r="M842">
        <v>1</v>
      </c>
      <c r="N842">
        <v>3293.28</v>
      </c>
    </row>
    <row r="843" spans="1:14" x14ac:dyDescent="0.3">
      <c r="A843" t="s">
        <v>1631</v>
      </c>
      <c r="B843" t="s">
        <v>34</v>
      </c>
      <c r="C843" s="1">
        <v>45735</v>
      </c>
      <c r="D843" s="2">
        <f>YEAR(Table1[[#This Row],[PurchaseDate]])</f>
        <v>2025</v>
      </c>
      <c r="E843" s="2" t="str">
        <f>"Q"&amp;ROUNDUP(MONTH(Table1[[#This Row],[PurchaseDate]])/3,0)</f>
        <v>Q1</v>
      </c>
      <c r="F843" s="2">
        <f>MONTH(Table1[[#This Row],[PurchaseDate]])</f>
        <v>3</v>
      </c>
      <c r="G843" s="2" t="str">
        <f>TEXT(Table1[[#This Row],[PurchaseDate]],"MMM")</f>
        <v>Mar</v>
      </c>
      <c r="H843">
        <v>8</v>
      </c>
      <c r="I843">
        <v>563.03</v>
      </c>
      <c r="J843" t="s">
        <v>1632</v>
      </c>
      <c r="K843" t="s">
        <v>18</v>
      </c>
      <c r="L843" t="s">
        <v>27</v>
      </c>
      <c r="M843">
        <v>1</v>
      </c>
      <c r="N843">
        <v>4504.24</v>
      </c>
    </row>
    <row r="844" spans="1:14" x14ac:dyDescent="0.3">
      <c r="A844" t="s">
        <v>1633</v>
      </c>
      <c r="B844" t="s">
        <v>34</v>
      </c>
      <c r="C844" s="1">
        <v>45791</v>
      </c>
      <c r="D844" s="2">
        <f>YEAR(Table1[[#This Row],[PurchaseDate]])</f>
        <v>2025</v>
      </c>
      <c r="E844" s="2" t="str">
        <f>"Q"&amp;ROUNDUP(MONTH(Table1[[#This Row],[PurchaseDate]])/3,0)</f>
        <v>Q2</v>
      </c>
      <c r="F844" s="2">
        <f>MONTH(Table1[[#This Row],[PurchaseDate]])</f>
        <v>5</v>
      </c>
      <c r="G844" s="2" t="str">
        <f>TEXT(Table1[[#This Row],[PurchaseDate]],"MMM")</f>
        <v>May</v>
      </c>
      <c r="H844">
        <v>8</v>
      </c>
      <c r="I844">
        <v>620.6</v>
      </c>
      <c r="J844" t="s">
        <v>1634</v>
      </c>
      <c r="K844" t="s">
        <v>18</v>
      </c>
      <c r="L844" t="s">
        <v>23</v>
      </c>
      <c r="M844">
        <v>1</v>
      </c>
      <c r="N844">
        <v>4964.8</v>
      </c>
    </row>
    <row r="845" spans="1:14" x14ac:dyDescent="0.3">
      <c r="A845" t="s">
        <v>1635</v>
      </c>
      <c r="B845" t="s">
        <v>11</v>
      </c>
      <c r="C845" s="1">
        <v>45335</v>
      </c>
      <c r="D845" s="2">
        <f>YEAR(Table1[[#This Row],[PurchaseDate]])</f>
        <v>2024</v>
      </c>
      <c r="E845" s="2" t="str">
        <f>"Q"&amp;ROUNDUP(MONTH(Table1[[#This Row],[PurchaseDate]])/3,0)</f>
        <v>Q1</v>
      </c>
      <c r="F845" s="2">
        <f>MONTH(Table1[[#This Row],[PurchaseDate]])</f>
        <v>2</v>
      </c>
      <c r="G845" s="2" t="str">
        <f>TEXT(Table1[[#This Row],[PurchaseDate]],"MMM")</f>
        <v>Feb</v>
      </c>
      <c r="H845">
        <v>1</v>
      </c>
      <c r="I845">
        <v>430.58</v>
      </c>
      <c r="J845" t="s">
        <v>1636</v>
      </c>
      <c r="K845" t="s">
        <v>18</v>
      </c>
      <c r="L845" t="s">
        <v>14</v>
      </c>
      <c r="M845">
        <v>5</v>
      </c>
      <c r="N845">
        <v>430.58</v>
      </c>
    </row>
    <row r="846" spans="1:14" x14ac:dyDescent="0.3">
      <c r="A846" t="s">
        <v>1637</v>
      </c>
      <c r="B846" t="s">
        <v>25</v>
      </c>
      <c r="C846" s="1">
        <v>45291</v>
      </c>
      <c r="D846" s="2">
        <f>YEAR(Table1[[#This Row],[PurchaseDate]])</f>
        <v>2023</v>
      </c>
      <c r="E846" s="2" t="str">
        <f>"Q"&amp;ROUNDUP(MONTH(Table1[[#This Row],[PurchaseDate]])/3,0)</f>
        <v>Q4</v>
      </c>
      <c r="F846" s="2">
        <f>MONTH(Table1[[#This Row],[PurchaseDate]])</f>
        <v>12</v>
      </c>
      <c r="G846" s="2" t="str">
        <f>TEXT(Table1[[#This Row],[PurchaseDate]],"MMM")</f>
        <v>Dec</v>
      </c>
      <c r="H846">
        <v>8</v>
      </c>
      <c r="I846">
        <v>506.43</v>
      </c>
      <c r="J846" t="s">
        <v>1638</v>
      </c>
      <c r="K846" t="s">
        <v>38</v>
      </c>
      <c r="L846" t="s">
        <v>27</v>
      </c>
      <c r="M846">
        <v>3</v>
      </c>
      <c r="N846">
        <v>4051.44</v>
      </c>
    </row>
    <row r="847" spans="1:14" x14ac:dyDescent="0.3">
      <c r="A847" t="s">
        <v>1639</v>
      </c>
      <c r="B847" t="s">
        <v>34</v>
      </c>
      <c r="C847" s="1">
        <v>45048</v>
      </c>
      <c r="D847" s="2">
        <f>YEAR(Table1[[#This Row],[PurchaseDate]])</f>
        <v>2023</v>
      </c>
      <c r="E847" s="2" t="str">
        <f>"Q"&amp;ROUNDUP(MONTH(Table1[[#This Row],[PurchaseDate]])/3,0)</f>
        <v>Q2</v>
      </c>
      <c r="F847" s="2">
        <f>MONTH(Table1[[#This Row],[PurchaseDate]])</f>
        <v>5</v>
      </c>
      <c r="G847" s="2" t="str">
        <f>TEXT(Table1[[#This Row],[PurchaseDate]],"MMM")</f>
        <v>May</v>
      </c>
      <c r="H847">
        <v>7</v>
      </c>
      <c r="I847">
        <v>555.39</v>
      </c>
      <c r="J847" t="s">
        <v>1640</v>
      </c>
      <c r="K847" t="s">
        <v>13</v>
      </c>
      <c r="L847" t="s">
        <v>58</v>
      </c>
      <c r="M847">
        <v>1</v>
      </c>
      <c r="N847">
        <v>3887.73</v>
      </c>
    </row>
    <row r="848" spans="1:14" x14ac:dyDescent="0.3">
      <c r="A848" t="s">
        <v>1641</v>
      </c>
      <c r="B848" t="s">
        <v>29</v>
      </c>
      <c r="C848" s="1">
        <v>45251</v>
      </c>
      <c r="D848" s="2">
        <f>YEAR(Table1[[#This Row],[PurchaseDate]])</f>
        <v>2023</v>
      </c>
      <c r="E848" s="2" t="str">
        <f>"Q"&amp;ROUNDUP(MONTH(Table1[[#This Row],[PurchaseDate]])/3,0)</f>
        <v>Q4</v>
      </c>
      <c r="F848" s="2">
        <f>MONTH(Table1[[#This Row],[PurchaseDate]])</f>
        <v>11</v>
      </c>
      <c r="G848" s="2" t="str">
        <f>TEXT(Table1[[#This Row],[PurchaseDate]],"MMM")</f>
        <v>Nov</v>
      </c>
      <c r="H848">
        <v>1</v>
      </c>
      <c r="I848">
        <v>139.83000000000001</v>
      </c>
      <c r="J848" t="s">
        <v>1642</v>
      </c>
      <c r="K848" t="s">
        <v>38</v>
      </c>
      <c r="L848" t="s">
        <v>23</v>
      </c>
      <c r="M848">
        <v>5</v>
      </c>
      <c r="N848">
        <v>139.83000000000001</v>
      </c>
    </row>
    <row r="849" spans="1:14" x14ac:dyDescent="0.3">
      <c r="A849" t="s">
        <v>1643</v>
      </c>
      <c r="B849" t="s">
        <v>16</v>
      </c>
      <c r="C849" s="1">
        <v>45588</v>
      </c>
      <c r="D849" s="2">
        <f>YEAR(Table1[[#This Row],[PurchaseDate]])</f>
        <v>2024</v>
      </c>
      <c r="E849" s="2" t="str">
        <f>"Q"&amp;ROUNDUP(MONTH(Table1[[#This Row],[PurchaseDate]])/3,0)</f>
        <v>Q4</v>
      </c>
      <c r="F849" s="2">
        <f>MONTH(Table1[[#This Row],[PurchaseDate]])</f>
        <v>10</v>
      </c>
      <c r="G849" s="2" t="str">
        <f>TEXT(Table1[[#This Row],[PurchaseDate]],"MMM")</f>
        <v>Oct</v>
      </c>
      <c r="H849">
        <v>5</v>
      </c>
      <c r="I849">
        <v>85.4</v>
      </c>
      <c r="J849" t="s">
        <v>1644</v>
      </c>
      <c r="K849" t="s">
        <v>13</v>
      </c>
      <c r="L849" t="s">
        <v>19</v>
      </c>
      <c r="M849">
        <v>4</v>
      </c>
      <c r="N849">
        <v>427</v>
      </c>
    </row>
    <row r="850" spans="1:14" x14ac:dyDescent="0.3">
      <c r="A850" t="s">
        <v>1645</v>
      </c>
      <c r="B850" t="s">
        <v>11</v>
      </c>
      <c r="C850" s="1">
        <v>45363</v>
      </c>
      <c r="D850" s="2">
        <f>YEAR(Table1[[#This Row],[PurchaseDate]])</f>
        <v>2024</v>
      </c>
      <c r="E850" s="2" t="str">
        <f>"Q"&amp;ROUNDUP(MONTH(Table1[[#This Row],[PurchaseDate]])/3,0)</f>
        <v>Q1</v>
      </c>
      <c r="F850" s="2">
        <f>MONTH(Table1[[#This Row],[PurchaseDate]])</f>
        <v>3</v>
      </c>
      <c r="G850" s="2" t="str">
        <f>TEXT(Table1[[#This Row],[PurchaseDate]],"MMM")</f>
        <v>Mar</v>
      </c>
      <c r="H850">
        <v>8</v>
      </c>
      <c r="I850">
        <v>634.55999999999995</v>
      </c>
      <c r="J850" t="s">
        <v>1646</v>
      </c>
      <c r="K850" t="s">
        <v>13</v>
      </c>
      <c r="L850" t="s">
        <v>27</v>
      </c>
      <c r="M850">
        <v>4</v>
      </c>
      <c r="N850">
        <v>5076.4799999999996</v>
      </c>
    </row>
    <row r="851" spans="1:14" x14ac:dyDescent="0.3">
      <c r="A851" t="s">
        <v>1647</v>
      </c>
      <c r="B851" t="s">
        <v>29</v>
      </c>
      <c r="C851" s="1">
        <v>45644</v>
      </c>
      <c r="D851" s="2">
        <f>YEAR(Table1[[#This Row],[PurchaseDate]])</f>
        <v>2024</v>
      </c>
      <c r="E851" s="2" t="str">
        <f>"Q"&amp;ROUNDUP(MONTH(Table1[[#This Row],[PurchaseDate]])/3,0)</f>
        <v>Q4</v>
      </c>
      <c r="F851" s="2">
        <f>MONTH(Table1[[#This Row],[PurchaseDate]])</f>
        <v>12</v>
      </c>
      <c r="G851" s="2" t="str">
        <f>TEXT(Table1[[#This Row],[PurchaseDate]],"MMM")</f>
        <v>Dec</v>
      </c>
      <c r="H851">
        <v>8</v>
      </c>
      <c r="I851">
        <v>768.09</v>
      </c>
      <c r="J851" t="s">
        <v>1648</v>
      </c>
      <c r="K851" t="s">
        <v>18</v>
      </c>
      <c r="L851" t="s">
        <v>19</v>
      </c>
      <c r="M851">
        <v>1</v>
      </c>
      <c r="N851">
        <v>6144.72</v>
      </c>
    </row>
    <row r="852" spans="1:14" x14ac:dyDescent="0.3">
      <c r="A852" t="s">
        <v>1649</v>
      </c>
      <c r="B852" t="s">
        <v>42</v>
      </c>
      <c r="C852" s="1">
        <v>45003</v>
      </c>
      <c r="D852" s="2">
        <f>YEAR(Table1[[#This Row],[PurchaseDate]])</f>
        <v>2023</v>
      </c>
      <c r="E852" s="2" t="str">
        <f>"Q"&amp;ROUNDUP(MONTH(Table1[[#This Row],[PurchaseDate]])/3,0)</f>
        <v>Q1</v>
      </c>
      <c r="F852" s="2">
        <f>MONTH(Table1[[#This Row],[PurchaseDate]])</f>
        <v>3</v>
      </c>
      <c r="G852" s="2" t="str">
        <f>TEXT(Table1[[#This Row],[PurchaseDate]],"MMM")</f>
        <v>Mar</v>
      </c>
      <c r="H852">
        <v>4</v>
      </c>
      <c r="I852">
        <v>592.34</v>
      </c>
      <c r="J852" t="s">
        <v>1650</v>
      </c>
      <c r="K852" t="s">
        <v>18</v>
      </c>
      <c r="L852" t="s">
        <v>58</v>
      </c>
      <c r="M852">
        <v>4</v>
      </c>
      <c r="N852">
        <v>2369.36</v>
      </c>
    </row>
    <row r="853" spans="1:14" x14ac:dyDescent="0.3">
      <c r="A853" t="s">
        <v>1651</v>
      </c>
      <c r="B853" t="s">
        <v>21</v>
      </c>
      <c r="C853" s="1">
        <v>45550</v>
      </c>
      <c r="D853" s="2">
        <f>YEAR(Table1[[#This Row],[PurchaseDate]])</f>
        <v>2024</v>
      </c>
      <c r="E853" s="2" t="str">
        <f>"Q"&amp;ROUNDUP(MONTH(Table1[[#This Row],[PurchaseDate]])/3,0)</f>
        <v>Q3</v>
      </c>
      <c r="F853" s="2">
        <f>MONTH(Table1[[#This Row],[PurchaseDate]])</f>
        <v>9</v>
      </c>
      <c r="G853" s="2" t="str">
        <f>TEXT(Table1[[#This Row],[PurchaseDate]],"MMM")</f>
        <v>Sep</v>
      </c>
      <c r="H853">
        <v>3</v>
      </c>
      <c r="I853">
        <v>256.5</v>
      </c>
      <c r="J853" t="s">
        <v>1652</v>
      </c>
      <c r="K853" t="s">
        <v>13</v>
      </c>
      <c r="L853" t="s">
        <v>27</v>
      </c>
      <c r="M853">
        <v>1</v>
      </c>
      <c r="N853">
        <v>769.5</v>
      </c>
    </row>
    <row r="854" spans="1:14" x14ac:dyDescent="0.3">
      <c r="A854" t="s">
        <v>125</v>
      </c>
      <c r="B854" t="s">
        <v>25</v>
      </c>
      <c r="C854" s="1">
        <v>45557</v>
      </c>
      <c r="D854" s="2">
        <f>YEAR(Table1[[#This Row],[PurchaseDate]])</f>
        <v>2024</v>
      </c>
      <c r="E854" s="2" t="str">
        <f>"Q"&amp;ROUNDUP(MONTH(Table1[[#This Row],[PurchaseDate]])/3,0)</f>
        <v>Q3</v>
      </c>
      <c r="F854" s="2">
        <f>MONTH(Table1[[#This Row],[PurchaseDate]])</f>
        <v>9</v>
      </c>
      <c r="G854" s="2" t="str">
        <f>TEXT(Table1[[#This Row],[PurchaseDate]],"MMM")</f>
        <v>Sep</v>
      </c>
      <c r="H854">
        <v>1</v>
      </c>
      <c r="I854">
        <v>592.24</v>
      </c>
      <c r="J854" t="s">
        <v>126</v>
      </c>
      <c r="K854" t="s">
        <v>13</v>
      </c>
      <c r="L854" t="s">
        <v>14</v>
      </c>
      <c r="M854">
        <v>3</v>
      </c>
      <c r="N854">
        <v>592.24</v>
      </c>
    </row>
    <row r="855" spans="1:14" x14ac:dyDescent="0.3">
      <c r="A855" t="s">
        <v>1653</v>
      </c>
      <c r="B855" t="s">
        <v>25</v>
      </c>
      <c r="C855" s="1">
        <v>45011</v>
      </c>
      <c r="D855" s="2">
        <f>YEAR(Table1[[#This Row],[PurchaseDate]])</f>
        <v>2023</v>
      </c>
      <c r="E855" s="2" t="str">
        <f>"Q"&amp;ROUNDUP(MONTH(Table1[[#This Row],[PurchaseDate]])/3,0)</f>
        <v>Q1</v>
      </c>
      <c r="F855" s="2">
        <f>MONTH(Table1[[#This Row],[PurchaseDate]])</f>
        <v>3</v>
      </c>
      <c r="G855" s="2" t="str">
        <f>TEXT(Table1[[#This Row],[PurchaseDate]],"MMM")</f>
        <v>Mar</v>
      </c>
      <c r="H855">
        <v>7</v>
      </c>
      <c r="I855">
        <v>69.12</v>
      </c>
      <c r="J855" t="s">
        <v>1654</v>
      </c>
      <c r="K855" t="s">
        <v>38</v>
      </c>
      <c r="L855" t="s">
        <v>19</v>
      </c>
      <c r="M855">
        <v>3</v>
      </c>
      <c r="N855">
        <v>483.84</v>
      </c>
    </row>
    <row r="856" spans="1:14" x14ac:dyDescent="0.3">
      <c r="A856" t="s">
        <v>1655</v>
      </c>
      <c r="B856" t="s">
        <v>29</v>
      </c>
      <c r="C856" s="1">
        <v>45011</v>
      </c>
      <c r="D856" s="2">
        <f>YEAR(Table1[[#This Row],[PurchaseDate]])</f>
        <v>2023</v>
      </c>
      <c r="E856" s="2" t="str">
        <f>"Q"&amp;ROUNDUP(MONTH(Table1[[#This Row],[PurchaseDate]])/3,0)</f>
        <v>Q1</v>
      </c>
      <c r="F856" s="2">
        <f>MONTH(Table1[[#This Row],[PurchaseDate]])</f>
        <v>3</v>
      </c>
      <c r="G856" s="2" t="str">
        <f>TEXT(Table1[[#This Row],[PurchaseDate]],"MMM")</f>
        <v>Mar</v>
      </c>
      <c r="H856">
        <v>3</v>
      </c>
      <c r="I856">
        <v>128.52000000000001</v>
      </c>
      <c r="J856" t="s">
        <v>1656</v>
      </c>
      <c r="K856" t="s">
        <v>18</v>
      </c>
      <c r="L856" t="s">
        <v>23</v>
      </c>
      <c r="M856">
        <v>3</v>
      </c>
      <c r="N856">
        <v>385.56</v>
      </c>
    </row>
    <row r="857" spans="1:14" x14ac:dyDescent="0.3">
      <c r="A857" t="s">
        <v>1657</v>
      </c>
      <c r="B857" t="s">
        <v>29</v>
      </c>
      <c r="C857" s="1">
        <v>45097</v>
      </c>
      <c r="D857" s="2">
        <f>YEAR(Table1[[#This Row],[PurchaseDate]])</f>
        <v>2023</v>
      </c>
      <c r="E857" s="2" t="str">
        <f>"Q"&amp;ROUNDUP(MONTH(Table1[[#This Row],[PurchaseDate]])/3,0)</f>
        <v>Q2</v>
      </c>
      <c r="F857" s="2">
        <f>MONTH(Table1[[#This Row],[PurchaseDate]])</f>
        <v>6</v>
      </c>
      <c r="G857" s="2" t="str">
        <f>TEXT(Table1[[#This Row],[PurchaseDate]],"MMM")</f>
        <v>Jun</v>
      </c>
      <c r="H857">
        <v>6</v>
      </c>
      <c r="I857">
        <v>70.13</v>
      </c>
      <c r="J857" t="s">
        <v>1658</v>
      </c>
      <c r="K857" t="s">
        <v>13</v>
      </c>
      <c r="L857" t="s">
        <v>27</v>
      </c>
      <c r="M857">
        <v>4</v>
      </c>
      <c r="N857">
        <v>420.78</v>
      </c>
    </row>
    <row r="858" spans="1:14" x14ac:dyDescent="0.3">
      <c r="A858" t="s">
        <v>1659</v>
      </c>
      <c r="B858" t="s">
        <v>11</v>
      </c>
      <c r="C858" s="1">
        <v>45838</v>
      </c>
      <c r="D858" s="2">
        <f>YEAR(Table1[[#This Row],[PurchaseDate]])</f>
        <v>2025</v>
      </c>
      <c r="E858" s="2" t="str">
        <f>"Q"&amp;ROUNDUP(MONTH(Table1[[#This Row],[PurchaseDate]])/3,0)</f>
        <v>Q2</v>
      </c>
      <c r="F858" s="2">
        <f>MONTH(Table1[[#This Row],[PurchaseDate]])</f>
        <v>6</v>
      </c>
      <c r="G858" s="2" t="str">
        <f>TEXT(Table1[[#This Row],[PurchaseDate]],"MMM")</f>
        <v>Jun</v>
      </c>
      <c r="H858">
        <v>7</v>
      </c>
      <c r="I858">
        <v>548.54</v>
      </c>
      <c r="J858" t="s">
        <v>1660</v>
      </c>
      <c r="K858" t="s">
        <v>18</v>
      </c>
      <c r="L858" t="s">
        <v>58</v>
      </c>
      <c r="M858">
        <v>4</v>
      </c>
      <c r="N858">
        <v>3839.78</v>
      </c>
    </row>
    <row r="859" spans="1:14" x14ac:dyDescent="0.3">
      <c r="A859" t="s">
        <v>687</v>
      </c>
      <c r="B859" t="s">
        <v>16</v>
      </c>
      <c r="C859" s="1">
        <v>45697</v>
      </c>
      <c r="D859" s="2">
        <f>YEAR(Table1[[#This Row],[PurchaseDate]])</f>
        <v>2025</v>
      </c>
      <c r="E859" s="2" t="str">
        <f>"Q"&amp;ROUNDUP(MONTH(Table1[[#This Row],[PurchaseDate]])/3,0)</f>
        <v>Q1</v>
      </c>
      <c r="F859" s="2">
        <f>MONTH(Table1[[#This Row],[PurchaseDate]])</f>
        <v>2</v>
      </c>
      <c r="G859" s="2" t="str">
        <f>TEXT(Table1[[#This Row],[PurchaseDate]],"MMM")</f>
        <v>Feb</v>
      </c>
      <c r="H859">
        <v>6</v>
      </c>
      <c r="I859">
        <v>279.06</v>
      </c>
      <c r="J859" t="s">
        <v>688</v>
      </c>
      <c r="K859" t="s">
        <v>38</v>
      </c>
      <c r="L859" t="s">
        <v>27</v>
      </c>
      <c r="M859">
        <v>3</v>
      </c>
      <c r="N859">
        <v>1674.36</v>
      </c>
    </row>
    <row r="860" spans="1:14" x14ac:dyDescent="0.3">
      <c r="A860" t="s">
        <v>1661</v>
      </c>
      <c r="B860" t="s">
        <v>16</v>
      </c>
      <c r="C860" s="1">
        <v>45014</v>
      </c>
      <c r="D860" s="2">
        <f>YEAR(Table1[[#This Row],[PurchaseDate]])</f>
        <v>2023</v>
      </c>
      <c r="E860" s="2" t="str">
        <f>"Q"&amp;ROUNDUP(MONTH(Table1[[#This Row],[PurchaseDate]])/3,0)</f>
        <v>Q1</v>
      </c>
      <c r="F860" s="2">
        <f>MONTH(Table1[[#This Row],[PurchaseDate]])</f>
        <v>3</v>
      </c>
      <c r="G860" s="2" t="str">
        <f>TEXT(Table1[[#This Row],[PurchaseDate]],"MMM")</f>
        <v>Mar</v>
      </c>
      <c r="H860">
        <v>3</v>
      </c>
      <c r="I860">
        <v>770.49</v>
      </c>
      <c r="J860" t="s">
        <v>1662</v>
      </c>
      <c r="K860" t="s">
        <v>13</v>
      </c>
      <c r="L860" t="s">
        <v>58</v>
      </c>
      <c r="M860">
        <v>4</v>
      </c>
      <c r="N860">
        <v>2311.4699999999998</v>
      </c>
    </row>
    <row r="861" spans="1:14" x14ac:dyDescent="0.3">
      <c r="A861" t="s">
        <v>1663</v>
      </c>
      <c r="B861" t="s">
        <v>25</v>
      </c>
      <c r="C861" s="1">
        <v>45521</v>
      </c>
      <c r="D861" s="2">
        <f>YEAR(Table1[[#This Row],[PurchaseDate]])</f>
        <v>2024</v>
      </c>
      <c r="E861" s="2" t="str">
        <f>"Q"&amp;ROUNDUP(MONTH(Table1[[#This Row],[PurchaseDate]])/3,0)</f>
        <v>Q3</v>
      </c>
      <c r="F861" s="2">
        <f>MONTH(Table1[[#This Row],[PurchaseDate]])</f>
        <v>8</v>
      </c>
      <c r="G861" s="2" t="str">
        <f>TEXT(Table1[[#This Row],[PurchaseDate]],"MMM")</f>
        <v>Aug</v>
      </c>
      <c r="H861">
        <v>4</v>
      </c>
      <c r="I861">
        <v>174.39</v>
      </c>
      <c r="J861" t="s">
        <v>1664</v>
      </c>
      <c r="K861" t="s">
        <v>18</v>
      </c>
      <c r="L861" t="s">
        <v>27</v>
      </c>
      <c r="M861">
        <v>4</v>
      </c>
      <c r="N861">
        <v>697.56</v>
      </c>
    </row>
    <row r="862" spans="1:14" x14ac:dyDescent="0.3">
      <c r="A862" t="s">
        <v>1665</v>
      </c>
      <c r="B862" t="s">
        <v>34</v>
      </c>
      <c r="C862" s="1">
        <v>45332</v>
      </c>
      <c r="D862" s="2">
        <f>YEAR(Table1[[#This Row],[PurchaseDate]])</f>
        <v>2024</v>
      </c>
      <c r="E862" s="2" t="str">
        <f>"Q"&amp;ROUNDUP(MONTH(Table1[[#This Row],[PurchaseDate]])/3,0)</f>
        <v>Q1</v>
      </c>
      <c r="F862" s="2">
        <f>MONTH(Table1[[#This Row],[PurchaseDate]])</f>
        <v>2</v>
      </c>
      <c r="G862" s="2" t="str">
        <f>TEXT(Table1[[#This Row],[PurchaseDate]],"MMM")</f>
        <v>Feb</v>
      </c>
      <c r="H862">
        <v>5</v>
      </c>
      <c r="I862">
        <v>451.64</v>
      </c>
      <c r="J862" t="s">
        <v>1666</v>
      </c>
      <c r="K862" t="s">
        <v>38</v>
      </c>
      <c r="L862" t="s">
        <v>58</v>
      </c>
      <c r="M862">
        <v>5</v>
      </c>
      <c r="N862">
        <v>2258.1999999999998</v>
      </c>
    </row>
    <row r="863" spans="1:14" x14ac:dyDescent="0.3">
      <c r="A863" t="s">
        <v>1667</v>
      </c>
      <c r="B863" t="s">
        <v>34</v>
      </c>
      <c r="C863" s="1">
        <v>45300</v>
      </c>
      <c r="D863" s="2">
        <f>YEAR(Table1[[#This Row],[PurchaseDate]])</f>
        <v>2024</v>
      </c>
      <c r="E863" s="2" t="str">
        <f>"Q"&amp;ROUNDUP(MONTH(Table1[[#This Row],[PurchaseDate]])/3,0)</f>
        <v>Q1</v>
      </c>
      <c r="F863" s="2">
        <f>MONTH(Table1[[#This Row],[PurchaseDate]])</f>
        <v>1</v>
      </c>
      <c r="G863" s="2" t="str">
        <f>TEXT(Table1[[#This Row],[PurchaseDate]],"MMM")</f>
        <v>Jan</v>
      </c>
      <c r="H863">
        <v>2</v>
      </c>
      <c r="I863">
        <v>488.07</v>
      </c>
      <c r="J863" t="s">
        <v>1668</v>
      </c>
      <c r="K863" t="s">
        <v>38</v>
      </c>
      <c r="L863" t="s">
        <v>14</v>
      </c>
      <c r="M863">
        <v>4</v>
      </c>
      <c r="N863">
        <v>976.14</v>
      </c>
    </row>
    <row r="864" spans="1:14" x14ac:dyDescent="0.3">
      <c r="A864" t="s">
        <v>1669</v>
      </c>
      <c r="B864" t="s">
        <v>21</v>
      </c>
      <c r="C864" s="1">
        <v>45264</v>
      </c>
      <c r="D864" s="2">
        <f>YEAR(Table1[[#This Row],[PurchaseDate]])</f>
        <v>2023</v>
      </c>
      <c r="E864" s="2" t="str">
        <f>"Q"&amp;ROUNDUP(MONTH(Table1[[#This Row],[PurchaseDate]])/3,0)</f>
        <v>Q4</v>
      </c>
      <c r="F864" s="2">
        <f>MONTH(Table1[[#This Row],[PurchaseDate]])</f>
        <v>12</v>
      </c>
      <c r="G864" s="2" t="str">
        <f>TEXT(Table1[[#This Row],[PurchaseDate]],"MMM")</f>
        <v>Dec</v>
      </c>
      <c r="H864">
        <v>4</v>
      </c>
      <c r="I864">
        <v>329.91</v>
      </c>
      <c r="J864" t="s">
        <v>1670</v>
      </c>
      <c r="K864" t="s">
        <v>13</v>
      </c>
      <c r="L864" t="s">
        <v>58</v>
      </c>
      <c r="M864">
        <v>4</v>
      </c>
      <c r="N864">
        <v>1319.64</v>
      </c>
    </row>
    <row r="865" spans="1:14" x14ac:dyDescent="0.3">
      <c r="A865" t="s">
        <v>1671</v>
      </c>
      <c r="B865" t="s">
        <v>21</v>
      </c>
      <c r="C865" s="1">
        <v>45634</v>
      </c>
      <c r="D865" s="2">
        <f>YEAR(Table1[[#This Row],[PurchaseDate]])</f>
        <v>2024</v>
      </c>
      <c r="E865" s="2" t="str">
        <f>"Q"&amp;ROUNDUP(MONTH(Table1[[#This Row],[PurchaseDate]])/3,0)</f>
        <v>Q4</v>
      </c>
      <c r="F865" s="2">
        <f>MONTH(Table1[[#This Row],[PurchaseDate]])</f>
        <v>12</v>
      </c>
      <c r="G865" s="2" t="str">
        <f>TEXT(Table1[[#This Row],[PurchaseDate]],"MMM")</f>
        <v>Dec</v>
      </c>
      <c r="H865">
        <v>7</v>
      </c>
      <c r="I865">
        <v>41.97</v>
      </c>
      <c r="J865" t="s">
        <v>1672</v>
      </c>
      <c r="K865" t="s">
        <v>13</v>
      </c>
      <c r="L865" t="s">
        <v>19</v>
      </c>
      <c r="M865">
        <v>2</v>
      </c>
      <c r="N865">
        <v>293.79000000000002</v>
      </c>
    </row>
    <row r="866" spans="1:14" x14ac:dyDescent="0.3">
      <c r="A866" t="s">
        <v>1673</v>
      </c>
      <c r="B866" t="s">
        <v>16</v>
      </c>
      <c r="C866" s="1">
        <v>45127</v>
      </c>
      <c r="D866" s="2">
        <f>YEAR(Table1[[#This Row],[PurchaseDate]])</f>
        <v>2023</v>
      </c>
      <c r="E866" s="2" t="str">
        <f>"Q"&amp;ROUNDUP(MONTH(Table1[[#This Row],[PurchaseDate]])/3,0)</f>
        <v>Q3</v>
      </c>
      <c r="F866" s="2">
        <f>MONTH(Table1[[#This Row],[PurchaseDate]])</f>
        <v>7</v>
      </c>
      <c r="G866" s="2" t="str">
        <f>TEXT(Table1[[#This Row],[PurchaseDate]],"MMM")</f>
        <v>Jul</v>
      </c>
      <c r="H866">
        <v>7</v>
      </c>
      <c r="I866">
        <v>284.86</v>
      </c>
      <c r="J866" t="s">
        <v>1674</v>
      </c>
      <c r="K866" t="s">
        <v>38</v>
      </c>
      <c r="L866" t="s">
        <v>19</v>
      </c>
      <c r="M866">
        <v>5</v>
      </c>
      <c r="N866">
        <v>1994.02</v>
      </c>
    </row>
    <row r="867" spans="1:14" x14ac:dyDescent="0.3">
      <c r="A867" t="s">
        <v>1675</v>
      </c>
      <c r="B867" t="s">
        <v>11</v>
      </c>
      <c r="C867" s="1">
        <v>45315</v>
      </c>
      <c r="D867" s="2">
        <f>YEAR(Table1[[#This Row],[PurchaseDate]])</f>
        <v>2024</v>
      </c>
      <c r="E867" s="2" t="str">
        <f>"Q"&amp;ROUNDUP(MONTH(Table1[[#This Row],[PurchaseDate]])/3,0)</f>
        <v>Q1</v>
      </c>
      <c r="F867" s="2">
        <f>MONTH(Table1[[#This Row],[PurchaseDate]])</f>
        <v>1</v>
      </c>
      <c r="G867" s="2" t="str">
        <f>TEXT(Table1[[#This Row],[PurchaseDate]],"MMM")</f>
        <v>Jan</v>
      </c>
      <c r="H867">
        <v>2</v>
      </c>
      <c r="I867">
        <v>433.59</v>
      </c>
      <c r="J867" t="s">
        <v>1676</v>
      </c>
      <c r="K867" t="s">
        <v>18</v>
      </c>
      <c r="L867" t="s">
        <v>19</v>
      </c>
      <c r="M867">
        <v>2</v>
      </c>
      <c r="N867">
        <v>867.18</v>
      </c>
    </row>
    <row r="868" spans="1:14" x14ac:dyDescent="0.3">
      <c r="A868" t="s">
        <v>1677</v>
      </c>
      <c r="B868" t="s">
        <v>21</v>
      </c>
      <c r="C868" s="1">
        <v>45716</v>
      </c>
      <c r="D868" s="2">
        <f>YEAR(Table1[[#This Row],[PurchaseDate]])</f>
        <v>2025</v>
      </c>
      <c r="E868" s="2" t="str">
        <f>"Q"&amp;ROUNDUP(MONTH(Table1[[#This Row],[PurchaseDate]])/3,0)</f>
        <v>Q1</v>
      </c>
      <c r="F868" s="2">
        <f>MONTH(Table1[[#This Row],[PurchaseDate]])</f>
        <v>2</v>
      </c>
      <c r="G868" s="2" t="str">
        <f>TEXT(Table1[[#This Row],[PurchaseDate]],"MMM")</f>
        <v>Feb</v>
      </c>
      <c r="H868">
        <v>1</v>
      </c>
      <c r="I868">
        <v>79.900000000000006</v>
      </c>
      <c r="J868" t="s">
        <v>1678</v>
      </c>
      <c r="K868" t="s">
        <v>13</v>
      </c>
      <c r="L868" t="s">
        <v>27</v>
      </c>
      <c r="M868">
        <v>1</v>
      </c>
      <c r="N868">
        <v>79.900000000000006</v>
      </c>
    </row>
    <row r="869" spans="1:14" x14ac:dyDescent="0.3">
      <c r="A869" t="s">
        <v>1679</v>
      </c>
      <c r="B869" t="s">
        <v>25</v>
      </c>
      <c r="C869" s="1">
        <v>45516</v>
      </c>
      <c r="D869" s="2">
        <f>YEAR(Table1[[#This Row],[PurchaseDate]])</f>
        <v>2024</v>
      </c>
      <c r="E869" s="2" t="str">
        <f>"Q"&amp;ROUNDUP(MONTH(Table1[[#This Row],[PurchaseDate]])/3,0)</f>
        <v>Q3</v>
      </c>
      <c r="F869" s="2">
        <f>MONTH(Table1[[#This Row],[PurchaseDate]])</f>
        <v>8</v>
      </c>
      <c r="G869" s="2" t="str">
        <f>TEXT(Table1[[#This Row],[PurchaseDate]],"MMM")</f>
        <v>Aug</v>
      </c>
      <c r="H869">
        <v>8</v>
      </c>
      <c r="I869">
        <v>138.11000000000001</v>
      </c>
      <c r="J869" t="s">
        <v>1680</v>
      </c>
      <c r="K869" t="s">
        <v>38</v>
      </c>
      <c r="L869" t="s">
        <v>58</v>
      </c>
      <c r="M869">
        <v>4</v>
      </c>
      <c r="N869">
        <v>1104.8800000000001</v>
      </c>
    </row>
    <row r="870" spans="1:14" x14ac:dyDescent="0.3">
      <c r="A870" t="s">
        <v>1681</v>
      </c>
      <c r="B870" t="s">
        <v>42</v>
      </c>
      <c r="C870" s="1">
        <v>45762</v>
      </c>
      <c r="D870" s="2">
        <f>YEAR(Table1[[#This Row],[PurchaseDate]])</f>
        <v>2025</v>
      </c>
      <c r="E870" s="2" t="str">
        <f>"Q"&amp;ROUNDUP(MONTH(Table1[[#This Row],[PurchaseDate]])/3,0)</f>
        <v>Q2</v>
      </c>
      <c r="F870" s="2">
        <f>MONTH(Table1[[#This Row],[PurchaseDate]])</f>
        <v>4</v>
      </c>
      <c r="G870" s="2" t="str">
        <f>TEXT(Table1[[#This Row],[PurchaseDate]],"MMM")</f>
        <v>Apr</v>
      </c>
      <c r="H870">
        <v>8</v>
      </c>
      <c r="I870">
        <v>65.260000000000005</v>
      </c>
      <c r="J870" t="s">
        <v>1682</v>
      </c>
      <c r="K870" t="s">
        <v>18</v>
      </c>
      <c r="L870" t="s">
        <v>58</v>
      </c>
      <c r="M870">
        <v>2</v>
      </c>
      <c r="N870">
        <v>522.08000000000004</v>
      </c>
    </row>
    <row r="871" spans="1:14" x14ac:dyDescent="0.3">
      <c r="A871" t="s">
        <v>1683</v>
      </c>
      <c r="B871" t="s">
        <v>25</v>
      </c>
      <c r="C871" s="1">
        <v>45497</v>
      </c>
      <c r="D871" s="2">
        <f>YEAR(Table1[[#This Row],[PurchaseDate]])</f>
        <v>2024</v>
      </c>
      <c r="E871" s="2" t="str">
        <f>"Q"&amp;ROUNDUP(MONTH(Table1[[#This Row],[PurchaseDate]])/3,0)</f>
        <v>Q3</v>
      </c>
      <c r="F871" s="2">
        <f>MONTH(Table1[[#This Row],[PurchaseDate]])</f>
        <v>7</v>
      </c>
      <c r="G871" s="2" t="str">
        <f>TEXT(Table1[[#This Row],[PurchaseDate]],"MMM")</f>
        <v>Jul</v>
      </c>
      <c r="H871">
        <v>8</v>
      </c>
      <c r="I871">
        <v>263.56</v>
      </c>
      <c r="J871" t="s">
        <v>1684</v>
      </c>
      <c r="K871" t="s">
        <v>13</v>
      </c>
      <c r="L871" t="s">
        <v>27</v>
      </c>
      <c r="M871">
        <v>5</v>
      </c>
      <c r="N871">
        <v>2108.48</v>
      </c>
    </row>
    <row r="872" spans="1:14" x14ac:dyDescent="0.3">
      <c r="A872" t="s">
        <v>1685</v>
      </c>
      <c r="B872" t="s">
        <v>16</v>
      </c>
      <c r="C872" s="1">
        <v>45328</v>
      </c>
      <c r="D872" s="2">
        <f>YEAR(Table1[[#This Row],[PurchaseDate]])</f>
        <v>2024</v>
      </c>
      <c r="E872" s="2" t="str">
        <f>"Q"&amp;ROUNDUP(MONTH(Table1[[#This Row],[PurchaseDate]])/3,0)</f>
        <v>Q1</v>
      </c>
      <c r="F872" s="2">
        <f>MONTH(Table1[[#This Row],[PurchaseDate]])</f>
        <v>2</v>
      </c>
      <c r="G872" s="2" t="str">
        <f>TEXT(Table1[[#This Row],[PurchaseDate]],"MMM")</f>
        <v>Feb</v>
      </c>
      <c r="H872">
        <v>8</v>
      </c>
      <c r="I872">
        <v>621.67999999999995</v>
      </c>
      <c r="J872" t="s">
        <v>1686</v>
      </c>
      <c r="K872" t="s">
        <v>38</v>
      </c>
      <c r="L872" t="s">
        <v>23</v>
      </c>
      <c r="M872">
        <v>2</v>
      </c>
      <c r="N872">
        <v>4973.4399999999996</v>
      </c>
    </row>
    <row r="873" spans="1:14" x14ac:dyDescent="0.3">
      <c r="A873" t="s">
        <v>627</v>
      </c>
      <c r="B873" t="s">
        <v>21</v>
      </c>
      <c r="C873" s="1">
        <v>45041</v>
      </c>
      <c r="D873" s="2">
        <f>YEAR(Table1[[#This Row],[PurchaseDate]])</f>
        <v>2023</v>
      </c>
      <c r="E873" s="2" t="str">
        <f>"Q"&amp;ROUNDUP(MONTH(Table1[[#This Row],[PurchaseDate]])/3,0)</f>
        <v>Q2</v>
      </c>
      <c r="F873" s="2">
        <f>MONTH(Table1[[#This Row],[PurchaseDate]])</f>
        <v>4</v>
      </c>
      <c r="G873" s="2" t="str">
        <f>TEXT(Table1[[#This Row],[PurchaseDate]],"MMM")</f>
        <v>Apr</v>
      </c>
      <c r="H873">
        <v>1</v>
      </c>
      <c r="I873">
        <v>147.34</v>
      </c>
      <c r="J873" t="s">
        <v>628</v>
      </c>
      <c r="K873" t="s">
        <v>18</v>
      </c>
      <c r="L873" t="s">
        <v>27</v>
      </c>
      <c r="M873">
        <v>1</v>
      </c>
      <c r="N873">
        <v>147.34</v>
      </c>
    </row>
    <row r="874" spans="1:14" x14ac:dyDescent="0.3">
      <c r="A874" t="s">
        <v>1687</v>
      </c>
      <c r="B874" t="s">
        <v>21</v>
      </c>
      <c r="C874" s="1">
        <v>45382</v>
      </c>
      <c r="D874" s="2">
        <f>YEAR(Table1[[#This Row],[PurchaseDate]])</f>
        <v>2024</v>
      </c>
      <c r="E874" s="2" t="str">
        <f>"Q"&amp;ROUNDUP(MONTH(Table1[[#This Row],[PurchaseDate]])/3,0)</f>
        <v>Q1</v>
      </c>
      <c r="F874" s="2">
        <f>MONTH(Table1[[#This Row],[PurchaseDate]])</f>
        <v>3</v>
      </c>
      <c r="G874" s="2" t="str">
        <f>TEXT(Table1[[#This Row],[PurchaseDate]],"MMM")</f>
        <v>Mar</v>
      </c>
      <c r="H874">
        <v>6</v>
      </c>
      <c r="I874">
        <v>192.17</v>
      </c>
      <c r="J874" t="s">
        <v>1688</v>
      </c>
      <c r="K874" t="s">
        <v>38</v>
      </c>
      <c r="L874" t="s">
        <v>23</v>
      </c>
      <c r="M874">
        <v>2</v>
      </c>
      <c r="N874">
        <v>1153.02</v>
      </c>
    </row>
    <row r="875" spans="1:14" x14ac:dyDescent="0.3">
      <c r="A875" t="s">
        <v>1689</v>
      </c>
      <c r="B875" t="s">
        <v>34</v>
      </c>
      <c r="C875" s="1">
        <v>45360</v>
      </c>
      <c r="D875" s="2">
        <f>YEAR(Table1[[#This Row],[PurchaseDate]])</f>
        <v>2024</v>
      </c>
      <c r="E875" s="2" t="str">
        <f>"Q"&amp;ROUNDUP(MONTH(Table1[[#This Row],[PurchaseDate]])/3,0)</f>
        <v>Q1</v>
      </c>
      <c r="F875" s="2">
        <f>MONTH(Table1[[#This Row],[PurchaseDate]])</f>
        <v>3</v>
      </c>
      <c r="G875" s="2" t="str">
        <f>TEXT(Table1[[#This Row],[PurchaseDate]],"MMM")</f>
        <v>Mar</v>
      </c>
      <c r="H875">
        <v>7</v>
      </c>
      <c r="I875">
        <v>560.05999999999995</v>
      </c>
      <c r="J875" t="s">
        <v>1690</v>
      </c>
      <c r="K875" t="s">
        <v>13</v>
      </c>
      <c r="L875" t="s">
        <v>58</v>
      </c>
      <c r="M875">
        <v>1</v>
      </c>
      <c r="N875">
        <v>3920.42</v>
      </c>
    </row>
    <row r="876" spans="1:14" x14ac:dyDescent="0.3">
      <c r="A876" t="s">
        <v>1691</v>
      </c>
      <c r="B876" t="s">
        <v>16</v>
      </c>
      <c r="C876" s="1">
        <v>45071</v>
      </c>
      <c r="D876" s="2">
        <f>YEAR(Table1[[#This Row],[PurchaseDate]])</f>
        <v>2023</v>
      </c>
      <c r="E876" s="2" t="str">
        <f>"Q"&amp;ROUNDUP(MONTH(Table1[[#This Row],[PurchaseDate]])/3,0)</f>
        <v>Q2</v>
      </c>
      <c r="F876" s="2">
        <f>MONTH(Table1[[#This Row],[PurchaseDate]])</f>
        <v>5</v>
      </c>
      <c r="G876" s="2" t="str">
        <f>TEXT(Table1[[#This Row],[PurchaseDate]],"MMM")</f>
        <v>May</v>
      </c>
      <c r="H876">
        <v>8</v>
      </c>
      <c r="I876">
        <v>131.26</v>
      </c>
      <c r="J876" t="s">
        <v>1692</v>
      </c>
      <c r="K876" t="s">
        <v>18</v>
      </c>
      <c r="L876" t="s">
        <v>19</v>
      </c>
      <c r="M876">
        <v>3</v>
      </c>
      <c r="N876">
        <v>1050.08</v>
      </c>
    </row>
    <row r="877" spans="1:14" x14ac:dyDescent="0.3">
      <c r="A877" t="s">
        <v>1693</v>
      </c>
      <c r="B877" t="s">
        <v>42</v>
      </c>
      <c r="C877" s="1">
        <v>45320</v>
      </c>
      <c r="D877" s="2">
        <f>YEAR(Table1[[#This Row],[PurchaseDate]])</f>
        <v>2024</v>
      </c>
      <c r="E877" s="2" t="str">
        <f>"Q"&amp;ROUNDUP(MONTH(Table1[[#This Row],[PurchaseDate]])/3,0)</f>
        <v>Q1</v>
      </c>
      <c r="F877" s="2">
        <f>MONTH(Table1[[#This Row],[PurchaseDate]])</f>
        <v>1</v>
      </c>
      <c r="G877" s="2" t="str">
        <f>TEXT(Table1[[#This Row],[PurchaseDate]],"MMM")</f>
        <v>Jan</v>
      </c>
      <c r="H877">
        <v>4</v>
      </c>
      <c r="I877">
        <v>57.77</v>
      </c>
      <c r="J877" t="s">
        <v>1694</v>
      </c>
      <c r="K877" t="s">
        <v>38</v>
      </c>
      <c r="L877" t="s">
        <v>23</v>
      </c>
      <c r="M877">
        <v>4</v>
      </c>
      <c r="N877">
        <v>231.08</v>
      </c>
    </row>
    <row r="878" spans="1:14" x14ac:dyDescent="0.3">
      <c r="A878" t="s">
        <v>1695</v>
      </c>
      <c r="B878" t="s">
        <v>16</v>
      </c>
      <c r="C878" s="1">
        <v>45130</v>
      </c>
      <c r="D878" s="2">
        <f>YEAR(Table1[[#This Row],[PurchaseDate]])</f>
        <v>2023</v>
      </c>
      <c r="E878" s="2" t="str">
        <f>"Q"&amp;ROUNDUP(MONTH(Table1[[#This Row],[PurchaseDate]])/3,0)</f>
        <v>Q3</v>
      </c>
      <c r="F878" s="2">
        <f>MONTH(Table1[[#This Row],[PurchaseDate]])</f>
        <v>7</v>
      </c>
      <c r="G878" s="2" t="str">
        <f>TEXT(Table1[[#This Row],[PurchaseDate]],"MMM")</f>
        <v>Jul</v>
      </c>
      <c r="H878">
        <v>4</v>
      </c>
      <c r="I878">
        <v>149.13999999999999</v>
      </c>
      <c r="J878" t="s">
        <v>1696</v>
      </c>
      <c r="K878" t="s">
        <v>13</v>
      </c>
      <c r="L878" t="s">
        <v>19</v>
      </c>
      <c r="M878">
        <v>4</v>
      </c>
      <c r="N878">
        <v>596.55999999999995</v>
      </c>
    </row>
    <row r="879" spans="1:14" x14ac:dyDescent="0.3">
      <c r="A879" t="s">
        <v>1697</v>
      </c>
      <c r="B879" t="s">
        <v>25</v>
      </c>
      <c r="C879" s="1">
        <v>45549</v>
      </c>
      <c r="D879" s="2">
        <f>YEAR(Table1[[#This Row],[PurchaseDate]])</f>
        <v>2024</v>
      </c>
      <c r="E879" s="2" t="str">
        <f>"Q"&amp;ROUNDUP(MONTH(Table1[[#This Row],[PurchaseDate]])/3,0)</f>
        <v>Q3</v>
      </c>
      <c r="F879" s="2">
        <f>MONTH(Table1[[#This Row],[PurchaseDate]])</f>
        <v>9</v>
      </c>
      <c r="G879" s="2" t="str">
        <f>TEXT(Table1[[#This Row],[PurchaseDate]],"MMM")</f>
        <v>Sep</v>
      </c>
      <c r="H879">
        <v>6</v>
      </c>
      <c r="I879">
        <v>580.01</v>
      </c>
      <c r="J879" t="s">
        <v>1698</v>
      </c>
      <c r="K879" t="s">
        <v>13</v>
      </c>
      <c r="L879" t="s">
        <v>27</v>
      </c>
      <c r="M879">
        <v>1</v>
      </c>
      <c r="N879">
        <v>3480.06</v>
      </c>
    </row>
    <row r="880" spans="1:14" x14ac:dyDescent="0.3">
      <c r="A880" t="s">
        <v>1699</v>
      </c>
      <c r="B880" t="s">
        <v>34</v>
      </c>
      <c r="C880" s="1">
        <v>45476</v>
      </c>
      <c r="D880" s="2">
        <f>YEAR(Table1[[#This Row],[PurchaseDate]])</f>
        <v>2024</v>
      </c>
      <c r="E880" s="2" t="str">
        <f>"Q"&amp;ROUNDUP(MONTH(Table1[[#This Row],[PurchaseDate]])/3,0)</f>
        <v>Q3</v>
      </c>
      <c r="F880" s="2">
        <f>MONTH(Table1[[#This Row],[PurchaseDate]])</f>
        <v>7</v>
      </c>
      <c r="G880" s="2" t="str">
        <f>TEXT(Table1[[#This Row],[PurchaseDate]],"MMM")</f>
        <v>Jul</v>
      </c>
      <c r="H880">
        <v>3</v>
      </c>
      <c r="I880">
        <v>495.51</v>
      </c>
      <c r="J880" t="s">
        <v>1700</v>
      </c>
      <c r="K880" t="s">
        <v>18</v>
      </c>
      <c r="L880" t="s">
        <v>58</v>
      </c>
      <c r="M880">
        <v>5</v>
      </c>
      <c r="N880">
        <v>1486.53</v>
      </c>
    </row>
    <row r="881" spans="1:14" x14ac:dyDescent="0.3">
      <c r="A881" t="s">
        <v>1701</v>
      </c>
      <c r="B881" t="s">
        <v>11</v>
      </c>
      <c r="C881" s="1">
        <v>45632</v>
      </c>
      <c r="D881" s="2">
        <f>YEAR(Table1[[#This Row],[PurchaseDate]])</f>
        <v>2024</v>
      </c>
      <c r="E881" s="2" t="str">
        <f>"Q"&amp;ROUNDUP(MONTH(Table1[[#This Row],[PurchaseDate]])/3,0)</f>
        <v>Q4</v>
      </c>
      <c r="F881" s="2">
        <f>MONTH(Table1[[#This Row],[PurchaseDate]])</f>
        <v>12</v>
      </c>
      <c r="G881" s="2" t="str">
        <f>TEXT(Table1[[#This Row],[PurchaseDate]],"MMM")</f>
        <v>Dec</v>
      </c>
      <c r="H881">
        <v>6</v>
      </c>
      <c r="I881">
        <v>360.05</v>
      </c>
      <c r="J881" t="s">
        <v>1702</v>
      </c>
      <c r="K881" t="s">
        <v>38</v>
      </c>
      <c r="L881" t="s">
        <v>27</v>
      </c>
      <c r="M881">
        <v>4</v>
      </c>
      <c r="N881">
        <v>2160.3000000000002</v>
      </c>
    </row>
    <row r="882" spans="1:14" x14ac:dyDescent="0.3">
      <c r="A882" t="s">
        <v>1703</v>
      </c>
      <c r="B882" t="s">
        <v>16</v>
      </c>
      <c r="C882" s="1">
        <v>45632</v>
      </c>
      <c r="D882" s="2">
        <f>YEAR(Table1[[#This Row],[PurchaseDate]])</f>
        <v>2024</v>
      </c>
      <c r="E882" s="2" t="str">
        <f>"Q"&amp;ROUNDUP(MONTH(Table1[[#This Row],[PurchaseDate]])/3,0)</f>
        <v>Q4</v>
      </c>
      <c r="F882" s="2">
        <f>MONTH(Table1[[#This Row],[PurchaseDate]])</f>
        <v>12</v>
      </c>
      <c r="G882" s="2" t="str">
        <f>TEXT(Table1[[#This Row],[PurchaseDate]],"MMM")</f>
        <v>Dec</v>
      </c>
      <c r="H882">
        <v>5</v>
      </c>
      <c r="I882">
        <v>276.75</v>
      </c>
      <c r="J882" t="s">
        <v>1704</v>
      </c>
      <c r="K882" t="s">
        <v>13</v>
      </c>
      <c r="L882" t="s">
        <v>19</v>
      </c>
      <c r="M882">
        <v>2</v>
      </c>
      <c r="N882">
        <v>1383.75</v>
      </c>
    </row>
    <row r="883" spans="1:14" x14ac:dyDescent="0.3">
      <c r="A883" t="s">
        <v>1705</v>
      </c>
      <c r="B883" t="s">
        <v>11</v>
      </c>
      <c r="C883" s="1">
        <v>45344</v>
      </c>
      <c r="D883" s="2">
        <f>YEAR(Table1[[#This Row],[PurchaseDate]])</f>
        <v>2024</v>
      </c>
      <c r="E883" s="2" t="str">
        <f>"Q"&amp;ROUNDUP(MONTH(Table1[[#This Row],[PurchaseDate]])/3,0)</f>
        <v>Q1</v>
      </c>
      <c r="F883" s="2">
        <f>MONTH(Table1[[#This Row],[PurchaseDate]])</f>
        <v>2</v>
      </c>
      <c r="G883" s="2" t="str">
        <f>TEXT(Table1[[#This Row],[PurchaseDate]],"MMM")</f>
        <v>Feb</v>
      </c>
      <c r="H883">
        <v>7</v>
      </c>
      <c r="I883">
        <v>662.26</v>
      </c>
      <c r="J883" t="s">
        <v>1706</v>
      </c>
      <c r="K883" t="s">
        <v>38</v>
      </c>
      <c r="L883" t="s">
        <v>23</v>
      </c>
      <c r="M883">
        <v>2</v>
      </c>
      <c r="N883">
        <v>4635.82</v>
      </c>
    </row>
    <row r="884" spans="1:14" x14ac:dyDescent="0.3">
      <c r="A884" t="s">
        <v>1707</v>
      </c>
      <c r="B884" t="s">
        <v>11</v>
      </c>
      <c r="C884" s="1">
        <v>45230</v>
      </c>
      <c r="D884" s="2">
        <f>YEAR(Table1[[#This Row],[PurchaseDate]])</f>
        <v>2023</v>
      </c>
      <c r="E884" s="2" t="str">
        <f>"Q"&amp;ROUNDUP(MONTH(Table1[[#This Row],[PurchaseDate]])/3,0)</f>
        <v>Q4</v>
      </c>
      <c r="F884" s="2">
        <f>MONTH(Table1[[#This Row],[PurchaseDate]])</f>
        <v>10</v>
      </c>
      <c r="G884" s="2" t="str">
        <f>TEXT(Table1[[#This Row],[PurchaseDate]],"MMM")</f>
        <v>Oct</v>
      </c>
      <c r="H884">
        <v>1</v>
      </c>
      <c r="I884">
        <v>72.25</v>
      </c>
      <c r="J884" t="s">
        <v>1708</v>
      </c>
      <c r="K884" t="s">
        <v>13</v>
      </c>
      <c r="L884" t="s">
        <v>23</v>
      </c>
      <c r="M884">
        <v>2</v>
      </c>
      <c r="N884">
        <v>72.25</v>
      </c>
    </row>
    <row r="885" spans="1:14" x14ac:dyDescent="0.3">
      <c r="A885" t="s">
        <v>1709</v>
      </c>
      <c r="B885" t="s">
        <v>34</v>
      </c>
      <c r="C885" s="1">
        <v>45102</v>
      </c>
      <c r="D885" s="2">
        <f>YEAR(Table1[[#This Row],[PurchaseDate]])</f>
        <v>2023</v>
      </c>
      <c r="E885" s="2" t="str">
        <f>"Q"&amp;ROUNDUP(MONTH(Table1[[#This Row],[PurchaseDate]])/3,0)</f>
        <v>Q2</v>
      </c>
      <c r="F885" s="2">
        <f>MONTH(Table1[[#This Row],[PurchaseDate]])</f>
        <v>6</v>
      </c>
      <c r="G885" s="2" t="str">
        <f>TEXT(Table1[[#This Row],[PurchaseDate]],"MMM")</f>
        <v>Jun</v>
      </c>
      <c r="H885">
        <v>4</v>
      </c>
      <c r="I885">
        <v>495.28</v>
      </c>
      <c r="J885" t="s">
        <v>1710</v>
      </c>
      <c r="K885" t="s">
        <v>18</v>
      </c>
      <c r="L885" t="s">
        <v>14</v>
      </c>
      <c r="M885">
        <v>1</v>
      </c>
      <c r="N885">
        <v>1981.12</v>
      </c>
    </row>
    <row r="886" spans="1:14" x14ac:dyDescent="0.3">
      <c r="A886" t="s">
        <v>1711</v>
      </c>
      <c r="B886" t="s">
        <v>42</v>
      </c>
      <c r="C886" s="1">
        <v>45521</v>
      </c>
      <c r="D886" s="2">
        <f>YEAR(Table1[[#This Row],[PurchaseDate]])</f>
        <v>2024</v>
      </c>
      <c r="E886" s="2" t="str">
        <f>"Q"&amp;ROUNDUP(MONTH(Table1[[#This Row],[PurchaseDate]])/3,0)</f>
        <v>Q3</v>
      </c>
      <c r="F886" s="2">
        <f>MONTH(Table1[[#This Row],[PurchaseDate]])</f>
        <v>8</v>
      </c>
      <c r="G886" s="2" t="str">
        <f>TEXT(Table1[[#This Row],[PurchaseDate]],"MMM")</f>
        <v>Aug</v>
      </c>
      <c r="H886">
        <v>2</v>
      </c>
      <c r="I886">
        <v>322.62</v>
      </c>
      <c r="J886" t="s">
        <v>1712</v>
      </c>
      <c r="K886" t="s">
        <v>13</v>
      </c>
      <c r="L886" t="s">
        <v>14</v>
      </c>
      <c r="M886">
        <v>1</v>
      </c>
      <c r="N886">
        <v>645.24</v>
      </c>
    </row>
    <row r="887" spans="1:14" x14ac:dyDescent="0.3">
      <c r="A887" t="s">
        <v>1713</v>
      </c>
      <c r="B887" t="s">
        <v>29</v>
      </c>
      <c r="C887" s="1">
        <v>45773</v>
      </c>
      <c r="D887" s="2">
        <f>YEAR(Table1[[#This Row],[PurchaseDate]])</f>
        <v>2025</v>
      </c>
      <c r="E887" s="2" t="str">
        <f>"Q"&amp;ROUNDUP(MONTH(Table1[[#This Row],[PurchaseDate]])/3,0)</f>
        <v>Q2</v>
      </c>
      <c r="F887" s="2">
        <f>MONTH(Table1[[#This Row],[PurchaseDate]])</f>
        <v>4</v>
      </c>
      <c r="G887" s="2" t="str">
        <f>TEXT(Table1[[#This Row],[PurchaseDate]],"MMM")</f>
        <v>Apr</v>
      </c>
      <c r="H887">
        <v>5</v>
      </c>
      <c r="I887">
        <v>184.75</v>
      </c>
      <c r="J887" t="s">
        <v>1714</v>
      </c>
      <c r="K887" t="s">
        <v>13</v>
      </c>
      <c r="L887" t="s">
        <v>27</v>
      </c>
      <c r="M887">
        <v>3</v>
      </c>
      <c r="N887">
        <v>923.75</v>
      </c>
    </row>
    <row r="888" spans="1:14" x14ac:dyDescent="0.3">
      <c r="A888" t="s">
        <v>1715</v>
      </c>
      <c r="B888" t="s">
        <v>16</v>
      </c>
      <c r="C888" s="1">
        <v>45430</v>
      </c>
      <c r="D888" s="2">
        <f>YEAR(Table1[[#This Row],[PurchaseDate]])</f>
        <v>2024</v>
      </c>
      <c r="E888" s="2" t="str">
        <f>"Q"&amp;ROUNDUP(MONTH(Table1[[#This Row],[PurchaseDate]])/3,0)</f>
        <v>Q2</v>
      </c>
      <c r="F888" s="2">
        <f>MONTH(Table1[[#This Row],[PurchaseDate]])</f>
        <v>5</v>
      </c>
      <c r="G888" s="2" t="str">
        <f>TEXT(Table1[[#This Row],[PurchaseDate]],"MMM")</f>
        <v>May</v>
      </c>
      <c r="H888">
        <v>2</v>
      </c>
      <c r="I888">
        <v>638.03</v>
      </c>
      <c r="J888" t="s">
        <v>1716</v>
      </c>
      <c r="K888" t="s">
        <v>38</v>
      </c>
      <c r="L888" t="s">
        <v>14</v>
      </c>
      <c r="M888">
        <v>1</v>
      </c>
      <c r="N888">
        <v>1276.06</v>
      </c>
    </row>
    <row r="889" spans="1:14" x14ac:dyDescent="0.3">
      <c r="A889" t="s">
        <v>1717</v>
      </c>
      <c r="B889" t="s">
        <v>42</v>
      </c>
      <c r="C889" s="1">
        <v>45019</v>
      </c>
      <c r="D889" s="2">
        <f>YEAR(Table1[[#This Row],[PurchaseDate]])</f>
        <v>2023</v>
      </c>
      <c r="E889" s="2" t="str">
        <f>"Q"&amp;ROUNDUP(MONTH(Table1[[#This Row],[PurchaseDate]])/3,0)</f>
        <v>Q2</v>
      </c>
      <c r="F889" s="2">
        <f>MONTH(Table1[[#This Row],[PurchaseDate]])</f>
        <v>4</v>
      </c>
      <c r="G889" s="2" t="str">
        <f>TEXT(Table1[[#This Row],[PurchaseDate]],"MMM")</f>
        <v>Apr</v>
      </c>
      <c r="H889">
        <v>3</v>
      </c>
      <c r="I889">
        <v>100.78</v>
      </c>
      <c r="J889" t="s">
        <v>1718</v>
      </c>
      <c r="K889" t="s">
        <v>38</v>
      </c>
      <c r="L889" t="s">
        <v>58</v>
      </c>
      <c r="M889">
        <v>5</v>
      </c>
      <c r="N889">
        <v>302.33999999999997</v>
      </c>
    </row>
    <row r="890" spans="1:14" x14ac:dyDescent="0.3">
      <c r="A890" t="s">
        <v>1719</v>
      </c>
      <c r="B890" t="s">
        <v>34</v>
      </c>
      <c r="C890" s="1">
        <v>45691</v>
      </c>
      <c r="D890" s="2">
        <f>YEAR(Table1[[#This Row],[PurchaseDate]])</f>
        <v>2025</v>
      </c>
      <c r="E890" s="2" t="str">
        <f>"Q"&amp;ROUNDUP(MONTH(Table1[[#This Row],[PurchaseDate]])/3,0)</f>
        <v>Q1</v>
      </c>
      <c r="F890" s="2">
        <f>MONTH(Table1[[#This Row],[PurchaseDate]])</f>
        <v>2</v>
      </c>
      <c r="G890" s="2" t="str">
        <f>TEXT(Table1[[#This Row],[PurchaseDate]],"MMM")</f>
        <v>Feb</v>
      </c>
      <c r="H890">
        <v>8</v>
      </c>
      <c r="I890">
        <v>398.91</v>
      </c>
      <c r="J890" t="s">
        <v>1720</v>
      </c>
      <c r="K890" t="s">
        <v>13</v>
      </c>
      <c r="L890" t="s">
        <v>14</v>
      </c>
      <c r="M890">
        <v>1</v>
      </c>
      <c r="N890">
        <v>3191.28</v>
      </c>
    </row>
    <row r="891" spans="1:14" x14ac:dyDescent="0.3">
      <c r="A891" t="s">
        <v>1721</v>
      </c>
      <c r="B891" t="s">
        <v>16</v>
      </c>
      <c r="C891" s="1">
        <v>45040</v>
      </c>
      <c r="D891" s="2">
        <f>YEAR(Table1[[#This Row],[PurchaseDate]])</f>
        <v>2023</v>
      </c>
      <c r="E891" s="2" t="str">
        <f>"Q"&amp;ROUNDUP(MONTH(Table1[[#This Row],[PurchaseDate]])/3,0)</f>
        <v>Q2</v>
      </c>
      <c r="F891" s="2">
        <f>MONTH(Table1[[#This Row],[PurchaseDate]])</f>
        <v>4</v>
      </c>
      <c r="G891" s="2" t="str">
        <f>TEXT(Table1[[#This Row],[PurchaseDate]],"MMM")</f>
        <v>Apr</v>
      </c>
      <c r="H891">
        <v>6</v>
      </c>
      <c r="I891">
        <v>525.79</v>
      </c>
      <c r="J891" t="s">
        <v>1722</v>
      </c>
      <c r="K891" t="s">
        <v>13</v>
      </c>
      <c r="L891" t="s">
        <v>14</v>
      </c>
      <c r="M891">
        <v>1</v>
      </c>
      <c r="N891">
        <v>3154.74</v>
      </c>
    </row>
    <row r="892" spans="1:14" x14ac:dyDescent="0.3">
      <c r="A892" t="s">
        <v>1723</v>
      </c>
      <c r="B892" t="s">
        <v>42</v>
      </c>
      <c r="C892" s="1">
        <v>45120</v>
      </c>
      <c r="D892" s="2">
        <f>YEAR(Table1[[#This Row],[PurchaseDate]])</f>
        <v>2023</v>
      </c>
      <c r="E892" s="2" t="str">
        <f>"Q"&amp;ROUNDUP(MONTH(Table1[[#This Row],[PurchaseDate]])/3,0)</f>
        <v>Q3</v>
      </c>
      <c r="F892" s="2">
        <f>MONTH(Table1[[#This Row],[PurchaseDate]])</f>
        <v>7</v>
      </c>
      <c r="G892" s="2" t="str">
        <f>TEXT(Table1[[#This Row],[PurchaseDate]],"MMM")</f>
        <v>Jul</v>
      </c>
      <c r="H892">
        <v>5</v>
      </c>
      <c r="I892">
        <v>680.25</v>
      </c>
      <c r="J892" t="s">
        <v>1724</v>
      </c>
      <c r="K892" t="s">
        <v>38</v>
      </c>
      <c r="L892" t="s">
        <v>58</v>
      </c>
      <c r="M892">
        <v>5</v>
      </c>
      <c r="N892">
        <v>3401.25</v>
      </c>
    </row>
    <row r="893" spans="1:14" x14ac:dyDescent="0.3">
      <c r="A893" t="s">
        <v>1725</v>
      </c>
      <c r="B893" t="s">
        <v>16</v>
      </c>
      <c r="C893" s="1">
        <v>45487</v>
      </c>
      <c r="D893" s="2">
        <f>YEAR(Table1[[#This Row],[PurchaseDate]])</f>
        <v>2024</v>
      </c>
      <c r="E893" s="2" t="str">
        <f>"Q"&amp;ROUNDUP(MONTH(Table1[[#This Row],[PurchaseDate]])/3,0)</f>
        <v>Q3</v>
      </c>
      <c r="F893" s="2">
        <f>MONTH(Table1[[#This Row],[PurchaseDate]])</f>
        <v>7</v>
      </c>
      <c r="G893" s="2" t="str">
        <f>TEXT(Table1[[#This Row],[PurchaseDate]],"MMM")</f>
        <v>Jul</v>
      </c>
      <c r="H893">
        <v>5</v>
      </c>
      <c r="I893">
        <v>184.75</v>
      </c>
      <c r="J893" t="s">
        <v>1726</v>
      </c>
      <c r="K893" t="s">
        <v>13</v>
      </c>
      <c r="L893" t="s">
        <v>23</v>
      </c>
      <c r="M893">
        <v>5</v>
      </c>
      <c r="N893">
        <v>923.75</v>
      </c>
    </row>
    <row r="894" spans="1:14" x14ac:dyDescent="0.3">
      <c r="A894" t="s">
        <v>1727</v>
      </c>
      <c r="B894" t="s">
        <v>42</v>
      </c>
      <c r="C894" s="1">
        <v>45748</v>
      </c>
      <c r="D894" s="2">
        <f>YEAR(Table1[[#This Row],[PurchaseDate]])</f>
        <v>2025</v>
      </c>
      <c r="E894" s="2" t="str">
        <f>"Q"&amp;ROUNDUP(MONTH(Table1[[#This Row],[PurchaseDate]])/3,0)</f>
        <v>Q2</v>
      </c>
      <c r="F894" s="2">
        <f>MONTH(Table1[[#This Row],[PurchaseDate]])</f>
        <v>4</v>
      </c>
      <c r="G894" s="2" t="str">
        <f>TEXT(Table1[[#This Row],[PurchaseDate]],"MMM")</f>
        <v>Apr</v>
      </c>
      <c r="H894">
        <v>7</v>
      </c>
      <c r="I894">
        <v>751.55</v>
      </c>
      <c r="J894" t="s">
        <v>1728</v>
      </c>
      <c r="K894" t="s">
        <v>13</v>
      </c>
      <c r="L894" t="s">
        <v>58</v>
      </c>
      <c r="M894">
        <v>5</v>
      </c>
      <c r="N894">
        <v>5260.85</v>
      </c>
    </row>
    <row r="895" spans="1:14" x14ac:dyDescent="0.3">
      <c r="A895" t="s">
        <v>1729</v>
      </c>
      <c r="B895" t="s">
        <v>11</v>
      </c>
      <c r="C895" s="1">
        <v>45495</v>
      </c>
      <c r="D895" s="2">
        <f>YEAR(Table1[[#This Row],[PurchaseDate]])</f>
        <v>2024</v>
      </c>
      <c r="E895" s="2" t="str">
        <f>"Q"&amp;ROUNDUP(MONTH(Table1[[#This Row],[PurchaseDate]])/3,0)</f>
        <v>Q3</v>
      </c>
      <c r="F895" s="2">
        <f>MONTH(Table1[[#This Row],[PurchaseDate]])</f>
        <v>7</v>
      </c>
      <c r="G895" s="2" t="str">
        <f>TEXT(Table1[[#This Row],[PurchaseDate]],"MMM")</f>
        <v>Jul</v>
      </c>
      <c r="H895">
        <v>4</v>
      </c>
      <c r="I895">
        <v>692.94</v>
      </c>
      <c r="J895" t="s">
        <v>1730</v>
      </c>
      <c r="K895" t="s">
        <v>38</v>
      </c>
      <c r="L895" t="s">
        <v>23</v>
      </c>
      <c r="M895">
        <v>3</v>
      </c>
      <c r="N895">
        <v>2771.76</v>
      </c>
    </row>
    <row r="896" spans="1:14" x14ac:dyDescent="0.3">
      <c r="A896" t="s">
        <v>1731</v>
      </c>
      <c r="B896" t="s">
        <v>11</v>
      </c>
      <c r="C896" s="1">
        <v>45611</v>
      </c>
      <c r="D896" s="2">
        <f>YEAR(Table1[[#This Row],[PurchaseDate]])</f>
        <v>2024</v>
      </c>
      <c r="E896" s="2" t="str">
        <f>"Q"&amp;ROUNDUP(MONTH(Table1[[#This Row],[PurchaseDate]])/3,0)</f>
        <v>Q4</v>
      </c>
      <c r="F896" s="2">
        <f>MONTH(Table1[[#This Row],[PurchaseDate]])</f>
        <v>11</v>
      </c>
      <c r="G896" s="2" t="str">
        <f>TEXT(Table1[[#This Row],[PurchaseDate]],"MMM")</f>
        <v>Nov</v>
      </c>
      <c r="H896">
        <v>1</v>
      </c>
      <c r="I896">
        <v>441.82</v>
      </c>
      <c r="J896" t="s">
        <v>1732</v>
      </c>
      <c r="K896" t="s">
        <v>13</v>
      </c>
      <c r="L896" t="s">
        <v>27</v>
      </c>
      <c r="M896">
        <v>4</v>
      </c>
      <c r="N896">
        <v>441.82</v>
      </c>
    </row>
    <row r="897" spans="1:14" x14ac:dyDescent="0.3">
      <c r="A897" t="s">
        <v>1733</v>
      </c>
      <c r="B897" t="s">
        <v>11</v>
      </c>
      <c r="C897" s="1">
        <v>45051</v>
      </c>
      <c r="D897" s="2">
        <f>YEAR(Table1[[#This Row],[PurchaseDate]])</f>
        <v>2023</v>
      </c>
      <c r="E897" s="2" t="str">
        <f>"Q"&amp;ROUNDUP(MONTH(Table1[[#This Row],[PurchaseDate]])/3,0)</f>
        <v>Q2</v>
      </c>
      <c r="F897" s="2">
        <f>MONTH(Table1[[#This Row],[PurchaseDate]])</f>
        <v>5</v>
      </c>
      <c r="G897" s="2" t="str">
        <f>TEXT(Table1[[#This Row],[PurchaseDate]],"MMM")</f>
        <v>May</v>
      </c>
      <c r="H897">
        <v>6</v>
      </c>
      <c r="I897">
        <v>541.99</v>
      </c>
      <c r="J897" t="s">
        <v>1734</v>
      </c>
      <c r="K897" t="s">
        <v>18</v>
      </c>
      <c r="L897" t="s">
        <v>19</v>
      </c>
      <c r="M897">
        <v>4</v>
      </c>
      <c r="N897">
        <v>3251.94</v>
      </c>
    </row>
    <row r="898" spans="1:14" x14ac:dyDescent="0.3">
      <c r="A898" t="s">
        <v>1735</v>
      </c>
      <c r="B898" t="s">
        <v>25</v>
      </c>
      <c r="C898" s="1">
        <v>45336</v>
      </c>
      <c r="D898" s="2">
        <f>YEAR(Table1[[#This Row],[PurchaseDate]])</f>
        <v>2024</v>
      </c>
      <c r="E898" s="2" t="str">
        <f>"Q"&amp;ROUNDUP(MONTH(Table1[[#This Row],[PurchaseDate]])/3,0)</f>
        <v>Q1</v>
      </c>
      <c r="F898" s="2">
        <f>MONTH(Table1[[#This Row],[PurchaseDate]])</f>
        <v>2</v>
      </c>
      <c r="G898" s="2" t="str">
        <f>TEXT(Table1[[#This Row],[PurchaseDate]],"MMM")</f>
        <v>Feb</v>
      </c>
      <c r="H898">
        <v>2</v>
      </c>
      <c r="I898">
        <v>254.53</v>
      </c>
      <c r="J898" t="s">
        <v>1736</v>
      </c>
      <c r="K898" t="s">
        <v>18</v>
      </c>
      <c r="L898" t="s">
        <v>27</v>
      </c>
      <c r="M898">
        <v>1</v>
      </c>
      <c r="N898">
        <v>509.06</v>
      </c>
    </row>
    <row r="899" spans="1:14" x14ac:dyDescent="0.3">
      <c r="A899" t="s">
        <v>1737</v>
      </c>
      <c r="B899" t="s">
        <v>29</v>
      </c>
      <c r="C899" s="1">
        <v>45150</v>
      </c>
      <c r="D899" s="2">
        <f>YEAR(Table1[[#This Row],[PurchaseDate]])</f>
        <v>2023</v>
      </c>
      <c r="E899" s="2" t="str">
        <f>"Q"&amp;ROUNDUP(MONTH(Table1[[#This Row],[PurchaseDate]])/3,0)</f>
        <v>Q3</v>
      </c>
      <c r="F899" s="2">
        <f>MONTH(Table1[[#This Row],[PurchaseDate]])</f>
        <v>8</v>
      </c>
      <c r="G899" s="2" t="str">
        <f>TEXT(Table1[[#This Row],[PurchaseDate]],"MMM")</f>
        <v>Aug</v>
      </c>
      <c r="H899">
        <v>5</v>
      </c>
      <c r="I899">
        <v>497.12</v>
      </c>
      <c r="J899" t="s">
        <v>1738</v>
      </c>
      <c r="K899" t="s">
        <v>18</v>
      </c>
      <c r="L899" t="s">
        <v>19</v>
      </c>
      <c r="M899">
        <v>5</v>
      </c>
      <c r="N899">
        <v>2485.6</v>
      </c>
    </row>
    <row r="900" spans="1:14" x14ac:dyDescent="0.3">
      <c r="A900" t="s">
        <v>1739</v>
      </c>
      <c r="B900" t="s">
        <v>11</v>
      </c>
      <c r="C900" s="1">
        <v>45366</v>
      </c>
      <c r="D900" s="2">
        <f>YEAR(Table1[[#This Row],[PurchaseDate]])</f>
        <v>2024</v>
      </c>
      <c r="E900" s="2" t="str">
        <f>"Q"&amp;ROUNDUP(MONTH(Table1[[#This Row],[PurchaseDate]])/3,0)</f>
        <v>Q1</v>
      </c>
      <c r="F900" s="2">
        <f>MONTH(Table1[[#This Row],[PurchaseDate]])</f>
        <v>3</v>
      </c>
      <c r="G900" s="2" t="str">
        <f>TEXT(Table1[[#This Row],[PurchaseDate]],"MMM")</f>
        <v>Mar</v>
      </c>
      <c r="H900">
        <v>1</v>
      </c>
      <c r="I900">
        <v>343.27</v>
      </c>
      <c r="J900" t="s">
        <v>1740</v>
      </c>
      <c r="K900" t="s">
        <v>13</v>
      </c>
      <c r="L900" t="s">
        <v>27</v>
      </c>
      <c r="M900">
        <v>3</v>
      </c>
      <c r="N900">
        <v>343.27</v>
      </c>
    </row>
    <row r="901" spans="1:14" x14ac:dyDescent="0.3">
      <c r="A901" t="s">
        <v>1741</v>
      </c>
      <c r="B901" t="s">
        <v>34</v>
      </c>
      <c r="C901" s="1">
        <v>45706</v>
      </c>
      <c r="D901" s="2">
        <f>YEAR(Table1[[#This Row],[PurchaseDate]])</f>
        <v>2025</v>
      </c>
      <c r="E901" s="2" t="str">
        <f>"Q"&amp;ROUNDUP(MONTH(Table1[[#This Row],[PurchaseDate]])/3,0)</f>
        <v>Q1</v>
      </c>
      <c r="F901" s="2">
        <f>MONTH(Table1[[#This Row],[PurchaseDate]])</f>
        <v>2</v>
      </c>
      <c r="G901" s="2" t="str">
        <f>TEXT(Table1[[#This Row],[PurchaseDate]],"MMM")</f>
        <v>Feb</v>
      </c>
      <c r="H901">
        <v>6</v>
      </c>
      <c r="I901">
        <v>347.73</v>
      </c>
      <c r="J901" t="s">
        <v>1742</v>
      </c>
      <c r="K901" t="s">
        <v>38</v>
      </c>
      <c r="L901" t="s">
        <v>58</v>
      </c>
      <c r="M901">
        <v>1</v>
      </c>
      <c r="N901">
        <v>2086.38</v>
      </c>
    </row>
    <row r="902" spans="1:14" x14ac:dyDescent="0.3">
      <c r="A902" t="s">
        <v>1743</v>
      </c>
      <c r="B902" t="s">
        <v>11</v>
      </c>
      <c r="C902" s="1">
        <v>45759</v>
      </c>
      <c r="D902" s="2">
        <f>YEAR(Table1[[#This Row],[PurchaseDate]])</f>
        <v>2025</v>
      </c>
      <c r="E902" s="2" t="str">
        <f>"Q"&amp;ROUNDUP(MONTH(Table1[[#This Row],[PurchaseDate]])/3,0)</f>
        <v>Q2</v>
      </c>
      <c r="F902" s="2">
        <f>MONTH(Table1[[#This Row],[PurchaseDate]])</f>
        <v>4</v>
      </c>
      <c r="G902" s="2" t="str">
        <f>TEXT(Table1[[#This Row],[PurchaseDate]],"MMM")</f>
        <v>Apr</v>
      </c>
      <c r="H902">
        <v>3</v>
      </c>
      <c r="I902">
        <v>610.49</v>
      </c>
      <c r="J902" t="s">
        <v>1744</v>
      </c>
      <c r="K902" t="s">
        <v>13</v>
      </c>
      <c r="L902" t="s">
        <v>19</v>
      </c>
      <c r="M902">
        <v>4</v>
      </c>
      <c r="N902">
        <v>1831.47</v>
      </c>
    </row>
    <row r="903" spans="1:14" x14ac:dyDescent="0.3">
      <c r="A903" t="s">
        <v>1745</v>
      </c>
      <c r="B903" t="s">
        <v>34</v>
      </c>
      <c r="C903" s="1">
        <v>45003</v>
      </c>
      <c r="D903" s="2">
        <f>YEAR(Table1[[#This Row],[PurchaseDate]])</f>
        <v>2023</v>
      </c>
      <c r="E903" s="2" t="str">
        <f>"Q"&amp;ROUNDUP(MONTH(Table1[[#This Row],[PurchaseDate]])/3,0)</f>
        <v>Q1</v>
      </c>
      <c r="F903" s="2">
        <f>MONTH(Table1[[#This Row],[PurchaseDate]])</f>
        <v>3</v>
      </c>
      <c r="G903" s="2" t="str">
        <f>TEXT(Table1[[#This Row],[PurchaseDate]],"MMM")</f>
        <v>Mar</v>
      </c>
      <c r="H903">
        <v>1</v>
      </c>
      <c r="I903">
        <v>742.11</v>
      </c>
      <c r="J903" t="s">
        <v>1746</v>
      </c>
      <c r="K903" t="s">
        <v>13</v>
      </c>
      <c r="L903" t="s">
        <v>19</v>
      </c>
      <c r="M903">
        <v>4</v>
      </c>
      <c r="N903">
        <v>742.11</v>
      </c>
    </row>
    <row r="904" spans="1:14" x14ac:dyDescent="0.3">
      <c r="A904" t="s">
        <v>1747</v>
      </c>
      <c r="B904" t="s">
        <v>42</v>
      </c>
      <c r="C904" s="1">
        <v>45742</v>
      </c>
      <c r="D904" s="2">
        <f>YEAR(Table1[[#This Row],[PurchaseDate]])</f>
        <v>2025</v>
      </c>
      <c r="E904" s="2" t="str">
        <f>"Q"&amp;ROUNDUP(MONTH(Table1[[#This Row],[PurchaseDate]])/3,0)</f>
        <v>Q1</v>
      </c>
      <c r="F904" s="2">
        <f>MONTH(Table1[[#This Row],[PurchaseDate]])</f>
        <v>3</v>
      </c>
      <c r="G904" s="2" t="str">
        <f>TEXT(Table1[[#This Row],[PurchaseDate]],"MMM")</f>
        <v>Mar</v>
      </c>
      <c r="H904">
        <v>1</v>
      </c>
      <c r="I904">
        <v>22.9</v>
      </c>
      <c r="J904" t="s">
        <v>1748</v>
      </c>
      <c r="K904" t="s">
        <v>38</v>
      </c>
      <c r="L904" t="s">
        <v>27</v>
      </c>
      <c r="M904">
        <v>2</v>
      </c>
      <c r="N904">
        <v>22.9</v>
      </c>
    </row>
    <row r="905" spans="1:14" x14ac:dyDescent="0.3">
      <c r="A905" t="s">
        <v>1749</v>
      </c>
      <c r="B905" t="s">
        <v>25</v>
      </c>
      <c r="C905" s="1">
        <v>45016</v>
      </c>
      <c r="D905" s="2">
        <f>YEAR(Table1[[#This Row],[PurchaseDate]])</f>
        <v>2023</v>
      </c>
      <c r="E905" s="2" t="str">
        <f>"Q"&amp;ROUNDUP(MONTH(Table1[[#This Row],[PurchaseDate]])/3,0)</f>
        <v>Q1</v>
      </c>
      <c r="F905" s="2">
        <f>MONTH(Table1[[#This Row],[PurchaseDate]])</f>
        <v>3</v>
      </c>
      <c r="G905" s="2" t="str">
        <f>TEXT(Table1[[#This Row],[PurchaseDate]],"MMM")</f>
        <v>Mar</v>
      </c>
      <c r="H905">
        <v>3</v>
      </c>
      <c r="I905">
        <v>308.95</v>
      </c>
      <c r="J905" t="s">
        <v>1750</v>
      </c>
      <c r="K905" t="s">
        <v>13</v>
      </c>
      <c r="L905" t="s">
        <v>23</v>
      </c>
      <c r="M905">
        <v>1</v>
      </c>
      <c r="N905">
        <v>926.85</v>
      </c>
    </row>
    <row r="906" spans="1:14" x14ac:dyDescent="0.3">
      <c r="A906" t="s">
        <v>1751</v>
      </c>
      <c r="B906" t="s">
        <v>25</v>
      </c>
      <c r="C906" s="1">
        <v>45250</v>
      </c>
      <c r="D906" s="2">
        <f>YEAR(Table1[[#This Row],[PurchaseDate]])</f>
        <v>2023</v>
      </c>
      <c r="E906" s="2" t="str">
        <f>"Q"&amp;ROUNDUP(MONTH(Table1[[#This Row],[PurchaseDate]])/3,0)</f>
        <v>Q4</v>
      </c>
      <c r="F906" s="2">
        <f>MONTH(Table1[[#This Row],[PurchaseDate]])</f>
        <v>11</v>
      </c>
      <c r="G906" s="2" t="str">
        <f>TEXT(Table1[[#This Row],[PurchaseDate]],"MMM")</f>
        <v>Nov</v>
      </c>
      <c r="H906">
        <v>7</v>
      </c>
      <c r="I906">
        <v>210.35</v>
      </c>
      <c r="J906" t="s">
        <v>1752</v>
      </c>
      <c r="K906" t="s">
        <v>18</v>
      </c>
      <c r="L906" t="s">
        <v>14</v>
      </c>
      <c r="M906">
        <v>3</v>
      </c>
      <c r="N906">
        <v>1472.45</v>
      </c>
    </row>
    <row r="907" spans="1:14" x14ac:dyDescent="0.3">
      <c r="A907" t="s">
        <v>1753</v>
      </c>
      <c r="B907" t="s">
        <v>16</v>
      </c>
      <c r="C907" s="1">
        <v>45788</v>
      </c>
      <c r="D907" s="2">
        <f>YEAR(Table1[[#This Row],[PurchaseDate]])</f>
        <v>2025</v>
      </c>
      <c r="E907" s="2" t="str">
        <f>"Q"&amp;ROUNDUP(MONTH(Table1[[#This Row],[PurchaseDate]])/3,0)</f>
        <v>Q2</v>
      </c>
      <c r="F907" s="2">
        <f>MONTH(Table1[[#This Row],[PurchaseDate]])</f>
        <v>5</v>
      </c>
      <c r="G907" s="2" t="str">
        <f>TEXT(Table1[[#This Row],[PurchaseDate]],"MMM")</f>
        <v>May</v>
      </c>
      <c r="H907">
        <v>3</v>
      </c>
      <c r="I907">
        <v>478.64</v>
      </c>
      <c r="J907" t="s">
        <v>1754</v>
      </c>
      <c r="K907" t="s">
        <v>38</v>
      </c>
      <c r="L907" t="s">
        <v>23</v>
      </c>
      <c r="M907">
        <v>3</v>
      </c>
      <c r="N907">
        <v>1435.92</v>
      </c>
    </row>
    <row r="908" spans="1:14" x14ac:dyDescent="0.3">
      <c r="A908" t="s">
        <v>1755</v>
      </c>
      <c r="B908" t="s">
        <v>21</v>
      </c>
      <c r="C908" s="1">
        <v>45243</v>
      </c>
      <c r="D908" s="2">
        <f>YEAR(Table1[[#This Row],[PurchaseDate]])</f>
        <v>2023</v>
      </c>
      <c r="E908" s="2" t="str">
        <f>"Q"&amp;ROUNDUP(MONTH(Table1[[#This Row],[PurchaseDate]])/3,0)</f>
        <v>Q4</v>
      </c>
      <c r="F908" s="2">
        <f>MONTH(Table1[[#This Row],[PurchaseDate]])</f>
        <v>11</v>
      </c>
      <c r="G908" s="2" t="str">
        <f>TEXT(Table1[[#This Row],[PurchaseDate]],"MMM")</f>
        <v>Nov</v>
      </c>
      <c r="H908">
        <v>6</v>
      </c>
      <c r="I908">
        <v>660.84</v>
      </c>
      <c r="J908" t="s">
        <v>1756</v>
      </c>
      <c r="K908" t="s">
        <v>13</v>
      </c>
      <c r="L908" t="s">
        <v>19</v>
      </c>
      <c r="M908">
        <v>3</v>
      </c>
      <c r="N908">
        <v>3965.04</v>
      </c>
    </row>
    <row r="909" spans="1:14" x14ac:dyDescent="0.3">
      <c r="A909" t="s">
        <v>1757</v>
      </c>
      <c r="B909" t="s">
        <v>16</v>
      </c>
      <c r="C909" s="1">
        <v>45607</v>
      </c>
      <c r="D909" s="2">
        <f>YEAR(Table1[[#This Row],[PurchaseDate]])</f>
        <v>2024</v>
      </c>
      <c r="E909" s="2" t="str">
        <f>"Q"&amp;ROUNDUP(MONTH(Table1[[#This Row],[PurchaseDate]])/3,0)</f>
        <v>Q4</v>
      </c>
      <c r="F909" s="2">
        <f>MONTH(Table1[[#This Row],[PurchaseDate]])</f>
        <v>11</v>
      </c>
      <c r="G909" s="2" t="str">
        <f>TEXT(Table1[[#This Row],[PurchaseDate]],"MMM")</f>
        <v>Nov</v>
      </c>
      <c r="H909">
        <v>6</v>
      </c>
      <c r="I909">
        <v>146.72</v>
      </c>
      <c r="J909" t="s">
        <v>1758</v>
      </c>
      <c r="K909" t="s">
        <v>38</v>
      </c>
      <c r="L909" t="s">
        <v>23</v>
      </c>
      <c r="M909">
        <v>4</v>
      </c>
      <c r="N909">
        <v>880.32</v>
      </c>
    </row>
    <row r="910" spans="1:14" x14ac:dyDescent="0.3">
      <c r="A910" t="s">
        <v>1759</v>
      </c>
      <c r="B910" t="s">
        <v>34</v>
      </c>
      <c r="C910" s="1">
        <v>45443</v>
      </c>
      <c r="D910" s="2">
        <f>YEAR(Table1[[#This Row],[PurchaseDate]])</f>
        <v>2024</v>
      </c>
      <c r="E910" s="2" t="str">
        <f>"Q"&amp;ROUNDUP(MONTH(Table1[[#This Row],[PurchaseDate]])/3,0)</f>
        <v>Q2</v>
      </c>
      <c r="F910" s="2">
        <f>MONTH(Table1[[#This Row],[PurchaseDate]])</f>
        <v>5</v>
      </c>
      <c r="G910" s="2" t="str">
        <f>TEXT(Table1[[#This Row],[PurchaseDate]],"MMM")</f>
        <v>May</v>
      </c>
      <c r="H910">
        <v>2</v>
      </c>
      <c r="I910">
        <v>612.89</v>
      </c>
      <c r="J910" t="s">
        <v>1760</v>
      </c>
      <c r="K910" t="s">
        <v>18</v>
      </c>
      <c r="L910" t="s">
        <v>27</v>
      </c>
      <c r="M910">
        <v>1</v>
      </c>
      <c r="N910">
        <v>1225.78</v>
      </c>
    </row>
    <row r="911" spans="1:14" x14ac:dyDescent="0.3">
      <c r="A911" t="s">
        <v>1501</v>
      </c>
      <c r="B911" t="s">
        <v>16</v>
      </c>
      <c r="C911" s="1">
        <v>45491</v>
      </c>
      <c r="D911" s="2">
        <f>YEAR(Table1[[#This Row],[PurchaseDate]])</f>
        <v>2024</v>
      </c>
      <c r="E911" s="2" t="str">
        <f>"Q"&amp;ROUNDUP(MONTH(Table1[[#This Row],[PurchaseDate]])/3,0)</f>
        <v>Q3</v>
      </c>
      <c r="F911" s="2">
        <f>MONTH(Table1[[#This Row],[PurchaseDate]])</f>
        <v>7</v>
      </c>
      <c r="G911" s="2" t="str">
        <f>TEXT(Table1[[#This Row],[PurchaseDate]],"MMM")</f>
        <v>Jul</v>
      </c>
      <c r="H911">
        <v>2</v>
      </c>
      <c r="I911">
        <v>96.41</v>
      </c>
      <c r="J911" t="s">
        <v>1502</v>
      </c>
      <c r="K911" t="s">
        <v>13</v>
      </c>
      <c r="L911" t="s">
        <v>23</v>
      </c>
      <c r="M911">
        <v>2</v>
      </c>
      <c r="N911">
        <v>192.82</v>
      </c>
    </row>
    <row r="912" spans="1:14" x14ac:dyDescent="0.3">
      <c r="A912" t="s">
        <v>1761</v>
      </c>
      <c r="B912" t="s">
        <v>34</v>
      </c>
      <c r="C912" s="1">
        <v>44958</v>
      </c>
      <c r="D912" s="2">
        <f>YEAR(Table1[[#This Row],[PurchaseDate]])</f>
        <v>2023</v>
      </c>
      <c r="E912" s="2" t="str">
        <f>"Q"&amp;ROUNDUP(MONTH(Table1[[#This Row],[PurchaseDate]])/3,0)</f>
        <v>Q1</v>
      </c>
      <c r="F912" s="2">
        <f>MONTH(Table1[[#This Row],[PurchaseDate]])</f>
        <v>2</v>
      </c>
      <c r="G912" s="2" t="str">
        <f>TEXT(Table1[[#This Row],[PurchaseDate]],"MMM")</f>
        <v>Feb</v>
      </c>
      <c r="H912">
        <v>4</v>
      </c>
      <c r="I912">
        <v>185.82</v>
      </c>
      <c r="J912" t="s">
        <v>1762</v>
      </c>
      <c r="K912" t="s">
        <v>18</v>
      </c>
      <c r="L912" t="s">
        <v>58</v>
      </c>
      <c r="M912">
        <v>3</v>
      </c>
      <c r="N912">
        <v>743.28</v>
      </c>
    </row>
    <row r="913" spans="1:14" x14ac:dyDescent="0.3">
      <c r="A913" t="s">
        <v>239</v>
      </c>
      <c r="B913" t="s">
        <v>42</v>
      </c>
      <c r="C913" s="1">
        <v>45110</v>
      </c>
      <c r="D913" s="2">
        <f>YEAR(Table1[[#This Row],[PurchaseDate]])</f>
        <v>2023</v>
      </c>
      <c r="E913" s="2" t="str">
        <f>"Q"&amp;ROUNDUP(MONTH(Table1[[#This Row],[PurchaseDate]])/3,0)</f>
        <v>Q3</v>
      </c>
      <c r="F913" s="2">
        <f>MONTH(Table1[[#This Row],[PurchaseDate]])</f>
        <v>7</v>
      </c>
      <c r="G913" s="2" t="str">
        <f>TEXT(Table1[[#This Row],[PurchaseDate]],"MMM")</f>
        <v>Jul</v>
      </c>
      <c r="H913">
        <v>4</v>
      </c>
      <c r="I913">
        <v>386.84</v>
      </c>
      <c r="J913" t="s">
        <v>240</v>
      </c>
      <c r="K913" t="s">
        <v>13</v>
      </c>
      <c r="L913" t="s">
        <v>14</v>
      </c>
      <c r="M913">
        <v>1</v>
      </c>
      <c r="N913">
        <v>1547.36</v>
      </c>
    </row>
    <row r="914" spans="1:14" x14ac:dyDescent="0.3">
      <c r="A914" t="s">
        <v>1003</v>
      </c>
      <c r="B914" t="s">
        <v>11</v>
      </c>
      <c r="C914" s="1">
        <v>45565</v>
      </c>
      <c r="D914" s="2">
        <f>YEAR(Table1[[#This Row],[PurchaseDate]])</f>
        <v>2024</v>
      </c>
      <c r="E914" s="2" t="str">
        <f>"Q"&amp;ROUNDUP(MONTH(Table1[[#This Row],[PurchaseDate]])/3,0)</f>
        <v>Q3</v>
      </c>
      <c r="F914" s="2">
        <f>MONTH(Table1[[#This Row],[PurchaseDate]])</f>
        <v>9</v>
      </c>
      <c r="G914" s="2" t="str">
        <f>TEXT(Table1[[#This Row],[PurchaseDate]],"MMM")</f>
        <v>Sep</v>
      </c>
      <c r="H914">
        <v>6</v>
      </c>
      <c r="I914">
        <v>216.1</v>
      </c>
      <c r="J914" t="s">
        <v>1004</v>
      </c>
      <c r="K914" t="s">
        <v>13</v>
      </c>
      <c r="L914" t="s">
        <v>27</v>
      </c>
      <c r="M914">
        <v>3</v>
      </c>
      <c r="N914">
        <v>1296.5999999999999</v>
      </c>
    </row>
    <row r="915" spans="1:14" x14ac:dyDescent="0.3">
      <c r="A915" t="s">
        <v>1763</v>
      </c>
      <c r="B915" t="s">
        <v>34</v>
      </c>
      <c r="C915" s="1">
        <v>45182</v>
      </c>
      <c r="D915" s="2">
        <f>YEAR(Table1[[#This Row],[PurchaseDate]])</f>
        <v>2023</v>
      </c>
      <c r="E915" s="2" t="str">
        <f>"Q"&amp;ROUNDUP(MONTH(Table1[[#This Row],[PurchaseDate]])/3,0)</f>
        <v>Q3</v>
      </c>
      <c r="F915" s="2">
        <f>MONTH(Table1[[#This Row],[PurchaseDate]])</f>
        <v>9</v>
      </c>
      <c r="G915" s="2" t="str">
        <f>TEXT(Table1[[#This Row],[PurchaseDate]],"MMM")</f>
        <v>Sep</v>
      </c>
      <c r="H915">
        <v>8</v>
      </c>
      <c r="I915">
        <v>159.15</v>
      </c>
      <c r="J915" t="s">
        <v>1764</v>
      </c>
      <c r="K915" t="s">
        <v>18</v>
      </c>
      <c r="L915" t="s">
        <v>58</v>
      </c>
      <c r="M915">
        <v>5</v>
      </c>
      <c r="N915">
        <v>1273.2</v>
      </c>
    </row>
    <row r="916" spans="1:14" x14ac:dyDescent="0.3">
      <c r="A916" t="s">
        <v>975</v>
      </c>
      <c r="B916" t="s">
        <v>25</v>
      </c>
      <c r="C916" s="1">
        <v>45108</v>
      </c>
      <c r="D916" s="2">
        <f>YEAR(Table1[[#This Row],[PurchaseDate]])</f>
        <v>2023</v>
      </c>
      <c r="E916" s="2" t="str">
        <f>"Q"&amp;ROUNDUP(MONTH(Table1[[#This Row],[PurchaseDate]])/3,0)</f>
        <v>Q3</v>
      </c>
      <c r="F916" s="2">
        <f>MONTH(Table1[[#This Row],[PurchaseDate]])</f>
        <v>7</v>
      </c>
      <c r="G916" s="2" t="str">
        <f>TEXT(Table1[[#This Row],[PurchaseDate]],"MMM")</f>
        <v>Jul</v>
      </c>
      <c r="H916">
        <v>2</v>
      </c>
      <c r="I916">
        <v>581.6</v>
      </c>
      <c r="J916" t="s">
        <v>976</v>
      </c>
      <c r="K916" t="s">
        <v>13</v>
      </c>
      <c r="L916" t="s">
        <v>27</v>
      </c>
      <c r="M916">
        <v>5</v>
      </c>
      <c r="N916">
        <v>1163.2</v>
      </c>
    </row>
    <row r="917" spans="1:14" x14ac:dyDescent="0.3">
      <c r="A917" t="s">
        <v>1765</v>
      </c>
      <c r="B917" t="s">
        <v>42</v>
      </c>
      <c r="C917" s="1">
        <v>45039</v>
      </c>
      <c r="D917" s="2">
        <f>YEAR(Table1[[#This Row],[PurchaseDate]])</f>
        <v>2023</v>
      </c>
      <c r="E917" s="2" t="str">
        <f>"Q"&amp;ROUNDUP(MONTH(Table1[[#This Row],[PurchaseDate]])/3,0)</f>
        <v>Q2</v>
      </c>
      <c r="F917" s="2">
        <f>MONTH(Table1[[#This Row],[PurchaseDate]])</f>
        <v>4</v>
      </c>
      <c r="G917" s="2" t="str">
        <f>TEXT(Table1[[#This Row],[PurchaseDate]],"MMM")</f>
        <v>Apr</v>
      </c>
      <c r="H917">
        <v>8</v>
      </c>
      <c r="I917">
        <v>521.59</v>
      </c>
      <c r="J917" t="s">
        <v>1766</v>
      </c>
      <c r="K917" t="s">
        <v>18</v>
      </c>
      <c r="L917" t="s">
        <v>58</v>
      </c>
      <c r="M917">
        <v>4</v>
      </c>
      <c r="N917">
        <v>4172.72</v>
      </c>
    </row>
    <row r="918" spans="1:14" x14ac:dyDescent="0.3">
      <c r="A918" t="s">
        <v>46</v>
      </c>
      <c r="B918" t="s">
        <v>42</v>
      </c>
      <c r="C918" s="1">
        <v>45419</v>
      </c>
      <c r="D918" s="2">
        <f>YEAR(Table1[[#This Row],[PurchaseDate]])</f>
        <v>2024</v>
      </c>
      <c r="E918" s="2" t="str">
        <f>"Q"&amp;ROUNDUP(MONTH(Table1[[#This Row],[PurchaseDate]])/3,0)</f>
        <v>Q2</v>
      </c>
      <c r="F918" s="2">
        <f>MONTH(Table1[[#This Row],[PurchaseDate]])</f>
        <v>5</v>
      </c>
      <c r="G918" s="2" t="str">
        <f>TEXT(Table1[[#This Row],[PurchaseDate]],"MMM")</f>
        <v>May</v>
      </c>
      <c r="H918">
        <v>8</v>
      </c>
      <c r="I918">
        <v>637.41999999999996</v>
      </c>
      <c r="J918" t="s">
        <v>47</v>
      </c>
      <c r="K918" t="s">
        <v>38</v>
      </c>
      <c r="L918" t="s">
        <v>58</v>
      </c>
      <c r="M918">
        <v>5</v>
      </c>
      <c r="N918">
        <v>5099.3599999999997</v>
      </c>
    </row>
    <row r="919" spans="1:14" x14ac:dyDescent="0.3">
      <c r="A919" t="s">
        <v>317</v>
      </c>
      <c r="B919" t="s">
        <v>34</v>
      </c>
      <c r="C919" s="1">
        <v>45199</v>
      </c>
      <c r="D919" s="2">
        <f>YEAR(Table1[[#This Row],[PurchaseDate]])</f>
        <v>2023</v>
      </c>
      <c r="E919" s="2" t="str">
        <f>"Q"&amp;ROUNDUP(MONTH(Table1[[#This Row],[PurchaseDate]])/3,0)</f>
        <v>Q3</v>
      </c>
      <c r="F919" s="2">
        <f>MONTH(Table1[[#This Row],[PurchaseDate]])</f>
        <v>9</v>
      </c>
      <c r="G919" s="2" t="str">
        <f>TEXT(Table1[[#This Row],[PurchaseDate]],"MMM")</f>
        <v>Sep</v>
      </c>
      <c r="H919">
        <v>7</v>
      </c>
      <c r="I919">
        <v>786.45</v>
      </c>
      <c r="J919" t="s">
        <v>318</v>
      </c>
      <c r="K919" t="s">
        <v>13</v>
      </c>
      <c r="L919" t="s">
        <v>23</v>
      </c>
      <c r="M919">
        <v>4</v>
      </c>
      <c r="N919">
        <v>5505.15</v>
      </c>
    </row>
    <row r="920" spans="1:14" x14ac:dyDescent="0.3">
      <c r="A920" t="s">
        <v>1767</v>
      </c>
      <c r="B920" t="s">
        <v>21</v>
      </c>
      <c r="C920" s="1">
        <v>45156</v>
      </c>
      <c r="D920" s="2">
        <f>YEAR(Table1[[#This Row],[PurchaseDate]])</f>
        <v>2023</v>
      </c>
      <c r="E920" s="2" t="str">
        <f>"Q"&amp;ROUNDUP(MONTH(Table1[[#This Row],[PurchaseDate]])/3,0)</f>
        <v>Q3</v>
      </c>
      <c r="F920" s="2">
        <f>MONTH(Table1[[#This Row],[PurchaseDate]])</f>
        <v>8</v>
      </c>
      <c r="G920" s="2" t="str">
        <f>TEXT(Table1[[#This Row],[PurchaseDate]],"MMM")</f>
        <v>Aug</v>
      </c>
      <c r="H920">
        <v>5</v>
      </c>
      <c r="I920">
        <v>154.47999999999999</v>
      </c>
      <c r="J920" t="s">
        <v>1768</v>
      </c>
      <c r="K920" t="s">
        <v>38</v>
      </c>
      <c r="L920" t="s">
        <v>23</v>
      </c>
      <c r="M920">
        <v>5</v>
      </c>
      <c r="N920">
        <v>772.4</v>
      </c>
    </row>
    <row r="921" spans="1:14" x14ac:dyDescent="0.3">
      <c r="A921" t="s">
        <v>1769</v>
      </c>
      <c r="B921" t="s">
        <v>16</v>
      </c>
      <c r="C921" s="1">
        <v>45813</v>
      </c>
      <c r="D921" s="2">
        <f>YEAR(Table1[[#This Row],[PurchaseDate]])</f>
        <v>2025</v>
      </c>
      <c r="E921" s="2" t="str">
        <f>"Q"&amp;ROUNDUP(MONTH(Table1[[#This Row],[PurchaseDate]])/3,0)</f>
        <v>Q2</v>
      </c>
      <c r="F921" s="2">
        <f>MONTH(Table1[[#This Row],[PurchaseDate]])</f>
        <v>6</v>
      </c>
      <c r="G921" s="2" t="str">
        <f>TEXT(Table1[[#This Row],[PurchaseDate]],"MMM")</f>
        <v>Jun</v>
      </c>
      <c r="H921">
        <v>5</v>
      </c>
      <c r="I921">
        <v>159</v>
      </c>
      <c r="J921" t="s">
        <v>1770</v>
      </c>
      <c r="K921" t="s">
        <v>18</v>
      </c>
      <c r="L921" t="s">
        <v>14</v>
      </c>
      <c r="M921">
        <v>5</v>
      </c>
      <c r="N921">
        <v>795</v>
      </c>
    </row>
    <row r="922" spans="1:14" x14ac:dyDescent="0.3">
      <c r="A922" t="s">
        <v>1771</v>
      </c>
      <c r="B922" t="s">
        <v>11</v>
      </c>
      <c r="C922" s="1">
        <v>45459</v>
      </c>
      <c r="D922" s="2">
        <f>YEAR(Table1[[#This Row],[PurchaseDate]])</f>
        <v>2024</v>
      </c>
      <c r="E922" s="2" t="str">
        <f>"Q"&amp;ROUNDUP(MONTH(Table1[[#This Row],[PurchaseDate]])/3,0)</f>
        <v>Q2</v>
      </c>
      <c r="F922" s="2">
        <f>MONTH(Table1[[#This Row],[PurchaseDate]])</f>
        <v>6</v>
      </c>
      <c r="G922" s="2" t="str">
        <f>TEXT(Table1[[#This Row],[PurchaseDate]],"MMM")</f>
        <v>Jun</v>
      </c>
      <c r="H922">
        <v>6</v>
      </c>
      <c r="I922">
        <v>330.64</v>
      </c>
      <c r="J922" t="s">
        <v>1772</v>
      </c>
      <c r="K922" t="s">
        <v>38</v>
      </c>
      <c r="L922" t="s">
        <v>19</v>
      </c>
      <c r="M922">
        <v>4</v>
      </c>
      <c r="N922">
        <v>1983.84</v>
      </c>
    </row>
    <row r="923" spans="1:14" x14ac:dyDescent="0.3">
      <c r="A923" t="s">
        <v>1773</v>
      </c>
      <c r="B923" t="s">
        <v>11</v>
      </c>
      <c r="C923" s="1">
        <v>44935</v>
      </c>
      <c r="D923" s="2">
        <f>YEAR(Table1[[#This Row],[PurchaseDate]])</f>
        <v>2023</v>
      </c>
      <c r="E923" s="2" t="str">
        <f>"Q"&amp;ROUNDUP(MONTH(Table1[[#This Row],[PurchaseDate]])/3,0)</f>
        <v>Q1</v>
      </c>
      <c r="F923" s="2">
        <f>MONTH(Table1[[#This Row],[PurchaseDate]])</f>
        <v>1</v>
      </c>
      <c r="G923" s="2" t="str">
        <f>TEXT(Table1[[#This Row],[PurchaseDate]],"MMM")</f>
        <v>Jan</v>
      </c>
      <c r="H923">
        <v>2</v>
      </c>
      <c r="I923">
        <v>683.9</v>
      </c>
      <c r="J923" t="s">
        <v>1774</v>
      </c>
      <c r="K923" t="s">
        <v>18</v>
      </c>
      <c r="L923" t="s">
        <v>19</v>
      </c>
      <c r="M923">
        <v>3</v>
      </c>
      <c r="N923">
        <v>1367.8</v>
      </c>
    </row>
    <row r="924" spans="1:14" x14ac:dyDescent="0.3">
      <c r="A924" t="s">
        <v>1775</v>
      </c>
      <c r="B924" t="s">
        <v>16</v>
      </c>
      <c r="C924" s="1">
        <v>45783</v>
      </c>
      <c r="D924" s="2">
        <f>YEAR(Table1[[#This Row],[PurchaseDate]])</f>
        <v>2025</v>
      </c>
      <c r="E924" s="2" t="str">
        <f>"Q"&amp;ROUNDUP(MONTH(Table1[[#This Row],[PurchaseDate]])/3,0)</f>
        <v>Q2</v>
      </c>
      <c r="F924" s="2">
        <f>MONTH(Table1[[#This Row],[PurchaseDate]])</f>
        <v>5</v>
      </c>
      <c r="G924" s="2" t="str">
        <f>TEXT(Table1[[#This Row],[PurchaseDate]],"MMM")</f>
        <v>May</v>
      </c>
      <c r="H924">
        <v>5</v>
      </c>
      <c r="I924">
        <v>9.8800000000000008</v>
      </c>
      <c r="J924" t="s">
        <v>1776</v>
      </c>
      <c r="K924" t="s">
        <v>13</v>
      </c>
      <c r="L924" t="s">
        <v>14</v>
      </c>
      <c r="M924">
        <v>5</v>
      </c>
      <c r="N924">
        <v>49.4</v>
      </c>
    </row>
    <row r="925" spans="1:14" x14ac:dyDescent="0.3">
      <c r="A925" t="s">
        <v>1777</v>
      </c>
      <c r="B925" t="s">
        <v>34</v>
      </c>
      <c r="C925" s="1">
        <v>45395</v>
      </c>
      <c r="D925" s="2">
        <f>YEAR(Table1[[#This Row],[PurchaseDate]])</f>
        <v>2024</v>
      </c>
      <c r="E925" s="2" t="str">
        <f>"Q"&amp;ROUNDUP(MONTH(Table1[[#This Row],[PurchaseDate]])/3,0)</f>
        <v>Q2</v>
      </c>
      <c r="F925" s="2">
        <f>MONTH(Table1[[#This Row],[PurchaseDate]])</f>
        <v>4</v>
      </c>
      <c r="G925" s="2" t="str">
        <f>TEXT(Table1[[#This Row],[PurchaseDate]],"MMM")</f>
        <v>Apr</v>
      </c>
      <c r="H925">
        <v>2</v>
      </c>
      <c r="I925">
        <v>650.49</v>
      </c>
      <c r="J925" t="s">
        <v>1778</v>
      </c>
      <c r="K925" t="s">
        <v>13</v>
      </c>
      <c r="L925" t="s">
        <v>58</v>
      </c>
      <c r="M925">
        <v>3</v>
      </c>
      <c r="N925">
        <v>1300.98</v>
      </c>
    </row>
    <row r="926" spans="1:14" x14ac:dyDescent="0.3">
      <c r="A926" t="s">
        <v>1659</v>
      </c>
      <c r="B926" t="s">
        <v>29</v>
      </c>
      <c r="C926" s="1">
        <v>45089</v>
      </c>
      <c r="D926" s="2">
        <f>YEAR(Table1[[#This Row],[PurchaseDate]])</f>
        <v>2023</v>
      </c>
      <c r="E926" s="2" t="str">
        <f>"Q"&amp;ROUNDUP(MONTH(Table1[[#This Row],[PurchaseDate]])/3,0)</f>
        <v>Q2</v>
      </c>
      <c r="F926" s="2">
        <f>MONTH(Table1[[#This Row],[PurchaseDate]])</f>
        <v>6</v>
      </c>
      <c r="G926" s="2" t="str">
        <f>TEXT(Table1[[#This Row],[PurchaseDate]],"MMM")</f>
        <v>Jun</v>
      </c>
      <c r="H926">
        <v>8</v>
      </c>
      <c r="I926">
        <v>652.61</v>
      </c>
      <c r="J926" t="s">
        <v>1660</v>
      </c>
      <c r="K926" t="s">
        <v>38</v>
      </c>
      <c r="L926" t="s">
        <v>27</v>
      </c>
      <c r="M926">
        <v>1</v>
      </c>
      <c r="N926">
        <v>5220.88</v>
      </c>
    </row>
    <row r="927" spans="1:14" x14ac:dyDescent="0.3">
      <c r="A927" t="s">
        <v>1779</v>
      </c>
      <c r="B927" t="s">
        <v>16</v>
      </c>
      <c r="C927" s="1">
        <v>45259</v>
      </c>
      <c r="D927" s="2">
        <f>YEAR(Table1[[#This Row],[PurchaseDate]])</f>
        <v>2023</v>
      </c>
      <c r="E927" s="2" t="str">
        <f>"Q"&amp;ROUNDUP(MONTH(Table1[[#This Row],[PurchaseDate]])/3,0)</f>
        <v>Q4</v>
      </c>
      <c r="F927" s="2">
        <f>MONTH(Table1[[#This Row],[PurchaseDate]])</f>
        <v>11</v>
      </c>
      <c r="G927" s="2" t="str">
        <f>TEXT(Table1[[#This Row],[PurchaseDate]],"MMM")</f>
        <v>Nov</v>
      </c>
      <c r="H927">
        <v>1</v>
      </c>
      <c r="I927">
        <v>410.32</v>
      </c>
      <c r="J927" t="s">
        <v>1780</v>
      </c>
      <c r="K927" t="s">
        <v>38</v>
      </c>
      <c r="L927" t="s">
        <v>19</v>
      </c>
      <c r="M927">
        <v>5</v>
      </c>
      <c r="N927">
        <v>410.32</v>
      </c>
    </row>
    <row r="928" spans="1:14" x14ac:dyDescent="0.3">
      <c r="A928" t="s">
        <v>1781</v>
      </c>
      <c r="B928" t="s">
        <v>11</v>
      </c>
      <c r="C928" s="1">
        <v>45233</v>
      </c>
      <c r="D928" s="2">
        <f>YEAR(Table1[[#This Row],[PurchaseDate]])</f>
        <v>2023</v>
      </c>
      <c r="E928" s="2" t="str">
        <f>"Q"&amp;ROUNDUP(MONTH(Table1[[#This Row],[PurchaseDate]])/3,0)</f>
        <v>Q4</v>
      </c>
      <c r="F928" s="2">
        <f>MONTH(Table1[[#This Row],[PurchaseDate]])</f>
        <v>11</v>
      </c>
      <c r="G928" s="2" t="str">
        <f>TEXT(Table1[[#This Row],[PurchaseDate]],"MMM")</f>
        <v>Nov</v>
      </c>
      <c r="H928">
        <v>7</v>
      </c>
      <c r="I928">
        <v>547.1</v>
      </c>
      <c r="J928" t="s">
        <v>1782</v>
      </c>
      <c r="K928" t="s">
        <v>13</v>
      </c>
      <c r="L928" t="s">
        <v>19</v>
      </c>
      <c r="M928">
        <v>2</v>
      </c>
      <c r="N928">
        <v>3829.7</v>
      </c>
    </row>
    <row r="929" spans="1:14" x14ac:dyDescent="0.3">
      <c r="A929" t="s">
        <v>1783</v>
      </c>
      <c r="B929" t="s">
        <v>11</v>
      </c>
      <c r="C929" s="1">
        <v>45827</v>
      </c>
      <c r="D929" s="2">
        <f>YEAR(Table1[[#This Row],[PurchaseDate]])</f>
        <v>2025</v>
      </c>
      <c r="E929" s="2" t="str">
        <f>"Q"&amp;ROUNDUP(MONTH(Table1[[#This Row],[PurchaseDate]])/3,0)</f>
        <v>Q2</v>
      </c>
      <c r="F929" s="2">
        <f>MONTH(Table1[[#This Row],[PurchaseDate]])</f>
        <v>6</v>
      </c>
      <c r="G929" s="2" t="str">
        <f>TEXT(Table1[[#This Row],[PurchaseDate]],"MMM")</f>
        <v>Jun</v>
      </c>
      <c r="H929">
        <v>8</v>
      </c>
      <c r="I929">
        <v>113.63</v>
      </c>
      <c r="J929" t="s">
        <v>1784</v>
      </c>
      <c r="K929" t="s">
        <v>18</v>
      </c>
      <c r="L929" t="s">
        <v>58</v>
      </c>
      <c r="M929">
        <v>3</v>
      </c>
      <c r="N929">
        <v>909.04</v>
      </c>
    </row>
    <row r="930" spans="1:14" x14ac:dyDescent="0.3">
      <c r="A930" t="s">
        <v>1785</v>
      </c>
      <c r="B930" t="s">
        <v>25</v>
      </c>
      <c r="C930" s="1">
        <v>45694</v>
      </c>
      <c r="D930" s="2">
        <f>YEAR(Table1[[#This Row],[PurchaseDate]])</f>
        <v>2025</v>
      </c>
      <c r="E930" s="2" t="str">
        <f>"Q"&amp;ROUNDUP(MONTH(Table1[[#This Row],[PurchaseDate]])/3,0)</f>
        <v>Q1</v>
      </c>
      <c r="F930" s="2">
        <f>MONTH(Table1[[#This Row],[PurchaseDate]])</f>
        <v>2</v>
      </c>
      <c r="G930" s="2" t="str">
        <f>TEXT(Table1[[#This Row],[PurchaseDate]],"MMM")</f>
        <v>Feb</v>
      </c>
      <c r="H930">
        <v>7</v>
      </c>
      <c r="I930">
        <v>10.14</v>
      </c>
      <c r="J930" t="s">
        <v>1786</v>
      </c>
      <c r="K930" t="s">
        <v>13</v>
      </c>
      <c r="L930" t="s">
        <v>58</v>
      </c>
      <c r="M930">
        <v>4</v>
      </c>
      <c r="N930">
        <v>70.98</v>
      </c>
    </row>
    <row r="931" spans="1:14" x14ac:dyDescent="0.3">
      <c r="A931" t="s">
        <v>1787</v>
      </c>
      <c r="B931" t="s">
        <v>25</v>
      </c>
      <c r="C931" s="1">
        <v>45033</v>
      </c>
      <c r="D931" s="2">
        <f>YEAR(Table1[[#This Row],[PurchaseDate]])</f>
        <v>2023</v>
      </c>
      <c r="E931" s="2" t="str">
        <f>"Q"&amp;ROUNDUP(MONTH(Table1[[#This Row],[PurchaseDate]])/3,0)</f>
        <v>Q2</v>
      </c>
      <c r="F931" s="2">
        <f>MONTH(Table1[[#This Row],[PurchaseDate]])</f>
        <v>4</v>
      </c>
      <c r="G931" s="2" t="str">
        <f>TEXT(Table1[[#This Row],[PurchaseDate]],"MMM")</f>
        <v>Apr</v>
      </c>
      <c r="H931">
        <v>4</v>
      </c>
      <c r="I931">
        <v>448.03</v>
      </c>
      <c r="J931" t="s">
        <v>1788</v>
      </c>
      <c r="K931" t="s">
        <v>13</v>
      </c>
      <c r="L931" t="s">
        <v>27</v>
      </c>
      <c r="M931">
        <v>2</v>
      </c>
      <c r="N931">
        <v>1792.12</v>
      </c>
    </row>
    <row r="932" spans="1:14" x14ac:dyDescent="0.3">
      <c r="A932" t="s">
        <v>1789</v>
      </c>
      <c r="B932" t="s">
        <v>21</v>
      </c>
      <c r="C932" s="1">
        <v>45449</v>
      </c>
      <c r="D932" s="2">
        <f>YEAR(Table1[[#This Row],[PurchaseDate]])</f>
        <v>2024</v>
      </c>
      <c r="E932" s="2" t="str">
        <f>"Q"&amp;ROUNDUP(MONTH(Table1[[#This Row],[PurchaseDate]])/3,0)</f>
        <v>Q2</v>
      </c>
      <c r="F932" s="2">
        <f>MONTH(Table1[[#This Row],[PurchaseDate]])</f>
        <v>6</v>
      </c>
      <c r="G932" s="2" t="str">
        <f>TEXT(Table1[[#This Row],[PurchaseDate]],"MMM")</f>
        <v>Jun</v>
      </c>
      <c r="H932">
        <v>8</v>
      </c>
      <c r="I932">
        <v>621.75</v>
      </c>
      <c r="J932" t="s">
        <v>1790</v>
      </c>
      <c r="K932" t="s">
        <v>13</v>
      </c>
      <c r="L932" t="s">
        <v>14</v>
      </c>
      <c r="M932">
        <v>2</v>
      </c>
      <c r="N932">
        <v>4974</v>
      </c>
    </row>
    <row r="933" spans="1:14" x14ac:dyDescent="0.3">
      <c r="A933" t="s">
        <v>1791</v>
      </c>
      <c r="B933" t="s">
        <v>16</v>
      </c>
      <c r="C933" s="1">
        <v>45194</v>
      </c>
      <c r="D933" s="2">
        <f>YEAR(Table1[[#This Row],[PurchaseDate]])</f>
        <v>2023</v>
      </c>
      <c r="E933" s="2" t="str">
        <f>"Q"&amp;ROUNDUP(MONTH(Table1[[#This Row],[PurchaseDate]])/3,0)</f>
        <v>Q3</v>
      </c>
      <c r="F933" s="2">
        <f>MONTH(Table1[[#This Row],[PurchaseDate]])</f>
        <v>9</v>
      </c>
      <c r="G933" s="2" t="str">
        <f>TEXT(Table1[[#This Row],[PurchaseDate]],"MMM")</f>
        <v>Sep</v>
      </c>
      <c r="H933">
        <v>6</v>
      </c>
      <c r="I933">
        <v>634.28</v>
      </c>
      <c r="J933" t="s">
        <v>1792</v>
      </c>
      <c r="K933" t="s">
        <v>18</v>
      </c>
      <c r="L933" t="s">
        <v>19</v>
      </c>
      <c r="M933">
        <v>5</v>
      </c>
      <c r="N933">
        <v>3805.68</v>
      </c>
    </row>
    <row r="934" spans="1:14" x14ac:dyDescent="0.3">
      <c r="A934" t="s">
        <v>1793</v>
      </c>
      <c r="B934" t="s">
        <v>11</v>
      </c>
      <c r="C934" s="1">
        <v>45633</v>
      </c>
      <c r="D934" s="2">
        <f>YEAR(Table1[[#This Row],[PurchaseDate]])</f>
        <v>2024</v>
      </c>
      <c r="E934" s="2" t="str">
        <f>"Q"&amp;ROUNDUP(MONTH(Table1[[#This Row],[PurchaseDate]])/3,0)</f>
        <v>Q4</v>
      </c>
      <c r="F934" s="2">
        <f>MONTH(Table1[[#This Row],[PurchaseDate]])</f>
        <v>12</v>
      </c>
      <c r="G934" s="2" t="str">
        <f>TEXT(Table1[[#This Row],[PurchaseDate]],"MMM")</f>
        <v>Dec</v>
      </c>
      <c r="H934">
        <v>8</v>
      </c>
      <c r="I934">
        <v>470.4</v>
      </c>
      <c r="J934" t="s">
        <v>1794</v>
      </c>
      <c r="K934" t="s">
        <v>18</v>
      </c>
      <c r="L934" t="s">
        <v>23</v>
      </c>
      <c r="M934">
        <v>2</v>
      </c>
      <c r="N934">
        <v>3763.2</v>
      </c>
    </row>
    <row r="935" spans="1:14" x14ac:dyDescent="0.3">
      <c r="A935" t="s">
        <v>1795</v>
      </c>
      <c r="B935" t="s">
        <v>29</v>
      </c>
      <c r="C935" s="1">
        <v>45675</v>
      </c>
      <c r="D935" s="2">
        <f>YEAR(Table1[[#This Row],[PurchaseDate]])</f>
        <v>2025</v>
      </c>
      <c r="E935" s="2" t="str">
        <f>"Q"&amp;ROUNDUP(MONTH(Table1[[#This Row],[PurchaseDate]])/3,0)</f>
        <v>Q1</v>
      </c>
      <c r="F935" s="2">
        <f>MONTH(Table1[[#This Row],[PurchaseDate]])</f>
        <v>1</v>
      </c>
      <c r="G935" s="2" t="str">
        <f>TEXT(Table1[[#This Row],[PurchaseDate]],"MMM")</f>
        <v>Jan</v>
      </c>
      <c r="H935">
        <v>7</v>
      </c>
      <c r="I935">
        <v>285.35000000000002</v>
      </c>
      <c r="J935" t="s">
        <v>1796</v>
      </c>
      <c r="K935" t="s">
        <v>13</v>
      </c>
      <c r="L935" t="s">
        <v>23</v>
      </c>
      <c r="M935">
        <v>1</v>
      </c>
      <c r="N935">
        <v>1997.45</v>
      </c>
    </row>
    <row r="936" spans="1:14" x14ac:dyDescent="0.3">
      <c r="A936" t="s">
        <v>1797</v>
      </c>
      <c r="B936" t="s">
        <v>21</v>
      </c>
      <c r="C936" s="1">
        <v>45303</v>
      </c>
      <c r="D936" s="2">
        <f>YEAR(Table1[[#This Row],[PurchaseDate]])</f>
        <v>2024</v>
      </c>
      <c r="E936" s="2" t="str">
        <f>"Q"&amp;ROUNDUP(MONTH(Table1[[#This Row],[PurchaseDate]])/3,0)</f>
        <v>Q1</v>
      </c>
      <c r="F936" s="2">
        <f>MONTH(Table1[[#This Row],[PurchaseDate]])</f>
        <v>1</v>
      </c>
      <c r="G936" s="2" t="str">
        <f>TEXT(Table1[[#This Row],[PurchaseDate]],"MMM")</f>
        <v>Jan</v>
      </c>
      <c r="H936">
        <v>3</v>
      </c>
      <c r="I936">
        <v>80.7</v>
      </c>
      <c r="J936" t="s">
        <v>1798</v>
      </c>
      <c r="K936" t="s">
        <v>38</v>
      </c>
      <c r="L936" t="s">
        <v>19</v>
      </c>
      <c r="M936">
        <v>1</v>
      </c>
      <c r="N936">
        <v>242.1</v>
      </c>
    </row>
    <row r="937" spans="1:14" x14ac:dyDescent="0.3">
      <c r="A937" t="s">
        <v>1799</v>
      </c>
      <c r="B937" t="s">
        <v>16</v>
      </c>
      <c r="C937" s="1">
        <v>45793</v>
      </c>
      <c r="D937" s="2">
        <f>YEAR(Table1[[#This Row],[PurchaseDate]])</f>
        <v>2025</v>
      </c>
      <c r="E937" s="2" t="str">
        <f>"Q"&amp;ROUNDUP(MONTH(Table1[[#This Row],[PurchaseDate]])/3,0)</f>
        <v>Q2</v>
      </c>
      <c r="F937" s="2">
        <f>MONTH(Table1[[#This Row],[PurchaseDate]])</f>
        <v>5</v>
      </c>
      <c r="G937" s="2" t="str">
        <f>TEXT(Table1[[#This Row],[PurchaseDate]],"MMM")</f>
        <v>May</v>
      </c>
      <c r="H937">
        <v>2</v>
      </c>
      <c r="I937">
        <v>134.49</v>
      </c>
      <c r="J937" t="s">
        <v>1800</v>
      </c>
      <c r="K937" t="s">
        <v>38</v>
      </c>
      <c r="L937" t="s">
        <v>23</v>
      </c>
      <c r="M937">
        <v>5</v>
      </c>
      <c r="N937">
        <v>268.98</v>
      </c>
    </row>
    <row r="938" spans="1:14" x14ac:dyDescent="0.3">
      <c r="A938" t="s">
        <v>1801</v>
      </c>
      <c r="B938" t="s">
        <v>42</v>
      </c>
      <c r="C938" s="1">
        <v>45803</v>
      </c>
      <c r="D938" s="2">
        <f>YEAR(Table1[[#This Row],[PurchaseDate]])</f>
        <v>2025</v>
      </c>
      <c r="E938" s="2" t="str">
        <f>"Q"&amp;ROUNDUP(MONTH(Table1[[#This Row],[PurchaseDate]])/3,0)</f>
        <v>Q2</v>
      </c>
      <c r="F938" s="2">
        <f>MONTH(Table1[[#This Row],[PurchaseDate]])</f>
        <v>5</v>
      </c>
      <c r="G938" s="2" t="str">
        <f>TEXT(Table1[[#This Row],[PurchaseDate]],"MMM")</f>
        <v>May</v>
      </c>
      <c r="H938">
        <v>6</v>
      </c>
      <c r="I938">
        <v>427.49</v>
      </c>
      <c r="J938" t="s">
        <v>1802</v>
      </c>
      <c r="K938" t="s">
        <v>13</v>
      </c>
      <c r="L938" t="s">
        <v>23</v>
      </c>
      <c r="M938">
        <v>2</v>
      </c>
      <c r="N938">
        <v>2564.94</v>
      </c>
    </row>
    <row r="939" spans="1:14" x14ac:dyDescent="0.3">
      <c r="A939" t="s">
        <v>1803</v>
      </c>
      <c r="B939" t="s">
        <v>29</v>
      </c>
      <c r="C939" s="1">
        <v>45541</v>
      </c>
      <c r="D939" s="2">
        <f>YEAR(Table1[[#This Row],[PurchaseDate]])</f>
        <v>2024</v>
      </c>
      <c r="E939" s="2" t="str">
        <f>"Q"&amp;ROUNDUP(MONTH(Table1[[#This Row],[PurchaseDate]])/3,0)</f>
        <v>Q3</v>
      </c>
      <c r="F939" s="2">
        <f>MONTH(Table1[[#This Row],[PurchaseDate]])</f>
        <v>9</v>
      </c>
      <c r="G939" s="2" t="str">
        <f>TEXT(Table1[[#This Row],[PurchaseDate]],"MMM")</f>
        <v>Sep</v>
      </c>
      <c r="H939">
        <v>2</v>
      </c>
      <c r="I939">
        <v>388.43</v>
      </c>
      <c r="J939" t="s">
        <v>1804</v>
      </c>
      <c r="K939" t="s">
        <v>38</v>
      </c>
      <c r="L939" t="s">
        <v>23</v>
      </c>
      <c r="M939">
        <v>4</v>
      </c>
      <c r="N939">
        <v>776.86</v>
      </c>
    </row>
    <row r="940" spans="1:14" x14ac:dyDescent="0.3">
      <c r="A940" t="s">
        <v>1805</v>
      </c>
      <c r="B940" t="s">
        <v>21</v>
      </c>
      <c r="C940" s="1">
        <v>45238</v>
      </c>
      <c r="D940" s="2">
        <f>YEAR(Table1[[#This Row],[PurchaseDate]])</f>
        <v>2023</v>
      </c>
      <c r="E940" s="2" t="str">
        <f>"Q"&amp;ROUNDUP(MONTH(Table1[[#This Row],[PurchaseDate]])/3,0)</f>
        <v>Q4</v>
      </c>
      <c r="F940" s="2">
        <f>MONTH(Table1[[#This Row],[PurchaseDate]])</f>
        <v>11</v>
      </c>
      <c r="G940" s="2" t="str">
        <f>TEXT(Table1[[#This Row],[PurchaseDate]],"MMM")</f>
        <v>Nov</v>
      </c>
      <c r="H940">
        <v>2</v>
      </c>
      <c r="I940">
        <v>449.21</v>
      </c>
      <c r="J940" t="s">
        <v>1806</v>
      </c>
      <c r="K940" t="s">
        <v>38</v>
      </c>
      <c r="L940" t="s">
        <v>19</v>
      </c>
      <c r="M940">
        <v>4</v>
      </c>
      <c r="N940">
        <v>898.42</v>
      </c>
    </row>
    <row r="941" spans="1:14" x14ac:dyDescent="0.3">
      <c r="A941" t="s">
        <v>1807</v>
      </c>
      <c r="B941" t="s">
        <v>16</v>
      </c>
      <c r="C941" s="1">
        <v>45678</v>
      </c>
      <c r="D941" s="2">
        <f>YEAR(Table1[[#This Row],[PurchaseDate]])</f>
        <v>2025</v>
      </c>
      <c r="E941" s="2" t="str">
        <f>"Q"&amp;ROUNDUP(MONTH(Table1[[#This Row],[PurchaseDate]])/3,0)</f>
        <v>Q1</v>
      </c>
      <c r="F941" s="2">
        <f>MONTH(Table1[[#This Row],[PurchaseDate]])</f>
        <v>1</v>
      </c>
      <c r="G941" s="2" t="str">
        <f>TEXT(Table1[[#This Row],[PurchaseDate]],"MMM")</f>
        <v>Jan</v>
      </c>
      <c r="H941">
        <v>3</v>
      </c>
      <c r="I941">
        <v>7.63</v>
      </c>
      <c r="J941" t="s">
        <v>1808</v>
      </c>
      <c r="K941" t="s">
        <v>18</v>
      </c>
      <c r="L941" t="s">
        <v>19</v>
      </c>
      <c r="M941">
        <v>3</v>
      </c>
      <c r="N941">
        <v>22.89</v>
      </c>
    </row>
    <row r="942" spans="1:14" x14ac:dyDescent="0.3">
      <c r="A942" t="s">
        <v>1809</v>
      </c>
      <c r="B942" t="s">
        <v>42</v>
      </c>
      <c r="C942" s="1">
        <v>45023</v>
      </c>
      <c r="D942" s="2">
        <f>YEAR(Table1[[#This Row],[PurchaseDate]])</f>
        <v>2023</v>
      </c>
      <c r="E942" s="2" t="str">
        <f>"Q"&amp;ROUNDUP(MONTH(Table1[[#This Row],[PurchaseDate]])/3,0)</f>
        <v>Q2</v>
      </c>
      <c r="F942" s="2">
        <f>MONTH(Table1[[#This Row],[PurchaseDate]])</f>
        <v>4</v>
      </c>
      <c r="G942" s="2" t="str">
        <f>TEXT(Table1[[#This Row],[PurchaseDate]],"MMM")</f>
        <v>Apr</v>
      </c>
      <c r="H942">
        <v>3</v>
      </c>
      <c r="I942">
        <v>96.85</v>
      </c>
      <c r="J942" t="s">
        <v>1810</v>
      </c>
      <c r="K942" t="s">
        <v>38</v>
      </c>
      <c r="L942" t="s">
        <v>14</v>
      </c>
      <c r="M942">
        <v>4</v>
      </c>
      <c r="N942">
        <v>290.55</v>
      </c>
    </row>
    <row r="943" spans="1:14" x14ac:dyDescent="0.3">
      <c r="A943" t="s">
        <v>1811</v>
      </c>
      <c r="B943" t="s">
        <v>29</v>
      </c>
      <c r="C943" s="1">
        <v>45462</v>
      </c>
      <c r="D943" s="2">
        <f>YEAR(Table1[[#This Row],[PurchaseDate]])</f>
        <v>2024</v>
      </c>
      <c r="E943" s="2" t="str">
        <f>"Q"&amp;ROUNDUP(MONTH(Table1[[#This Row],[PurchaseDate]])/3,0)</f>
        <v>Q2</v>
      </c>
      <c r="F943" s="2">
        <f>MONTH(Table1[[#This Row],[PurchaseDate]])</f>
        <v>6</v>
      </c>
      <c r="G943" s="2" t="str">
        <f>TEXT(Table1[[#This Row],[PurchaseDate]],"MMM")</f>
        <v>Jun</v>
      </c>
      <c r="H943">
        <v>3</v>
      </c>
      <c r="I943">
        <v>783.65</v>
      </c>
      <c r="J943" t="s">
        <v>1812</v>
      </c>
      <c r="K943" t="s">
        <v>13</v>
      </c>
      <c r="L943" t="s">
        <v>14</v>
      </c>
      <c r="M943">
        <v>2</v>
      </c>
      <c r="N943">
        <v>2350.9499999999998</v>
      </c>
    </row>
    <row r="944" spans="1:14" x14ac:dyDescent="0.3">
      <c r="A944" t="s">
        <v>1813</v>
      </c>
      <c r="B944" t="s">
        <v>21</v>
      </c>
      <c r="C944" s="1">
        <v>44940</v>
      </c>
      <c r="D944" s="2">
        <f>YEAR(Table1[[#This Row],[PurchaseDate]])</f>
        <v>2023</v>
      </c>
      <c r="E944" s="2" t="str">
        <f>"Q"&amp;ROUNDUP(MONTH(Table1[[#This Row],[PurchaseDate]])/3,0)</f>
        <v>Q1</v>
      </c>
      <c r="F944" s="2">
        <f>MONTH(Table1[[#This Row],[PurchaseDate]])</f>
        <v>1</v>
      </c>
      <c r="G944" s="2" t="str">
        <f>TEXT(Table1[[#This Row],[PurchaseDate]],"MMM")</f>
        <v>Jan</v>
      </c>
      <c r="H944">
        <v>4</v>
      </c>
      <c r="I944">
        <v>566.23</v>
      </c>
      <c r="J944" t="s">
        <v>1814</v>
      </c>
      <c r="K944" t="s">
        <v>38</v>
      </c>
      <c r="L944" t="s">
        <v>23</v>
      </c>
      <c r="M944">
        <v>3</v>
      </c>
      <c r="N944">
        <v>2264.92</v>
      </c>
    </row>
    <row r="945" spans="1:14" x14ac:dyDescent="0.3">
      <c r="A945" t="s">
        <v>1815</v>
      </c>
      <c r="B945" t="s">
        <v>25</v>
      </c>
      <c r="C945" s="1">
        <v>45088</v>
      </c>
      <c r="D945" s="2">
        <f>YEAR(Table1[[#This Row],[PurchaseDate]])</f>
        <v>2023</v>
      </c>
      <c r="E945" s="2" t="str">
        <f>"Q"&amp;ROUNDUP(MONTH(Table1[[#This Row],[PurchaseDate]])/3,0)</f>
        <v>Q2</v>
      </c>
      <c r="F945" s="2">
        <f>MONTH(Table1[[#This Row],[PurchaseDate]])</f>
        <v>6</v>
      </c>
      <c r="G945" s="2" t="str">
        <f>TEXT(Table1[[#This Row],[PurchaseDate]],"MMM")</f>
        <v>Jun</v>
      </c>
      <c r="H945">
        <v>3</v>
      </c>
      <c r="I945">
        <v>120.53</v>
      </c>
      <c r="J945" t="s">
        <v>1816</v>
      </c>
      <c r="K945" t="s">
        <v>38</v>
      </c>
      <c r="L945" t="s">
        <v>58</v>
      </c>
      <c r="M945">
        <v>5</v>
      </c>
      <c r="N945">
        <v>361.59</v>
      </c>
    </row>
    <row r="946" spans="1:14" x14ac:dyDescent="0.3">
      <c r="A946" t="s">
        <v>1817</v>
      </c>
      <c r="B946" t="s">
        <v>16</v>
      </c>
      <c r="C946" s="1">
        <v>44966</v>
      </c>
      <c r="D946" s="2">
        <f>YEAR(Table1[[#This Row],[PurchaseDate]])</f>
        <v>2023</v>
      </c>
      <c r="E946" s="2" t="str">
        <f>"Q"&amp;ROUNDUP(MONTH(Table1[[#This Row],[PurchaseDate]])/3,0)</f>
        <v>Q1</v>
      </c>
      <c r="F946" s="2">
        <f>MONTH(Table1[[#This Row],[PurchaseDate]])</f>
        <v>2</v>
      </c>
      <c r="G946" s="2" t="str">
        <f>TEXT(Table1[[#This Row],[PurchaseDate]],"MMM")</f>
        <v>Feb</v>
      </c>
      <c r="H946">
        <v>1</v>
      </c>
      <c r="I946">
        <v>499.22</v>
      </c>
      <c r="J946" t="s">
        <v>1818</v>
      </c>
      <c r="K946" t="s">
        <v>18</v>
      </c>
      <c r="L946" t="s">
        <v>14</v>
      </c>
      <c r="M946">
        <v>1</v>
      </c>
      <c r="N946">
        <v>499.22</v>
      </c>
    </row>
    <row r="947" spans="1:14" x14ac:dyDescent="0.3">
      <c r="A947" t="s">
        <v>757</v>
      </c>
      <c r="B947" t="s">
        <v>16</v>
      </c>
      <c r="C947" s="1">
        <v>45797</v>
      </c>
      <c r="D947" s="2">
        <f>YEAR(Table1[[#This Row],[PurchaseDate]])</f>
        <v>2025</v>
      </c>
      <c r="E947" s="2" t="str">
        <f>"Q"&amp;ROUNDUP(MONTH(Table1[[#This Row],[PurchaseDate]])/3,0)</f>
        <v>Q2</v>
      </c>
      <c r="F947" s="2">
        <f>MONTH(Table1[[#This Row],[PurchaseDate]])</f>
        <v>5</v>
      </c>
      <c r="G947" s="2" t="str">
        <f>TEXT(Table1[[#This Row],[PurchaseDate]],"MMM")</f>
        <v>May</v>
      </c>
      <c r="H947">
        <v>8</v>
      </c>
      <c r="I947">
        <v>363.25</v>
      </c>
      <c r="J947" t="s">
        <v>758</v>
      </c>
      <c r="K947" t="s">
        <v>38</v>
      </c>
      <c r="L947" t="s">
        <v>27</v>
      </c>
      <c r="M947">
        <v>3</v>
      </c>
      <c r="N947">
        <v>2906</v>
      </c>
    </row>
    <row r="948" spans="1:14" x14ac:dyDescent="0.3">
      <c r="A948" t="s">
        <v>1819</v>
      </c>
      <c r="B948" t="s">
        <v>42</v>
      </c>
      <c r="C948" s="1">
        <v>45281</v>
      </c>
      <c r="D948" s="2">
        <f>YEAR(Table1[[#This Row],[PurchaseDate]])</f>
        <v>2023</v>
      </c>
      <c r="E948" s="2" t="str">
        <f>"Q"&amp;ROUNDUP(MONTH(Table1[[#This Row],[PurchaseDate]])/3,0)</f>
        <v>Q4</v>
      </c>
      <c r="F948" s="2">
        <f>MONTH(Table1[[#This Row],[PurchaseDate]])</f>
        <v>12</v>
      </c>
      <c r="G948" s="2" t="str">
        <f>TEXT(Table1[[#This Row],[PurchaseDate]],"MMM")</f>
        <v>Dec</v>
      </c>
      <c r="H948">
        <v>6</v>
      </c>
      <c r="I948">
        <v>684.42</v>
      </c>
      <c r="J948" t="s">
        <v>1820</v>
      </c>
      <c r="K948" t="s">
        <v>18</v>
      </c>
      <c r="L948" t="s">
        <v>14</v>
      </c>
      <c r="M948">
        <v>3</v>
      </c>
      <c r="N948">
        <v>4106.5200000000004</v>
      </c>
    </row>
    <row r="949" spans="1:14" x14ac:dyDescent="0.3">
      <c r="A949" t="s">
        <v>1289</v>
      </c>
      <c r="B949" t="s">
        <v>42</v>
      </c>
      <c r="C949" s="1">
        <v>45624</v>
      </c>
      <c r="D949" s="2">
        <f>YEAR(Table1[[#This Row],[PurchaseDate]])</f>
        <v>2024</v>
      </c>
      <c r="E949" s="2" t="str">
        <f>"Q"&amp;ROUNDUP(MONTH(Table1[[#This Row],[PurchaseDate]])/3,0)</f>
        <v>Q4</v>
      </c>
      <c r="F949" s="2">
        <f>MONTH(Table1[[#This Row],[PurchaseDate]])</f>
        <v>11</v>
      </c>
      <c r="G949" s="2" t="str">
        <f>TEXT(Table1[[#This Row],[PurchaseDate]],"MMM")</f>
        <v>Nov</v>
      </c>
      <c r="H949">
        <v>6</v>
      </c>
      <c r="I949">
        <v>416.2</v>
      </c>
      <c r="J949" t="s">
        <v>1290</v>
      </c>
      <c r="K949" t="s">
        <v>13</v>
      </c>
      <c r="L949" t="s">
        <v>14</v>
      </c>
      <c r="M949">
        <v>3</v>
      </c>
      <c r="N949">
        <v>2497.1999999999998</v>
      </c>
    </row>
    <row r="950" spans="1:14" x14ac:dyDescent="0.3">
      <c r="A950" t="s">
        <v>1821</v>
      </c>
      <c r="B950" t="s">
        <v>11</v>
      </c>
      <c r="C950" s="1">
        <v>45701</v>
      </c>
      <c r="D950" s="2">
        <f>YEAR(Table1[[#This Row],[PurchaseDate]])</f>
        <v>2025</v>
      </c>
      <c r="E950" s="2" t="str">
        <f>"Q"&amp;ROUNDUP(MONTH(Table1[[#This Row],[PurchaseDate]])/3,0)</f>
        <v>Q1</v>
      </c>
      <c r="F950" s="2">
        <f>MONTH(Table1[[#This Row],[PurchaseDate]])</f>
        <v>2</v>
      </c>
      <c r="G950" s="2" t="str">
        <f>TEXT(Table1[[#This Row],[PurchaseDate]],"MMM")</f>
        <v>Feb</v>
      </c>
      <c r="H950">
        <v>7</v>
      </c>
      <c r="I950">
        <v>536.13</v>
      </c>
      <c r="J950" t="s">
        <v>1822</v>
      </c>
      <c r="K950" t="s">
        <v>18</v>
      </c>
      <c r="L950" t="s">
        <v>58</v>
      </c>
      <c r="M950">
        <v>1</v>
      </c>
      <c r="N950">
        <v>3752.91</v>
      </c>
    </row>
    <row r="951" spans="1:14" x14ac:dyDescent="0.3">
      <c r="A951" t="s">
        <v>1823</v>
      </c>
      <c r="B951" t="s">
        <v>29</v>
      </c>
      <c r="C951" s="1">
        <v>45342</v>
      </c>
      <c r="D951" s="2">
        <f>YEAR(Table1[[#This Row],[PurchaseDate]])</f>
        <v>2024</v>
      </c>
      <c r="E951" s="2" t="str">
        <f>"Q"&amp;ROUNDUP(MONTH(Table1[[#This Row],[PurchaseDate]])/3,0)</f>
        <v>Q1</v>
      </c>
      <c r="F951" s="2">
        <f>MONTH(Table1[[#This Row],[PurchaseDate]])</f>
        <v>2</v>
      </c>
      <c r="G951" s="2" t="str">
        <f>TEXT(Table1[[#This Row],[PurchaseDate]],"MMM")</f>
        <v>Feb</v>
      </c>
      <c r="H951">
        <v>4</v>
      </c>
      <c r="I951">
        <v>606.22</v>
      </c>
      <c r="J951" t="s">
        <v>1824</v>
      </c>
      <c r="K951" t="s">
        <v>18</v>
      </c>
      <c r="L951" t="s">
        <v>58</v>
      </c>
      <c r="M951">
        <v>3</v>
      </c>
      <c r="N951">
        <v>2424.88</v>
      </c>
    </row>
    <row r="952" spans="1:14" x14ac:dyDescent="0.3">
      <c r="A952" t="s">
        <v>1825</v>
      </c>
      <c r="B952" t="s">
        <v>29</v>
      </c>
      <c r="C952" s="1">
        <v>44979</v>
      </c>
      <c r="D952" s="2">
        <f>YEAR(Table1[[#This Row],[PurchaseDate]])</f>
        <v>2023</v>
      </c>
      <c r="E952" s="2" t="str">
        <f>"Q"&amp;ROUNDUP(MONTH(Table1[[#This Row],[PurchaseDate]])/3,0)</f>
        <v>Q1</v>
      </c>
      <c r="F952" s="2">
        <f>MONTH(Table1[[#This Row],[PurchaseDate]])</f>
        <v>2</v>
      </c>
      <c r="G952" s="2" t="str">
        <f>TEXT(Table1[[#This Row],[PurchaseDate]],"MMM")</f>
        <v>Feb</v>
      </c>
      <c r="H952">
        <v>8</v>
      </c>
      <c r="I952">
        <v>165.92</v>
      </c>
      <c r="J952" t="s">
        <v>1826</v>
      </c>
      <c r="K952" t="s">
        <v>13</v>
      </c>
      <c r="L952" t="s">
        <v>58</v>
      </c>
      <c r="M952">
        <v>1</v>
      </c>
      <c r="N952">
        <v>1327.36</v>
      </c>
    </row>
    <row r="953" spans="1:14" x14ac:dyDescent="0.3">
      <c r="A953" t="s">
        <v>1827</v>
      </c>
      <c r="B953" t="s">
        <v>34</v>
      </c>
      <c r="C953" s="1">
        <v>45661</v>
      </c>
      <c r="D953" s="2">
        <f>YEAR(Table1[[#This Row],[PurchaseDate]])</f>
        <v>2025</v>
      </c>
      <c r="E953" s="2" t="str">
        <f>"Q"&amp;ROUNDUP(MONTH(Table1[[#This Row],[PurchaseDate]])/3,0)</f>
        <v>Q1</v>
      </c>
      <c r="F953" s="2">
        <f>MONTH(Table1[[#This Row],[PurchaseDate]])</f>
        <v>1</v>
      </c>
      <c r="G953" s="2" t="str">
        <f>TEXT(Table1[[#This Row],[PurchaseDate]],"MMM")</f>
        <v>Jan</v>
      </c>
      <c r="H953">
        <v>8</v>
      </c>
      <c r="I953">
        <v>777.8</v>
      </c>
      <c r="J953" t="s">
        <v>1828</v>
      </c>
      <c r="K953" t="s">
        <v>13</v>
      </c>
      <c r="L953" t="s">
        <v>14</v>
      </c>
      <c r="M953">
        <v>3</v>
      </c>
      <c r="N953">
        <v>6222.4</v>
      </c>
    </row>
    <row r="954" spans="1:14" x14ac:dyDescent="0.3">
      <c r="A954" t="s">
        <v>1829</v>
      </c>
      <c r="B954" t="s">
        <v>25</v>
      </c>
      <c r="C954" s="1">
        <v>45685</v>
      </c>
      <c r="D954" s="2">
        <f>YEAR(Table1[[#This Row],[PurchaseDate]])</f>
        <v>2025</v>
      </c>
      <c r="E954" s="2" t="str">
        <f>"Q"&amp;ROUNDUP(MONTH(Table1[[#This Row],[PurchaseDate]])/3,0)</f>
        <v>Q1</v>
      </c>
      <c r="F954" s="2">
        <f>MONTH(Table1[[#This Row],[PurchaseDate]])</f>
        <v>1</v>
      </c>
      <c r="G954" s="2" t="str">
        <f>TEXT(Table1[[#This Row],[PurchaseDate]],"MMM")</f>
        <v>Jan</v>
      </c>
      <c r="H954">
        <v>1</v>
      </c>
      <c r="I954">
        <v>167.38</v>
      </c>
      <c r="J954" t="s">
        <v>1830</v>
      </c>
      <c r="K954" t="s">
        <v>18</v>
      </c>
      <c r="L954" t="s">
        <v>14</v>
      </c>
      <c r="M954">
        <v>5</v>
      </c>
      <c r="N954">
        <v>167.38</v>
      </c>
    </row>
    <row r="955" spans="1:14" x14ac:dyDescent="0.3">
      <c r="A955" t="s">
        <v>1831</v>
      </c>
      <c r="B955" t="s">
        <v>34</v>
      </c>
      <c r="C955" s="1">
        <v>45311</v>
      </c>
      <c r="D955" s="2">
        <f>YEAR(Table1[[#This Row],[PurchaseDate]])</f>
        <v>2024</v>
      </c>
      <c r="E955" s="2" t="str">
        <f>"Q"&amp;ROUNDUP(MONTH(Table1[[#This Row],[PurchaseDate]])/3,0)</f>
        <v>Q1</v>
      </c>
      <c r="F955" s="2">
        <f>MONTH(Table1[[#This Row],[PurchaseDate]])</f>
        <v>1</v>
      </c>
      <c r="G955" s="2" t="str">
        <f>TEXT(Table1[[#This Row],[PurchaseDate]],"MMM")</f>
        <v>Jan</v>
      </c>
      <c r="H955">
        <v>6</v>
      </c>
      <c r="I955">
        <v>706.16</v>
      </c>
      <c r="J955" t="s">
        <v>1832</v>
      </c>
      <c r="K955" t="s">
        <v>13</v>
      </c>
      <c r="L955" t="s">
        <v>23</v>
      </c>
      <c r="M955">
        <v>2</v>
      </c>
      <c r="N955">
        <v>4236.96</v>
      </c>
    </row>
    <row r="956" spans="1:14" x14ac:dyDescent="0.3">
      <c r="A956" t="s">
        <v>1833</v>
      </c>
      <c r="B956" t="s">
        <v>11</v>
      </c>
      <c r="C956" s="1">
        <v>45157</v>
      </c>
      <c r="D956" s="2">
        <f>YEAR(Table1[[#This Row],[PurchaseDate]])</f>
        <v>2023</v>
      </c>
      <c r="E956" s="2" t="str">
        <f>"Q"&amp;ROUNDUP(MONTH(Table1[[#This Row],[PurchaseDate]])/3,0)</f>
        <v>Q3</v>
      </c>
      <c r="F956" s="2">
        <f>MONTH(Table1[[#This Row],[PurchaseDate]])</f>
        <v>8</v>
      </c>
      <c r="G956" s="2" t="str">
        <f>TEXT(Table1[[#This Row],[PurchaseDate]],"MMM")</f>
        <v>Aug</v>
      </c>
      <c r="H956">
        <v>4</v>
      </c>
      <c r="I956">
        <v>517.12</v>
      </c>
      <c r="J956" t="s">
        <v>1834</v>
      </c>
      <c r="K956" t="s">
        <v>18</v>
      </c>
      <c r="L956" t="s">
        <v>14</v>
      </c>
      <c r="M956">
        <v>3</v>
      </c>
      <c r="N956">
        <v>2068.48</v>
      </c>
    </row>
    <row r="957" spans="1:14" x14ac:dyDescent="0.3">
      <c r="A957" t="s">
        <v>1835</v>
      </c>
      <c r="B957" t="s">
        <v>11</v>
      </c>
      <c r="C957" s="1">
        <v>45004</v>
      </c>
      <c r="D957" s="2">
        <f>YEAR(Table1[[#This Row],[PurchaseDate]])</f>
        <v>2023</v>
      </c>
      <c r="E957" s="2" t="str">
        <f>"Q"&amp;ROUNDUP(MONTH(Table1[[#This Row],[PurchaseDate]])/3,0)</f>
        <v>Q1</v>
      </c>
      <c r="F957" s="2">
        <f>MONTH(Table1[[#This Row],[PurchaseDate]])</f>
        <v>3</v>
      </c>
      <c r="G957" s="2" t="str">
        <f>TEXT(Table1[[#This Row],[PurchaseDate]],"MMM")</f>
        <v>Mar</v>
      </c>
      <c r="H957">
        <v>6</v>
      </c>
      <c r="I957">
        <v>441.69</v>
      </c>
      <c r="J957" t="s">
        <v>1836</v>
      </c>
      <c r="K957" t="s">
        <v>38</v>
      </c>
      <c r="L957" t="s">
        <v>27</v>
      </c>
      <c r="M957">
        <v>3</v>
      </c>
      <c r="N957">
        <v>2650.14</v>
      </c>
    </row>
    <row r="958" spans="1:14" x14ac:dyDescent="0.3">
      <c r="A958" t="s">
        <v>1837</v>
      </c>
      <c r="B958" t="s">
        <v>34</v>
      </c>
      <c r="C958" s="1">
        <v>45295</v>
      </c>
      <c r="D958" s="2">
        <f>YEAR(Table1[[#This Row],[PurchaseDate]])</f>
        <v>2024</v>
      </c>
      <c r="E958" s="2" t="str">
        <f>"Q"&amp;ROUNDUP(MONTH(Table1[[#This Row],[PurchaseDate]])/3,0)</f>
        <v>Q1</v>
      </c>
      <c r="F958" s="2">
        <f>MONTH(Table1[[#This Row],[PurchaseDate]])</f>
        <v>1</v>
      </c>
      <c r="G958" s="2" t="str">
        <f>TEXT(Table1[[#This Row],[PurchaseDate]],"MMM")</f>
        <v>Jan</v>
      </c>
      <c r="H958">
        <v>3</v>
      </c>
      <c r="I958">
        <v>275.93</v>
      </c>
      <c r="J958" t="s">
        <v>1838</v>
      </c>
      <c r="K958" t="s">
        <v>18</v>
      </c>
      <c r="L958" t="s">
        <v>14</v>
      </c>
      <c r="M958">
        <v>4</v>
      </c>
      <c r="N958">
        <v>827.79</v>
      </c>
    </row>
    <row r="959" spans="1:14" x14ac:dyDescent="0.3">
      <c r="A959" t="s">
        <v>1839</v>
      </c>
      <c r="B959" t="s">
        <v>29</v>
      </c>
      <c r="C959" s="1">
        <v>45066</v>
      </c>
      <c r="D959" s="2">
        <f>YEAR(Table1[[#This Row],[PurchaseDate]])</f>
        <v>2023</v>
      </c>
      <c r="E959" s="2" t="str">
        <f>"Q"&amp;ROUNDUP(MONTH(Table1[[#This Row],[PurchaseDate]])/3,0)</f>
        <v>Q2</v>
      </c>
      <c r="F959" s="2">
        <f>MONTH(Table1[[#This Row],[PurchaseDate]])</f>
        <v>5</v>
      </c>
      <c r="G959" s="2" t="str">
        <f>TEXT(Table1[[#This Row],[PurchaseDate]],"MMM")</f>
        <v>May</v>
      </c>
      <c r="H959">
        <v>3</v>
      </c>
      <c r="I959">
        <v>63.43</v>
      </c>
      <c r="J959" t="s">
        <v>1840</v>
      </c>
      <c r="K959" t="s">
        <v>18</v>
      </c>
      <c r="L959" t="s">
        <v>19</v>
      </c>
      <c r="M959">
        <v>2</v>
      </c>
      <c r="N959">
        <v>190.29</v>
      </c>
    </row>
    <row r="960" spans="1:14" x14ac:dyDescent="0.3">
      <c r="A960" t="s">
        <v>1841</v>
      </c>
      <c r="B960" t="s">
        <v>11</v>
      </c>
      <c r="C960" s="1">
        <v>45689</v>
      </c>
      <c r="D960" s="2">
        <f>YEAR(Table1[[#This Row],[PurchaseDate]])</f>
        <v>2025</v>
      </c>
      <c r="E960" s="2" t="str">
        <f>"Q"&amp;ROUNDUP(MONTH(Table1[[#This Row],[PurchaseDate]])/3,0)</f>
        <v>Q1</v>
      </c>
      <c r="F960" s="2">
        <f>MONTH(Table1[[#This Row],[PurchaseDate]])</f>
        <v>2</v>
      </c>
      <c r="G960" s="2" t="str">
        <f>TEXT(Table1[[#This Row],[PurchaseDate]],"MMM")</f>
        <v>Feb</v>
      </c>
      <c r="H960">
        <v>1</v>
      </c>
      <c r="I960">
        <v>631.80999999999995</v>
      </c>
      <c r="J960" t="s">
        <v>1842</v>
      </c>
      <c r="K960" t="s">
        <v>38</v>
      </c>
      <c r="L960" t="s">
        <v>23</v>
      </c>
      <c r="M960">
        <v>3</v>
      </c>
      <c r="N960">
        <v>631.80999999999995</v>
      </c>
    </row>
    <row r="961" spans="1:14" x14ac:dyDescent="0.3">
      <c r="A961" t="s">
        <v>1843</v>
      </c>
      <c r="B961" t="s">
        <v>21</v>
      </c>
      <c r="C961" s="1">
        <v>45146</v>
      </c>
      <c r="D961" s="2">
        <f>YEAR(Table1[[#This Row],[PurchaseDate]])</f>
        <v>2023</v>
      </c>
      <c r="E961" s="2" t="str">
        <f>"Q"&amp;ROUNDUP(MONTH(Table1[[#This Row],[PurchaseDate]])/3,0)</f>
        <v>Q3</v>
      </c>
      <c r="F961" s="2">
        <f>MONTH(Table1[[#This Row],[PurchaseDate]])</f>
        <v>8</v>
      </c>
      <c r="G961" s="2" t="str">
        <f>TEXT(Table1[[#This Row],[PurchaseDate]],"MMM")</f>
        <v>Aug</v>
      </c>
      <c r="H961">
        <v>6</v>
      </c>
      <c r="I961">
        <v>658.7</v>
      </c>
      <c r="J961" t="s">
        <v>1844</v>
      </c>
      <c r="K961" t="s">
        <v>18</v>
      </c>
      <c r="L961" t="s">
        <v>23</v>
      </c>
      <c r="M961">
        <v>2</v>
      </c>
      <c r="N961">
        <v>3952.2</v>
      </c>
    </row>
    <row r="962" spans="1:14" x14ac:dyDescent="0.3">
      <c r="A962" t="s">
        <v>1845</v>
      </c>
      <c r="B962" t="s">
        <v>11</v>
      </c>
      <c r="C962" s="1">
        <v>44981</v>
      </c>
      <c r="D962" s="2">
        <f>YEAR(Table1[[#This Row],[PurchaseDate]])</f>
        <v>2023</v>
      </c>
      <c r="E962" s="2" t="str">
        <f>"Q"&amp;ROUNDUP(MONTH(Table1[[#This Row],[PurchaseDate]])/3,0)</f>
        <v>Q1</v>
      </c>
      <c r="F962" s="2">
        <f>MONTH(Table1[[#This Row],[PurchaseDate]])</f>
        <v>2</v>
      </c>
      <c r="G962" s="2" t="str">
        <f>TEXT(Table1[[#This Row],[PurchaseDate]],"MMM")</f>
        <v>Feb</v>
      </c>
      <c r="H962">
        <v>7</v>
      </c>
      <c r="I962">
        <v>607.38</v>
      </c>
      <c r="J962" t="s">
        <v>1846</v>
      </c>
      <c r="K962" t="s">
        <v>18</v>
      </c>
      <c r="L962" t="s">
        <v>19</v>
      </c>
      <c r="M962">
        <v>1</v>
      </c>
      <c r="N962">
        <v>4251.66</v>
      </c>
    </row>
    <row r="963" spans="1:14" x14ac:dyDescent="0.3">
      <c r="A963" t="s">
        <v>1847</v>
      </c>
      <c r="B963" t="s">
        <v>11</v>
      </c>
      <c r="C963" s="1">
        <v>45491</v>
      </c>
      <c r="D963" s="2">
        <f>YEAR(Table1[[#This Row],[PurchaseDate]])</f>
        <v>2024</v>
      </c>
      <c r="E963" s="2" t="str">
        <f>"Q"&amp;ROUNDUP(MONTH(Table1[[#This Row],[PurchaseDate]])/3,0)</f>
        <v>Q3</v>
      </c>
      <c r="F963" s="2">
        <f>MONTH(Table1[[#This Row],[PurchaseDate]])</f>
        <v>7</v>
      </c>
      <c r="G963" s="2" t="str">
        <f>TEXT(Table1[[#This Row],[PurchaseDate]],"MMM")</f>
        <v>Jul</v>
      </c>
      <c r="H963">
        <v>7</v>
      </c>
      <c r="I963">
        <v>509.99</v>
      </c>
      <c r="J963" t="s">
        <v>1848</v>
      </c>
      <c r="K963" t="s">
        <v>13</v>
      </c>
      <c r="L963" t="s">
        <v>23</v>
      </c>
      <c r="M963">
        <v>1</v>
      </c>
      <c r="N963">
        <v>3569.93</v>
      </c>
    </row>
    <row r="964" spans="1:14" x14ac:dyDescent="0.3">
      <c r="A964" t="s">
        <v>1849</v>
      </c>
      <c r="B964" t="s">
        <v>29</v>
      </c>
      <c r="C964" s="1">
        <v>45322</v>
      </c>
      <c r="D964" s="2">
        <f>YEAR(Table1[[#This Row],[PurchaseDate]])</f>
        <v>2024</v>
      </c>
      <c r="E964" s="2" t="str">
        <f>"Q"&amp;ROUNDUP(MONTH(Table1[[#This Row],[PurchaseDate]])/3,0)</f>
        <v>Q1</v>
      </c>
      <c r="F964" s="2">
        <f>MONTH(Table1[[#This Row],[PurchaseDate]])</f>
        <v>1</v>
      </c>
      <c r="G964" s="2" t="str">
        <f>TEXT(Table1[[#This Row],[PurchaseDate]],"MMM")</f>
        <v>Jan</v>
      </c>
      <c r="H964">
        <v>2</v>
      </c>
      <c r="I964">
        <v>555.65</v>
      </c>
      <c r="J964" t="s">
        <v>1850</v>
      </c>
      <c r="K964" t="s">
        <v>38</v>
      </c>
      <c r="L964" t="s">
        <v>58</v>
      </c>
      <c r="M964">
        <v>5</v>
      </c>
      <c r="N964">
        <v>1111.3</v>
      </c>
    </row>
    <row r="965" spans="1:14" x14ac:dyDescent="0.3">
      <c r="A965" t="s">
        <v>1851</v>
      </c>
      <c r="B965" t="s">
        <v>42</v>
      </c>
      <c r="C965" s="1">
        <v>45376</v>
      </c>
      <c r="D965" s="2">
        <f>YEAR(Table1[[#This Row],[PurchaseDate]])</f>
        <v>2024</v>
      </c>
      <c r="E965" s="2" t="str">
        <f>"Q"&amp;ROUNDUP(MONTH(Table1[[#This Row],[PurchaseDate]])/3,0)</f>
        <v>Q1</v>
      </c>
      <c r="F965" s="2">
        <f>MONTH(Table1[[#This Row],[PurchaseDate]])</f>
        <v>3</v>
      </c>
      <c r="G965" s="2" t="str">
        <f>TEXT(Table1[[#This Row],[PurchaseDate]],"MMM")</f>
        <v>Mar</v>
      </c>
      <c r="H965">
        <v>1</v>
      </c>
      <c r="I965">
        <v>122.52</v>
      </c>
      <c r="J965" t="s">
        <v>1852</v>
      </c>
      <c r="K965" t="s">
        <v>38</v>
      </c>
      <c r="L965" t="s">
        <v>19</v>
      </c>
      <c r="M965">
        <v>4</v>
      </c>
      <c r="N965">
        <v>122.52</v>
      </c>
    </row>
    <row r="966" spans="1:14" x14ac:dyDescent="0.3">
      <c r="A966" t="s">
        <v>1853</v>
      </c>
      <c r="B966" t="s">
        <v>25</v>
      </c>
      <c r="C966" s="1">
        <v>44945</v>
      </c>
      <c r="D966" s="2">
        <f>YEAR(Table1[[#This Row],[PurchaseDate]])</f>
        <v>2023</v>
      </c>
      <c r="E966" s="2" t="str">
        <f>"Q"&amp;ROUNDUP(MONTH(Table1[[#This Row],[PurchaseDate]])/3,0)</f>
        <v>Q1</v>
      </c>
      <c r="F966" s="2">
        <f>MONTH(Table1[[#This Row],[PurchaseDate]])</f>
        <v>1</v>
      </c>
      <c r="G966" s="2" t="str">
        <f>TEXT(Table1[[#This Row],[PurchaseDate]],"MMM")</f>
        <v>Jan</v>
      </c>
      <c r="H966">
        <v>6</v>
      </c>
      <c r="I966">
        <v>60.9</v>
      </c>
      <c r="J966" t="s">
        <v>1854</v>
      </c>
      <c r="K966" t="s">
        <v>18</v>
      </c>
      <c r="L966" t="s">
        <v>27</v>
      </c>
      <c r="M966">
        <v>4</v>
      </c>
      <c r="N966">
        <v>365.4</v>
      </c>
    </row>
    <row r="967" spans="1:14" x14ac:dyDescent="0.3">
      <c r="A967" t="s">
        <v>1855</v>
      </c>
      <c r="B967" t="s">
        <v>29</v>
      </c>
      <c r="C967" s="1">
        <v>44982</v>
      </c>
      <c r="D967" s="2">
        <f>YEAR(Table1[[#This Row],[PurchaseDate]])</f>
        <v>2023</v>
      </c>
      <c r="E967" s="2" t="str">
        <f>"Q"&amp;ROUNDUP(MONTH(Table1[[#This Row],[PurchaseDate]])/3,0)</f>
        <v>Q1</v>
      </c>
      <c r="F967" s="2">
        <f>MONTH(Table1[[#This Row],[PurchaseDate]])</f>
        <v>2</v>
      </c>
      <c r="G967" s="2" t="str">
        <f>TEXT(Table1[[#This Row],[PurchaseDate]],"MMM")</f>
        <v>Feb</v>
      </c>
      <c r="H967">
        <v>1</v>
      </c>
      <c r="I967">
        <v>234.79</v>
      </c>
      <c r="J967" t="s">
        <v>1856</v>
      </c>
      <c r="K967" t="s">
        <v>18</v>
      </c>
      <c r="L967" t="s">
        <v>19</v>
      </c>
      <c r="M967">
        <v>5</v>
      </c>
      <c r="N967">
        <v>234.79</v>
      </c>
    </row>
    <row r="968" spans="1:14" x14ac:dyDescent="0.3">
      <c r="A968" t="s">
        <v>1857</v>
      </c>
      <c r="B968" t="s">
        <v>25</v>
      </c>
      <c r="C968" s="1">
        <v>45005</v>
      </c>
      <c r="D968" s="2">
        <f>YEAR(Table1[[#This Row],[PurchaseDate]])</f>
        <v>2023</v>
      </c>
      <c r="E968" s="2" t="str">
        <f>"Q"&amp;ROUNDUP(MONTH(Table1[[#This Row],[PurchaseDate]])/3,0)</f>
        <v>Q1</v>
      </c>
      <c r="F968" s="2">
        <f>MONTH(Table1[[#This Row],[PurchaseDate]])</f>
        <v>3</v>
      </c>
      <c r="G968" s="2" t="str">
        <f>TEXT(Table1[[#This Row],[PurchaseDate]],"MMM")</f>
        <v>Mar</v>
      </c>
      <c r="H968">
        <v>6</v>
      </c>
      <c r="I968">
        <v>158.22999999999999</v>
      </c>
      <c r="J968" t="s">
        <v>1858</v>
      </c>
      <c r="K968" t="s">
        <v>18</v>
      </c>
      <c r="L968" t="s">
        <v>14</v>
      </c>
      <c r="M968">
        <v>4</v>
      </c>
      <c r="N968">
        <v>949.38</v>
      </c>
    </row>
    <row r="969" spans="1:14" x14ac:dyDescent="0.3">
      <c r="A969" t="s">
        <v>1859</v>
      </c>
      <c r="B969" t="s">
        <v>42</v>
      </c>
      <c r="C969" s="1">
        <v>45828</v>
      </c>
      <c r="D969" s="2">
        <f>YEAR(Table1[[#This Row],[PurchaseDate]])</f>
        <v>2025</v>
      </c>
      <c r="E969" s="2" t="str">
        <f>"Q"&amp;ROUNDUP(MONTH(Table1[[#This Row],[PurchaseDate]])/3,0)</f>
        <v>Q2</v>
      </c>
      <c r="F969" s="2">
        <f>MONTH(Table1[[#This Row],[PurchaseDate]])</f>
        <v>6</v>
      </c>
      <c r="G969" s="2" t="str">
        <f>TEXT(Table1[[#This Row],[PurchaseDate]],"MMM")</f>
        <v>Jun</v>
      </c>
      <c r="H969">
        <v>1</v>
      </c>
      <c r="I969">
        <v>450.66</v>
      </c>
      <c r="J969" t="s">
        <v>1860</v>
      </c>
      <c r="K969" t="s">
        <v>38</v>
      </c>
      <c r="L969" t="s">
        <v>14</v>
      </c>
      <c r="M969">
        <v>1</v>
      </c>
      <c r="N969">
        <v>450.66</v>
      </c>
    </row>
    <row r="970" spans="1:14" x14ac:dyDescent="0.3">
      <c r="A970" t="s">
        <v>1861</v>
      </c>
      <c r="B970" t="s">
        <v>34</v>
      </c>
      <c r="C970" s="1">
        <v>45192</v>
      </c>
      <c r="D970" s="2">
        <f>YEAR(Table1[[#This Row],[PurchaseDate]])</f>
        <v>2023</v>
      </c>
      <c r="E970" s="2" t="str">
        <f>"Q"&amp;ROUNDUP(MONTH(Table1[[#This Row],[PurchaseDate]])/3,0)</f>
        <v>Q3</v>
      </c>
      <c r="F970" s="2">
        <f>MONTH(Table1[[#This Row],[PurchaseDate]])</f>
        <v>9</v>
      </c>
      <c r="G970" s="2" t="str">
        <f>TEXT(Table1[[#This Row],[PurchaseDate]],"MMM")</f>
        <v>Sep</v>
      </c>
      <c r="H970">
        <v>2</v>
      </c>
      <c r="I970">
        <v>69.97</v>
      </c>
      <c r="J970" t="s">
        <v>1862</v>
      </c>
      <c r="K970" t="s">
        <v>18</v>
      </c>
      <c r="L970" t="s">
        <v>58</v>
      </c>
      <c r="M970">
        <v>5</v>
      </c>
      <c r="N970">
        <v>139.94</v>
      </c>
    </row>
    <row r="971" spans="1:14" x14ac:dyDescent="0.3">
      <c r="A971" t="s">
        <v>1863</v>
      </c>
      <c r="B971" t="s">
        <v>11</v>
      </c>
      <c r="C971" s="1">
        <v>45364</v>
      </c>
      <c r="D971" s="2">
        <f>YEAR(Table1[[#This Row],[PurchaseDate]])</f>
        <v>2024</v>
      </c>
      <c r="E971" s="2" t="str">
        <f>"Q"&amp;ROUNDUP(MONTH(Table1[[#This Row],[PurchaseDate]])/3,0)</f>
        <v>Q1</v>
      </c>
      <c r="F971" s="2">
        <f>MONTH(Table1[[#This Row],[PurchaseDate]])</f>
        <v>3</v>
      </c>
      <c r="G971" s="2" t="str">
        <f>TEXT(Table1[[#This Row],[PurchaseDate]],"MMM")</f>
        <v>Mar</v>
      </c>
      <c r="H971">
        <v>4</v>
      </c>
      <c r="I971">
        <v>778.86</v>
      </c>
      <c r="J971" t="s">
        <v>1864</v>
      </c>
      <c r="K971" t="s">
        <v>18</v>
      </c>
      <c r="L971" t="s">
        <v>58</v>
      </c>
      <c r="M971">
        <v>5</v>
      </c>
      <c r="N971">
        <v>3115.44</v>
      </c>
    </row>
    <row r="972" spans="1:14" x14ac:dyDescent="0.3">
      <c r="A972" t="s">
        <v>1865</v>
      </c>
      <c r="B972" t="s">
        <v>29</v>
      </c>
      <c r="C972" s="1">
        <v>45660</v>
      </c>
      <c r="D972" s="2">
        <f>YEAR(Table1[[#This Row],[PurchaseDate]])</f>
        <v>2025</v>
      </c>
      <c r="E972" s="2" t="str">
        <f>"Q"&amp;ROUNDUP(MONTH(Table1[[#This Row],[PurchaseDate]])/3,0)</f>
        <v>Q1</v>
      </c>
      <c r="F972" s="2">
        <f>MONTH(Table1[[#This Row],[PurchaseDate]])</f>
        <v>1</v>
      </c>
      <c r="G972" s="2" t="str">
        <f>TEXT(Table1[[#This Row],[PurchaseDate]],"MMM")</f>
        <v>Jan</v>
      </c>
      <c r="H972">
        <v>7</v>
      </c>
      <c r="I972">
        <v>383.36</v>
      </c>
      <c r="J972" t="s">
        <v>1866</v>
      </c>
      <c r="K972" t="s">
        <v>13</v>
      </c>
      <c r="L972" t="s">
        <v>19</v>
      </c>
      <c r="M972">
        <v>4</v>
      </c>
      <c r="N972">
        <v>2683.52</v>
      </c>
    </row>
    <row r="973" spans="1:14" x14ac:dyDescent="0.3">
      <c r="A973" t="s">
        <v>1867</v>
      </c>
      <c r="B973" t="s">
        <v>34</v>
      </c>
      <c r="C973" s="1">
        <v>45601</v>
      </c>
      <c r="D973" s="2">
        <f>YEAR(Table1[[#This Row],[PurchaseDate]])</f>
        <v>2024</v>
      </c>
      <c r="E973" s="2" t="str">
        <f>"Q"&amp;ROUNDUP(MONTH(Table1[[#This Row],[PurchaseDate]])/3,0)</f>
        <v>Q4</v>
      </c>
      <c r="F973" s="2">
        <f>MONTH(Table1[[#This Row],[PurchaseDate]])</f>
        <v>11</v>
      </c>
      <c r="G973" s="2" t="str">
        <f>TEXT(Table1[[#This Row],[PurchaseDate]],"MMM")</f>
        <v>Nov</v>
      </c>
      <c r="H973">
        <v>7</v>
      </c>
      <c r="I973">
        <v>487.31</v>
      </c>
      <c r="J973" t="s">
        <v>1868</v>
      </c>
      <c r="K973" t="s">
        <v>18</v>
      </c>
      <c r="L973" t="s">
        <v>14</v>
      </c>
      <c r="M973">
        <v>3</v>
      </c>
      <c r="N973">
        <v>3411.17</v>
      </c>
    </row>
    <row r="974" spans="1:14" x14ac:dyDescent="0.3">
      <c r="A974" t="s">
        <v>1869</v>
      </c>
      <c r="B974" t="s">
        <v>29</v>
      </c>
      <c r="C974" s="1">
        <v>45582</v>
      </c>
      <c r="D974" s="2">
        <f>YEAR(Table1[[#This Row],[PurchaseDate]])</f>
        <v>2024</v>
      </c>
      <c r="E974" s="2" t="str">
        <f>"Q"&amp;ROUNDUP(MONTH(Table1[[#This Row],[PurchaseDate]])/3,0)</f>
        <v>Q4</v>
      </c>
      <c r="F974" s="2">
        <f>MONTH(Table1[[#This Row],[PurchaseDate]])</f>
        <v>10</v>
      </c>
      <c r="G974" s="2" t="str">
        <f>TEXT(Table1[[#This Row],[PurchaseDate]],"MMM")</f>
        <v>Oct</v>
      </c>
      <c r="H974">
        <v>5</v>
      </c>
      <c r="I974">
        <v>389.98</v>
      </c>
      <c r="J974" t="s">
        <v>1870</v>
      </c>
      <c r="K974" t="s">
        <v>38</v>
      </c>
      <c r="L974" t="s">
        <v>27</v>
      </c>
      <c r="M974">
        <v>3</v>
      </c>
      <c r="N974">
        <v>1949.9</v>
      </c>
    </row>
    <row r="975" spans="1:14" x14ac:dyDescent="0.3">
      <c r="A975" t="s">
        <v>1553</v>
      </c>
      <c r="B975" t="s">
        <v>11</v>
      </c>
      <c r="C975" s="1">
        <v>45739</v>
      </c>
      <c r="D975" s="2">
        <f>YEAR(Table1[[#This Row],[PurchaseDate]])</f>
        <v>2025</v>
      </c>
      <c r="E975" s="2" t="str">
        <f>"Q"&amp;ROUNDUP(MONTH(Table1[[#This Row],[PurchaseDate]])/3,0)</f>
        <v>Q1</v>
      </c>
      <c r="F975" s="2">
        <f>MONTH(Table1[[#This Row],[PurchaseDate]])</f>
        <v>3</v>
      </c>
      <c r="G975" s="2" t="str">
        <f>TEXT(Table1[[#This Row],[PurchaseDate]],"MMM")</f>
        <v>Mar</v>
      </c>
      <c r="H975">
        <v>4</v>
      </c>
      <c r="I975">
        <v>184.5</v>
      </c>
      <c r="J975" t="s">
        <v>1554</v>
      </c>
      <c r="K975" t="s">
        <v>38</v>
      </c>
      <c r="L975" t="s">
        <v>58</v>
      </c>
      <c r="M975">
        <v>3</v>
      </c>
      <c r="N975">
        <v>738</v>
      </c>
    </row>
    <row r="976" spans="1:14" x14ac:dyDescent="0.3">
      <c r="A976" t="s">
        <v>1871</v>
      </c>
      <c r="B976" t="s">
        <v>25</v>
      </c>
      <c r="C976" s="1">
        <v>45365</v>
      </c>
      <c r="D976" s="2">
        <f>YEAR(Table1[[#This Row],[PurchaseDate]])</f>
        <v>2024</v>
      </c>
      <c r="E976" s="2" t="str">
        <f>"Q"&amp;ROUNDUP(MONTH(Table1[[#This Row],[PurchaseDate]])/3,0)</f>
        <v>Q1</v>
      </c>
      <c r="F976" s="2">
        <f>MONTH(Table1[[#This Row],[PurchaseDate]])</f>
        <v>3</v>
      </c>
      <c r="G976" s="2" t="str">
        <f>TEXT(Table1[[#This Row],[PurchaseDate]],"MMM")</f>
        <v>Mar</v>
      </c>
      <c r="H976">
        <v>7</v>
      </c>
      <c r="I976">
        <v>303.18</v>
      </c>
      <c r="J976" t="s">
        <v>1872</v>
      </c>
      <c r="K976" t="s">
        <v>13</v>
      </c>
      <c r="L976" t="s">
        <v>14</v>
      </c>
      <c r="M976">
        <v>2</v>
      </c>
      <c r="N976">
        <v>2122.2600000000002</v>
      </c>
    </row>
    <row r="977" spans="1:14" x14ac:dyDescent="0.3">
      <c r="A977" t="s">
        <v>1873</v>
      </c>
      <c r="B977" t="s">
        <v>34</v>
      </c>
      <c r="C977" s="1">
        <v>45239</v>
      </c>
      <c r="D977" s="2">
        <f>YEAR(Table1[[#This Row],[PurchaseDate]])</f>
        <v>2023</v>
      </c>
      <c r="E977" s="2" t="str">
        <f>"Q"&amp;ROUNDUP(MONTH(Table1[[#This Row],[PurchaseDate]])/3,0)</f>
        <v>Q4</v>
      </c>
      <c r="F977" s="2">
        <f>MONTH(Table1[[#This Row],[PurchaseDate]])</f>
        <v>11</v>
      </c>
      <c r="G977" s="2" t="str">
        <f>TEXT(Table1[[#This Row],[PurchaseDate]],"MMM")</f>
        <v>Nov</v>
      </c>
      <c r="H977">
        <v>2</v>
      </c>
      <c r="I977">
        <v>84.22</v>
      </c>
      <c r="J977" t="s">
        <v>1874</v>
      </c>
      <c r="K977" t="s">
        <v>38</v>
      </c>
      <c r="L977" t="s">
        <v>19</v>
      </c>
      <c r="M977">
        <v>4</v>
      </c>
      <c r="N977">
        <v>168.44</v>
      </c>
    </row>
    <row r="978" spans="1:14" x14ac:dyDescent="0.3">
      <c r="A978" t="s">
        <v>1875</v>
      </c>
      <c r="B978" t="s">
        <v>42</v>
      </c>
      <c r="C978" s="1">
        <v>45525</v>
      </c>
      <c r="D978" s="2">
        <f>YEAR(Table1[[#This Row],[PurchaseDate]])</f>
        <v>2024</v>
      </c>
      <c r="E978" s="2" t="str">
        <f>"Q"&amp;ROUNDUP(MONTH(Table1[[#This Row],[PurchaseDate]])/3,0)</f>
        <v>Q3</v>
      </c>
      <c r="F978" s="2">
        <f>MONTH(Table1[[#This Row],[PurchaseDate]])</f>
        <v>8</v>
      </c>
      <c r="G978" s="2" t="str">
        <f>TEXT(Table1[[#This Row],[PurchaseDate]],"MMM")</f>
        <v>Aug</v>
      </c>
      <c r="H978">
        <v>8</v>
      </c>
      <c r="I978">
        <v>665.91</v>
      </c>
      <c r="J978" t="s">
        <v>1876</v>
      </c>
      <c r="K978" t="s">
        <v>38</v>
      </c>
      <c r="L978" t="s">
        <v>19</v>
      </c>
      <c r="M978">
        <v>4</v>
      </c>
      <c r="N978">
        <v>5327.28</v>
      </c>
    </row>
    <row r="979" spans="1:14" x14ac:dyDescent="0.3">
      <c r="A979" t="s">
        <v>1877</v>
      </c>
      <c r="B979" t="s">
        <v>21</v>
      </c>
      <c r="C979" s="1">
        <v>45316</v>
      </c>
      <c r="D979" s="2">
        <f>YEAR(Table1[[#This Row],[PurchaseDate]])</f>
        <v>2024</v>
      </c>
      <c r="E979" s="2" t="str">
        <f>"Q"&amp;ROUNDUP(MONTH(Table1[[#This Row],[PurchaseDate]])/3,0)</f>
        <v>Q1</v>
      </c>
      <c r="F979" s="2">
        <f>MONTH(Table1[[#This Row],[PurchaseDate]])</f>
        <v>1</v>
      </c>
      <c r="G979" s="2" t="str">
        <f>TEXT(Table1[[#This Row],[PurchaseDate]],"MMM")</f>
        <v>Jan</v>
      </c>
      <c r="H979">
        <v>8</v>
      </c>
      <c r="I979">
        <v>326.48</v>
      </c>
      <c r="J979" t="s">
        <v>1878</v>
      </c>
      <c r="K979" t="s">
        <v>38</v>
      </c>
      <c r="L979" t="s">
        <v>23</v>
      </c>
      <c r="M979">
        <v>5</v>
      </c>
      <c r="N979">
        <v>2611.84</v>
      </c>
    </row>
    <row r="980" spans="1:14" x14ac:dyDescent="0.3">
      <c r="A980" t="s">
        <v>1879</v>
      </c>
      <c r="B980" t="s">
        <v>16</v>
      </c>
      <c r="C980" s="1">
        <v>45703</v>
      </c>
      <c r="D980" s="2">
        <f>YEAR(Table1[[#This Row],[PurchaseDate]])</f>
        <v>2025</v>
      </c>
      <c r="E980" s="2" t="str">
        <f>"Q"&amp;ROUNDUP(MONTH(Table1[[#This Row],[PurchaseDate]])/3,0)</f>
        <v>Q1</v>
      </c>
      <c r="F980" s="2">
        <f>MONTH(Table1[[#This Row],[PurchaseDate]])</f>
        <v>2</v>
      </c>
      <c r="G980" s="2" t="str">
        <f>TEXT(Table1[[#This Row],[PurchaseDate]],"MMM")</f>
        <v>Feb</v>
      </c>
      <c r="H980">
        <v>6</v>
      </c>
      <c r="I980">
        <v>342</v>
      </c>
      <c r="J980" t="s">
        <v>1880</v>
      </c>
      <c r="K980" t="s">
        <v>18</v>
      </c>
      <c r="L980" t="s">
        <v>14</v>
      </c>
      <c r="M980">
        <v>5</v>
      </c>
      <c r="N980">
        <v>2052</v>
      </c>
    </row>
    <row r="981" spans="1:14" x14ac:dyDescent="0.3">
      <c r="A981" t="s">
        <v>1881</v>
      </c>
      <c r="B981" t="s">
        <v>25</v>
      </c>
      <c r="C981" s="1">
        <v>45315</v>
      </c>
      <c r="D981" s="2">
        <f>YEAR(Table1[[#This Row],[PurchaseDate]])</f>
        <v>2024</v>
      </c>
      <c r="E981" s="2" t="str">
        <f>"Q"&amp;ROUNDUP(MONTH(Table1[[#This Row],[PurchaseDate]])/3,0)</f>
        <v>Q1</v>
      </c>
      <c r="F981" s="2">
        <f>MONTH(Table1[[#This Row],[PurchaseDate]])</f>
        <v>1</v>
      </c>
      <c r="G981" s="2" t="str">
        <f>TEXT(Table1[[#This Row],[PurchaseDate]],"MMM")</f>
        <v>Jan</v>
      </c>
      <c r="H981">
        <v>6</v>
      </c>
      <c r="I981">
        <v>183.17</v>
      </c>
      <c r="J981" t="s">
        <v>1882</v>
      </c>
      <c r="K981" t="s">
        <v>38</v>
      </c>
      <c r="L981" t="s">
        <v>23</v>
      </c>
      <c r="M981">
        <v>3</v>
      </c>
      <c r="N981">
        <v>1099.02</v>
      </c>
    </row>
    <row r="982" spans="1:14" x14ac:dyDescent="0.3">
      <c r="A982" t="s">
        <v>1883</v>
      </c>
      <c r="B982" t="s">
        <v>42</v>
      </c>
      <c r="C982" s="1">
        <v>44979</v>
      </c>
      <c r="D982" s="2">
        <f>YEAR(Table1[[#This Row],[PurchaseDate]])</f>
        <v>2023</v>
      </c>
      <c r="E982" s="2" t="str">
        <f>"Q"&amp;ROUNDUP(MONTH(Table1[[#This Row],[PurchaseDate]])/3,0)</f>
        <v>Q1</v>
      </c>
      <c r="F982" s="2">
        <f>MONTH(Table1[[#This Row],[PurchaseDate]])</f>
        <v>2</v>
      </c>
      <c r="G982" s="2" t="str">
        <f>TEXT(Table1[[#This Row],[PurchaseDate]],"MMM")</f>
        <v>Feb</v>
      </c>
      <c r="H982">
        <v>3</v>
      </c>
      <c r="I982">
        <v>177.94</v>
      </c>
      <c r="J982" t="s">
        <v>1884</v>
      </c>
      <c r="K982" t="s">
        <v>38</v>
      </c>
      <c r="L982" t="s">
        <v>23</v>
      </c>
      <c r="M982">
        <v>3</v>
      </c>
      <c r="N982">
        <v>533.82000000000005</v>
      </c>
    </row>
    <row r="983" spans="1:14" x14ac:dyDescent="0.3">
      <c r="A983" t="s">
        <v>1885</v>
      </c>
      <c r="B983" t="s">
        <v>21</v>
      </c>
      <c r="C983" s="1">
        <v>45414</v>
      </c>
      <c r="D983" s="2">
        <f>YEAR(Table1[[#This Row],[PurchaseDate]])</f>
        <v>2024</v>
      </c>
      <c r="E983" s="2" t="str">
        <f>"Q"&amp;ROUNDUP(MONTH(Table1[[#This Row],[PurchaseDate]])/3,0)</f>
        <v>Q2</v>
      </c>
      <c r="F983" s="2">
        <f>MONTH(Table1[[#This Row],[PurchaseDate]])</f>
        <v>5</v>
      </c>
      <c r="G983" s="2" t="str">
        <f>TEXT(Table1[[#This Row],[PurchaseDate]],"MMM")</f>
        <v>May</v>
      </c>
      <c r="H983">
        <v>5</v>
      </c>
      <c r="I983">
        <v>775.79</v>
      </c>
      <c r="J983" t="s">
        <v>1886</v>
      </c>
      <c r="K983" t="s">
        <v>13</v>
      </c>
      <c r="L983" t="s">
        <v>58</v>
      </c>
      <c r="M983">
        <v>4</v>
      </c>
      <c r="N983">
        <v>3878.95</v>
      </c>
    </row>
    <row r="984" spans="1:14" x14ac:dyDescent="0.3">
      <c r="A984" t="s">
        <v>1887</v>
      </c>
      <c r="B984" t="s">
        <v>34</v>
      </c>
      <c r="C984" s="1">
        <v>45471</v>
      </c>
      <c r="D984" s="2">
        <f>YEAR(Table1[[#This Row],[PurchaseDate]])</f>
        <v>2024</v>
      </c>
      <c r="E984" s="2" t="str">
        <f>"Q"&amp;ROUNDUP(MONTH(Table1[[#This Row],[PurchaseDate]])/3,0)</f>
        <v>Q2</v>
      </c>
      <c r="F984" s="2">
        <f>MONTH(Table1[[#This Row],[PurchaseDate]])</f>
        <v>6</v>
      </c>
      <c r="G984" s="2" t="str">
        <f>TEXT(Table1[[#This Row],[PurchaseDate]],"MMM")</f>
        <v>Jun</v>
      </c>
      <c r="H984">
        <v>6</v>
      </c>
      <c r="I984">
        <v>505.37</v>
      </c>
      <c r="J984" t="s">
        <v>1888</v>
      </c>
      <c r="K984" t="s">
        <v>18</v>
      </c>
      <c r="L984" t="s">
        <v>19</v>
      </c>
      <c r="M984">
        <v>2</v>
      </c>
      <c r="N984">
        <v>3032.22</v>
      </c>
    </row>
    <row r="985" spans="1:14" x14ac:dyDescent="0.3">
      <c r="A985" t="s">
        <v>1889</v>
      </c>
      <c r="B985" t="s">
        <v>42</v>
      </c>
      <c r="C985" s="1">
        <v>45205</v>
      </c>
      <c r="D985" s="2">
        <f>YEAR(Table1[[#This Row],[PurchaseDate]])</f>
        <v>2023</v>
      </c>
      <c r="E985" s="2" t="str">
        <f>"Q"&amp;ROUNDUP(MONTH(Table1[[#This Row],[PurchaseDate]])/3,0)</f>
        <v>Q4</v>
      </c>
      <c r="F985" s="2">
        <f>MONTH(Table1[[#This Row],[PurchaseDate]])</f>
        <v>10</v>
      </c>
      <c r="G985" s="2" t="str">
        <f>TEXT(Table1[[#This Row],[PurchaseDate]],"MMM")</f>
        <v>Oct</v>
      </c>
      <c r="H985">
        <v>2</v>
      </c>
      <c r="I985">
        <v>317.70999999999998</v>
      </c>
      <c r="J985" t="s">
        <v>1890</v>
      </c>
      <c r="K985" t="s">
        <v>13</v>
      </c>
      <c r="L985" t="s">
        <v>27</v>
      </c>
      <c r="M985">
        <v>5</v>
      </c>
      <c r="N985">
        <v>635.41999999999996</v>
      </c>
    </row>
    <row r="986" spans="1:14" x14ac:dyDescent="0.3">
      <c r="A986" t="s">
        <v>1891</v>
      </c>
      <c r="B986" t="s">
        <v>11</v>
      </c>
      <c r="C986" s="1">
        <v>45359</v>
      </c>
      <c r="D986" s="2">
        <f>YEAR(Table1[[#This Row],[PurchaseDate]])</f>
        <v>2024</v>
      </c>
      <c r="E986" s="2" t="str">
        <f>"Q"&amp;ROUNDUP(MONTH(Table1[[#This Row],[PurchaseDate]])/3,0)</f>
        <v>Q1</v>
      </c>
      <c r="F986" s="2">
        <f>MONTH(Table1[[#This Row],[PurchaseDate]])</f>
        <v>3</v>
      </c>
      <c r="G986" s="2" t="str">
        <f>TEXT(Table1[[#This Row],[PurchaseDate]],"MMM")</f>
        <v>Mar</v>
      </c>
      <c r="H986">
        <v>7</v>
      </c>
      <c r="I986">
        <v>688.23</v>
      </c>
      <c r="J986" t="s">
        <v>1892</v>
      </c>
      <c r="K986" t="s">
        <v>18</v>
      </c>
      <c r="L986" t="s">
        <v>14</v>
      </c>
      <c r="M986">
        <v>5</v>
      </c>
      <c r="N986">
        <v>4817.6099999999997</v>
      </c>
    </row>
    <row r="987" spans="1:14" x14ac:dyDescent="0.3">
      <c r="A987" t="s">
        <v>1893</v>
      </c>
      <c r="B987" t="s">
        <v>29</v>
      </c>
      <c r="C987" s="1">
        <v>45667</v>
      </c>
      <c r="D987" s="2">
        <f>YEAR(Table1[[#This Row],[PurchaseDate]])</f>
        <v>2025</v>
      </c>
      <c r="E987" s="2" t="str">
        <f>"Q"&amp;ROUNDUP(MONTH(Table1[[#This Row],[PurchaseDate]])/3,0)</f>
        <v>Q1</v>
      </c>
      <c r="F987" s="2">
        <f>MONTH(Table1[[#This Row],[PurchaseDate]])</f>
        <v>1</v>
      </c>
      <c r="G987" s="2" t="str">
        <f>TEXT(Table1[[#This Row],[PurchaseDate]],"MMM")</f>
        <v>Jan</v>
      </c>
      <c r="H987">
        <v>7</v>
      </c>
      <c r="I987">
        <v>766.99</v>
      </c>
      <c r="J987" t="s">
        <v>1894</v>
      </c>
      <c r="K987" t="s">
        <v>13</v>
      </c>
      <c r="L987" t="s">
        <v>23</v>
      </c>
      <c r="M987">
        <v>4</v>
      </c>
      <c r="N987">
        <v>5368.93</v>
      </c>
    </row>
    <row r="988" spans="1:14" x14ac:dyDescent="0.3">
      <c r="A988" t="s">
        <v>1895</v>
      </c>
      <c r="B988" t="s">
        <v>21</v>
      </c>
      <c r="C988" s="1">
        <v>45651</v>
      </c>
      <c r="D988" s="2">
        <f>YEAR(Table1[[#This Row],[PurchaseDate]])</f>
        <v>2024</v>
      </c>
      <c r="E988" s="2" t="str">
        <f>"Q"&amp;ROUNDUP(MONTH(Table1[[#This Row],[PurchaseDate]])/3,0)</f>
        <v>Q4</v>
      </c>
      <c r="F988" s="2">
        <f>MONTH(Table1[[#This Row],[PurchaseDate]])</f>
        <v>12</v>
      </c>
      <c r="G988" s="2" t="str">
        <f>TEXT(Table1[[#This Row],[PurchaseDate]],"MMM")</f>
        <v>Dec</v>
      </c>
      <c r="H988">
        <v>6</v>
      </c>
      <c r="I988">
        <v>407.58</v>
      </c>
      <c r="J988" t="s">
        <v>1896</v>
      </c>
      <c r="K988" t="s">
        <v>18</v>
      </c>
      <c r="L988" t="s">
        <v>14</v>
      </c>
      <c r="M988">
        <v>4</v>
      </c>
      <c r="N988">
        <v>2445.48</v>
      </c>
    </row>
    <row r="989" spans="1:14" x14ac:dyDescent="0.3">
      <c r="A989" t="s">
        <v>1897</v>
      </c>
      <c r="B989" t="s">
        <v>25</v>
      </c>
      <c r="C989" s="1">
        <v>45363</v>
      </c>
      <c r="D989" s="2">
        <f>YEAR(Table1[[#This Row],[PurchaseDate]])</f>
        <v>2024</v>
      </c>
      <c r="E989" s="2" t="str">
        <f>"Q"&amp;ROUNDUP(MONTH(Table1[[#This Row],[PurchaseDate]])/3,0)</f>
        <v>Q1</v>
      </c>
      <c r="F989" s="2">
        <f>MONTH(Table1[[#This Row],[PurchaseDate]])</f>
        <v>3</v>
      </c>
      <c r="G989" s="2" t="str">
        <f>TEXT(Table1[[#This Row],[PurchaseDate]],"MMM")</f>
        <v>Mar</v>
      </c>
      <c r="H989">
        <v>3</v>
      </c>
      <c r="I989">
        <v>429.9</v>
      </c>
      <c r="J989" t="s">
        <v>1898</v>
      </c>
      <c r="K989" t="s">
        <v>18</v>
      </c>
      <c r="L989" t="s">
        <v>27</v>
      </c>
      <c r="M989">
        <v>5</v>
      </c>
      <c r="N989">
        <v>1289.7</v>
      </c>
    </row>
    <row r="990" spans="1:14" x14ac:dyDescent="0.3">
      <c r="A990" t="s">
        <v>1899</v>
      </c>
      <c r="B990" t="s">
        <v>29</v>
      </c>
      <c r="C990" s="1">
        <v>45277</v>
      </c>
      <c r="D990" s="2">
        <f>YEAR(Table1[[#This Row],[PurchaseDate]])</f>
        <v>2023</v>
      </c>
      <c r="E990" s="2" t="str">
        <f>"Q"&amp;ROUNDUP(MONTH(Table1[[#This Row],[PurchaseDate]])/3,0)</f>
        <v>Q4</v>
      </c>
      <c r="F990" s="2">
        <f>MONTH(Table1[[#This Row],[PurchaseDate]])</f>
        <v>12</v>
      </c>
      <c r="G990" s="2" t="str">
        <f>TEXT(Table1[[#This Row],[PurchaseDate]],"MMM")</f>
        <v>Dec</v>
      </c>
      <c r="H990">
        <v>8</v>
      </c>
      <c r="I990">
        <v>600.54999999999995</v>
      </c>
      <c r="J990" t="s">
        <v>1900</v>
      </c>
      <c r="K990" t="s">
        <v>18</v>
      </c>
      <c r="L990" t="s">
        <v>14</v>
      </c>
      <c r="M990">
        <v>4</v>
      </c>
      <c r="N990">
        <v>4804.3999999999996</v>
      </c>
    </row>
    <row r="991" spans="1:14" x14ac:dyDescent="0.3">
      <c r="A991" t="s">
        <v>1901</v>
      </c>
      <c r="B991" t="s">
        <v>11</v>
      </c>
      <c r="C991" s="1">
        <v>45072</v>
      </c>
      <c r="D991" s="2">
        <f>YEAR(Table1[[#This Row],[PurchaseDate]])</f>
        <v>2023</v>
      </c>
      <c r="E991" s="2" t="str">
        <f>"Q"&amp;ROUNDUP(MONTH(Table1[[#This Row],[PurchaseDate]])/3,0)</f>
        <v>Q2</v>
      </c>
      <c r="F991" s="2">
        <f>MONTH(Table1[[#This Row],[PurchaseDate]])</f>
        <v>5</v>
      </c>
      <c r="G991" s="2" t="str">
        <f>TEXT(Table1[[#This Row],[PurchaseDate]],"MMM")</f>
        <v>May</v>
      </c>
      <c r="H991">
        <v>5</v>
      </c>
      <c r="I991">
        <v>254.14</v>
      </c>
      <c r="J991" t="s">
        <v>1902</v>
      </c>
      <c r="K991" t="s">
        <v>18</v>
      </c>
      <c r="L991" t="s">
        <v>23</v>
      </c>
      <c r="M991">
        <v>3</v>
      </c>
      <c r="N991">
        <v>1270.7</v>
      </c>
    </row>
    <row r="992" spans="1:14" x14ac:dyDescent="0.3">
      <c r="A992" t="s">
        <v>1903</v>
      </c>
      <c r="B992" t="s">
        <v>29</v>
      </c>
      <c r="C992" s="1">
        <v>45262</v>
      </c>
      <c r="D992" s="2">
        <f>YEAR(Table1[[#This Row],[PurchaseDate]])</f>
        <v>2023</v>
      </c>
      <c r="E992" s="2" t="str">
        <f>"Q"&amp;ROUNDUP(MONTH(Table1[[#This Row],[PurchaseDate]])/3,0)</f>
        <v>Q4</v>
      </c>
      <c r="F992" s="2">
        <f>MONTH(Table1[[#This Row],[PurchaseDate]])</f>
        <v>12</v>
      </c>
      <c r="G992" s="2" t="str">
        <f>TEXT(Table1[[#This Row],[PurchaseDate]],"MMM")</f>
        <v>Dec</v>
      </c>
      <c r="H992">
        <v>7</v>
      </c>
      <c r="I992">
        <v>523.87</v>
      </c>
      <c r="J992" t="s">
        <v>1904</v>
      </c>
      <c r="K992" t="s">
        <v>38</v>
      </c>
      <c r="L992" t="s">
        <v>19</v>
      </c>
      <c r="M992">
        <v>5</v>
      </c>
      <c r="N992">
        <v>3667.09</v>
      </c>
    </row>
    <row r="993" spans="1:14" x14ac:dyDescent="0.3">
      <c r="A993" t="s">
        <v>1905</v>
      </c>
      <c r="B993" t="s">
        <v>21</v>
      </c>
      <c r="C993" s="1">
        <v>44988</v>
      </c>
      <c r="D993" s="2">
        <f>YEAR(Table1[[#This Row],[PurchaseDate]])</f>
        <v>2023</v>
      </c>
      <c r="E993" s="2" t="str">
        <f>"Q"&amp;ROUNDUP(MONTH(Table1[[#This Row],[PurchaseDate]])/3,0)</f>
        <v>Q1</v>
      </c>
      <c r="F993" s="2">
        <f>MONTH(Table1[[#This Row],[PurchaseDate]])</f>
        <v>3</v>
      </c>
      <c r="G993" s="2" t="str">
        <f>TEXT(Table1[[#This Row],[PurchaseDate]],"MMM")</f>
        <v>Mar</v>
      </c>
      <c r="H993">
        <v>5</v>
      </c>
      <c r="I993">
        <v>317.99</v>
      </c>
      <c r="J993" t="s">
        <v>1906</v>
      </c>
      <c r="K993" t="s">
        <v>18</v>
      </c>
      <c r="L993" t="s">
        <v>27</v>
      </c>
      <c r="M993">
        <v>4</v>
      </c>
      <c r="N993">
        <v>1589.95</v>
      </c>
    </row>
    <row r="994" spans="1:14" x14ac:dyDescent="0.3">
      <c r="A994" t="s">
        <v>1907</v>
      </c>
      <c r="B994" t="s">
        <v>11</v>
      </c>
      <c r="C994" s="1">
        <v>45656</v>
      </c>
      <c r="D994" s="2">
        <f>YEAR(Table1[[#This Row],[PurchaseDate]])</f>
        <v>2024</v>
      </c>
      <c r="E994" s="2" t="str">
        <f>"Q"&amp;ROUNDUP(MONTH(Table1[[#This Row],[PurchaseDate]])/3,0)</f>
        <v>Q4</v>
      </c>
      <c r="F994" s="2">
        <f>MONTH(Table1[[#This Row],[PurchaseDate]])</f>
        <v>12</v>
      </c>
      <c r="G994" s="2" t="str">
        <f>TEXT(Table1[[#This Row],[PurchaseDate]],"MMM")</f>
        <v>Dec</v>
      </c>
      <c r="H994">
        <v>5</v>
      </c>
      <c r="I994">
        <v>11.95</v>
      </c>
      <c r="J994" t="s">
        <v>1908</v>
      </c>
      <c r="K994" t="s">
        <v>18</v>
      </c>
      <c r="L994" t="s">
        <v>14</v>
      </c>
      <c r="M994">
        <v>5</v>
      </c>
      <c r="N994">
        <v>59.75</v>
      </c>
    </row>
    <row r="995" spans="1:14" x14ac:dyDescent="0.3">
      <c r="A995" t="s">
        <v>1909</v>
      </c>
      <c r="B995" t="s">
        <v>11</v>
      </c>
      <c r="C995" s="1">
        <v>45570</v>
      </c>
      <c r="D995" s="2">
        <f>YEAR(Table1[[#This Row],[PurchaseDate]])</f>
        <v>2024</v>
      </c>
      <c r="E995" s="2" t="str">
        <f>"Q"&amp;ROUNDUP(MONTH(Table1[[#This Row],[PurchaseDate]])/3,0)</f>
        <v>Q4</v>
      </c>
      <c r="F995" s="2">
        <f>MONTH(Table1[[#This Row],[PurchaseDate]])</f>
        <v>10</v>
      </c>
      <c r="G995" s="2" t="str">
        <f>TEXT(Table1[[#This Row],[PurchaseDate]],"MMM")</f>
        <v>Oct</v>
      </c>
      <c r="H995">
        <v>7</v>
      </c>
      <c r="I995">
        <v>192.85</v>
      </c>
      <c r="J995" t="s">
        <v>1910</v>
      </c>
      <c r="K995" t="s">
        <v>38</v>
      </c>
      <c r="L995" t="s">
        <v>19</v>
      </c>
      <c r="M995">
        <v>1</v>
      </c>
      <c r="N995">
        <v>1349.95</v>
      </c>
    </row>
    <row r="996" spans="1:14" x14ac:dyDescent="0.3">
      <c r="A996" t="s">
        <v>1911</v>
      </c>
      <c r="B996" t="s">
        <v>34</v>
      </c>
      <c r="C996" s="1">
        <v>45535</v>
      </c>
      <c r="D996" s="2">
        <f>YEAR(Table1[[#This Row],[PurchaseDate]])</f>
        <v>2024</v>
      </c>
      <c r="E996" s="2" t="str">
        <f>"Q"&amp;ROUNDUP(MONTH(Table1[[#This Row],[PurchaseDate]])/3,0)</f>
        <v>Q3</v>
      </c>
      <c r="F996" s="2">
        <f>MONTH(Table1[[#This Row],[PurchaseDate]])</f>
        <v>8</v>
      </c>
      <c r="G996" s="2" t="str">
        <f>TEXT(Table1[[#This Row],[PurchaseDate]],"MMM")</f>
        <v>Aug</v>
      </c>
      <c r="H996">
        <v>5</v>
      </c>
      <c r="I996">
        <v>136.72999999999999</v>
      </c>
      <c r="J996" t="s">
        <v>1912</v>
      </c>
      <c r="K996" t="s">
        <v>13</v>
      </c>
      <c r="L996" t="s">
        <v>23</v>
      </c>
      <c r="M996">
        <v>4</v>
      </c>
      <c r="N996">
        <v>683.65</v>
      </c>
    </row>
    <row r="997" spans="1:14" x14ac:dyDescent="0.3">
      <c r="A997" t="s">
        <v>1913</v>
      </c>
      <c r="B997" t="s">
        <v>11</v>
      </c>
      <c r="C997" s="1">
        <v>45753</v>
      </c>
      <c r="D997" s="2">
        <f>YEAR(Table1[[#This Row],[PurchaseDate]])</f>
        <v>2025</v>
      </c>
      <c r="E997" s="2" t="str">
        <f>"Q"&amp;ROUNDUP(MONTH(Table1[[#This Row],[PurchaseDate]])/3,0)</f>
        <v>Q2</v>
      </c>
      <c r="F997" s="2">
        <f>MONTH(Table1[[#This Row],[PurchaseDate]])</f>
        <v>4</v>
      </c>
      <c r="G997" s="2" t="str">
        <f>TEXT(Table1[[#This Row],[PurchaseDate]],"MMM")</f>
        <v>Apr</v>
      </c>
      <c r="H997">
        <v>4</v>
      </c>
      <c r="I997">
        <v>501.22</v>
      </c>
      <c r="J997" t="s">
        <v>1914</v>
      </c>
      <c r="K997" t="s">
        <v>38</v>
      </c>
      <c r="L997" t="s">
        <v>14</v>
      </c>
      <c r="M997">
        <v>4</v>
      </c>
      <c r="N997">
        <v>2004.88</v>
      </c>
    </row>
    <row r="998" spans="1:14" x14ac:dyDescent="0.3">
      <c r="A998" t="s">
        <v>1915</v>
      </c>
      <c r="B998" t="s">
        <v>42</v>
      </c>
      <c r="C998" s="1">
        <v>45528</v>
      </c>
      <c r="D998" s="2">
        <f>YEAR(Table1[[#This Row],[PurchaseDate]])</f>
        <v>2024</v>
      </c>
      <c r="E998" s="2" t="str">
        <f>"Q"&amp;ROUNDUP(MONTH(Table1[[#This Row],[PurchaseDate]])/3,0)</f>
        <v>Q3</v>
      </c>
      <c r="F998" s="2">
        <f>MONTH(Table1[[#This Row],[PurchaseDate]])</f>
        <v>8</v>
      </c>
      <c r="G998" s="2" t="str">
        <f>TEXT(Table1[[#This Row],[PurchaseDate]],"MMM")</f>
        <v>Aug</v>
      </c>
      <c r="H998">
        <v>6</v>
      </c>
      <c r="I998">
        <v>445.51</v>
      </c>
      <c r="J998" t="s">
        <v>1916</v>
      </c>
      <c r="K998" t="s">
        <v>13</v>
      </c>
      <c r="L998" t="s">
        <v>19</v>
      </c>
      <c r="M998">
        <v>2</v>
      </c>
      <c r="N998">
        <v>2673.06</v>
      </c>
    </row>
    <row r="999" spans="1:14" x14ac:dyDescent="0.3">
      <c r="A999" t="s">
        <v>1917</v>
      </c>
      <c r="B999" t="s">
        <v>34</v>
      </c>
      <c r="C999" s="1">
        <v>45344</v>
      </c>
      <c r="D999" s="2">
        <f>YEAR(Table1[[#This Row],[PurchaseDate]])</f>
        <v>2024</v>
      </c>
      <c r="E999" s="2" t="str">
        <f>"Q"&amp;ROUNDUP(MONTH(Table1[[#This Row],[PurchaseDate]])/3,0)</f>
        <v>Q1</v>
      </c>
      <c r="F999" s="2">
        <f>MONTH(Table1[[#This Row],[PurchaseDate]])</f>
        <v>2</v>
      </c>
      <c r="G999" s="2" t="str">
        <f>TEXT(Table1[[#This Row],[PurchaseDate]],"MMM")</f>
        <v>Feb</v>
      </c>
      <c r="H999">
        <v>6</v>
      </c>
      <c r="I999">
        <v>55.46</v>
      </c>
      <c r="J999" t="s">
        <v>1918</v>
      </c>
      <c r="K999" t="s">
        <v>13</v>
      </c>
      <c r="L999" t="s">
        <v>19</v>
      </c>
      <c r="M999">
        <v>3</v>
      </c>
      <c r="N999">
        <v>332.76</v>
      </c>
    </row>
    <row r="1000" spans="1:14" x14ac:dyDescent="0.3">
      <c r="A1000" t="s">
        <v>1539</v>
      </c>
      <c r="B1000" t="s">
        <v>11</v>
      </c>
      <c r="C1000" s="1">
        <v>45739</v>
      </c>
      <c r="D1000" s="2">
        <f>YEAR(Table1[[#This Row],[PurchaseDate]])</f>
        <v>2025</v>
      </c>
      <c r="E1000" s="2" t="str">
        <f>"Q"&amp;ROUNDUP(MONTH(Table1[[#This Row],[PurchaseDate]])/3,0)</f>
        <v>Q1</v>
      </c>
      <c r="F1000" s="2">
        <f>MONTH(Table1[[#This Row],[PurchaseDate]])</f>
        <v>3</v>
      </c>
      <c r="G1000" s="2" t="str">
        <f>TEXT(Table1[[#This Row],[PurchaseDate]],"MMM")</f>
        <v>Mar</v>
      </c>
      <c r="H1000">
        <v>1</v>
      </c>
      <c r="I1000">
        <v>592.98</v>
      </c>
      <c r="J1000" t="s">
        <v>1540</v>
      </c>
      <c r="K1000" t="s">
        <v>38</v>
      </c>
      <c r="L1000" t="s">
        <v>19</v>
      </c>
      <c r="M1000">
        <v>4</v>
      </c>
      <c r="N1000">
        <v>592.98</v>
      </c>
    </row>
    <row r="1001" spans="1:14" x14ac:dyDescent="0.3">
      <c r="A1001" t="s">
        <v>1919</v>
      </c>
      <c r="B1001" t="s">
        <v>21</v>
      </c>
      <c r="C1001" s="1">
        <v>45156</v>
      </c>
      <c r="D1001" s="2">
        <f>YEAR(Table1[[#This Row],[PurchaseDate]])</f>
        <v>2023</v>
      </c>
      <c r="E1001" s="2" t="str">
        <f>"Q"&amp;ROUNDUP(MONTH(Table1[[#This Row],[PurchaseDate]])/3,0)</f>
        <v>Q3</v>
      </c>
      <c r="F1001" s="2">
        <f>MONTH(Table1[[#This Row],[PurchaseDate]])</f>
        <v>8</v>
      </c>
      <c r="G1001" s="2" t="str">
        <f>TEXT(Table1[[#This Row],[PurchaseDate]],"MMM")</f>
        <v>Aug</v>
      </c>
      <c r="H1001">
        <v>7</v>
      </c>
      <c r="I1001">
        <v>591.5</v>
      </c>
      <c r="J1001" t="s">
        <v>1920</v>
      </c>
      <c r="K1001" t="s">
        <v>18</v>
      </c>
      <c r="L1001" t="s">
        <v>27</v>
      </c>
      <c r="M1001">
        <v>5</v>
      </c>
      <c r="N1001">
        <v>4140.5</v>
      </c>
    </row>
    <row r="1002" spans="1:14" x14ac:dyDescent="0.3">
      <c r="A1002" t="s">
        <v>1921</v>
      </c>
      <c r="B1002" t="s">
        <v>25</v>
      </c>
      <c r="C1002" s="1">
        <v>45739</v>
      </c>
      <c r="D1002" s="2">
        <f>YEAR(Table1[[#This Row],[PurchaseDate]])</f>
        <v>2025</v>
      </c>
      <c r="E1002" s="2" t="str">
        <f>"Q"&amp;ROUNDUP(MONTH(Table1[[#This Row],[PurchaseDate]])/3,0)</f>
        <v>Q1</v>
      </c>
      <c r="F1002" s="2">
        <f>MONTH(Table1[[#This Row],[PurchaseDate]])</f>
        <v>3</v>
      </c>
      <c r="G1002" s="2" t="str">
        <f>TEXT(Table1[[#This Row],[PurchaseDate]],"MMM")</f>
        <v>Mar</v>
      </c>
      <c r="H1002">
        <v>5</v>
      </c>
      <c r="I1002">
        <v>486.12</v>
      </c>
      <c r="J1002" t="s">
        <v>1922</v>
      </c>
      <c r="K1002" t="s">
        <v>18</v>
      </c>
      <c r="L1002" t="s">
        <v>23</v>
      </c>
      <c r="M1002">
        <v>5</v>
      </c>
      <c r="N1002">
        <v>2430.6</v>
      </c>
    </row>
    <row r="1003" spans="1:14" x14ac:dyDescent="0.3">
      <c r="A1003" t="s">
        <v>1923</v>
      </c>
      <c r="B1003" t="s">
        <v>42</v>
      </c>
      <c r="C1003" s="1">
        <v>45028</v>
      </c>
      <c r="D1003" s="2">
        <f>YEAR(Table1[[#This Row],[PurchaseDate]])</f>
        <v>2023</v>
      </c>
      <c r="E1003" s="2" t="str">
        <f>"Q"&amp;ROUNDUP(MONTH(Table1[[#This Row],[PurchaseDate]])/3,0)</f>
        <v>Q2</v>
      </c>
      <c r="F1003" s="2">
        <f>MONTH(Table1[[#This Row],[PurchaseDate]])</f>
        <v>4</v>
      </c>
      <c r="G1003" s="2" t="str">
        <f>TEXT(Table1[[#This Row],[PurchaseDate]],"MMM")</f>
        <v>Apr</v>
      </c>
      <c r="H1003">
        <v>7</v>
      </c>
      <c r="I1003">
        <v>617.02</v>
      </c>
      <c r="J1003" t="s">
        <v>1924</v>
      </c>
      <c r="K1003" t="s">
        <v>13</v>
      </c>
      <c r="L1003" t="s">
        <v>23</v>
      </c>
      <c r="M1003">
        <v>2</v>
      </c>
      <c r="N1003">
        <v>4319.1400000000003</v>
      </c>
    </row>
    <row r="1004" spans="1:14" x14ac:dyDescent="0.3">
      <c r="A1004" t="s">
        <v>1925</v>
      </c>
      <c r="B1004" t="s">
        <v>16</v>
      </c>
      <c r="C1004" s="1">
        <v>45554</v>
      </c>
      <c r="D1004" s="2">
        <f>YEAR(Table1[[#This Row],[PurchaseDate]])</f>
        <v>2024</v>
      </c>
      <c r="E1004" s="2" t="str">
        <f>"Q"&amp;ROUNDUP(MONTH(Table1[[#This Row],[PurchaseDate]])/3,0)</f>
        <v>Q3</v>
      </c>
      <c r="F1004" s="2">
        <f>MONTH(Table1[[#This Row],[PurchaseDate]])</f>
        <v>9</v>
      </c>
      <c r="G1004" s="2" t="str">
        <f>TEXT(Table1[[#This Row],[PurchaseDate]],"MMM")</f>
        <v>Sep</v>
      </c>
      <c r="H1004">
        <v>8</v>
      </c>
      <c r="I1004">
        <v>72.209999999999994</v>
      </c>
      <c r="J1004" t="s">
        <v>1926</v>
      </c>
      <c r="K1004" t="s">
        <v>18</v>
      </c>
      <c r="L1004" t="s">
        <v>19</v>
      </c>
      <c r="M1004">
        <v>4</v>
      </c>
      <c r="N1004">
        <v>577.67999999999995</v>
      </c>
    </row>
    <row r="1005" spans="1:14" x14ac:dyDescent="0.3">
      <c r="A1005" t="s">
        <v>1927</v>
      </c>
      <c r="B1005" t="s">
        <v>34</v>
      </c>
      <c r="C1005" s="1">
        <v>45546</v>
      </c>
      <c r="D1005" s="2">
        <f>YEAR(Table1[[#This Row],[PurchaseDate]])</f>
        <v>2024</v>
      </c>
      <c r="E1005" s="2" t="str">
        <f>"Q"&amp;ROUNDUP(MONTH(Table1[[#This Row],[PurchaseDate]])/3,0)</f>
        <v>Q3</v>
      </c>
      <c r="F1005" s="2">
        <f>MONTH(Table1[[#This Row],[PurchaseDate]])</f>
        <v>9</v>
      </c>
      <c r="G1005" s="2" t="str">
        <f>TEXT(Table1[[#This Row],[PurchaseDate]],"MMM")</f>
        <v>Sep</v>
      </c>
      <c r="H1005">
        <v>5</v>
      </c>
      <c r="I1005">
        <v>454.21</v>
      </c>
      <c r="J1005" t="s">
        <v>1928</v>
      </c>
      <c r="K1005" t="s">
        <v>18</v>
      </c>
      <c r="L1005" t="s">
        <v>23</v>
      </c>
      <c r="M1005">
        <v>1</v>
      </c>
      <c r="N1005">
        <v>2271.0500000000002</v>
      </c>
    </row>
    <row r="1006" spans="1:14" x14ac:dyDescent="0.3">
      <c r="A1006" t="s">
        <v>1929</v>
      </c>
      <c r="B1006" t="s">
        <v>34</v>
      </c>
      <c r="C1006" s="1">
        <v>45795</v>
      </c>
      <c r="D1006" s="2">
        <f>YEAR(Table1[[#This Row],[PurchaseDate]])</f>
        <v>2025</v>
      </c>
      <c r="E1006" s="2" t="str">
        <f>"Q"&amp;ROUNDUP(MONTH(Table1[[#This Row],[PurchaseDate]])/3,0)</f>
        <v>Q2</v>
      </c>
      <c r="F1006" s="2">
        <f>MONTH(Table1[[#This Row],[PurchaseDate]])</f>
        <v>5</v>
      </c>
      <c r="G1006" s="2" t="str">
        <f>TEXT(Table1[[#This Row],[PurchaseDate]],"MMM")</f>
        <v>May</v>
      </c>
      <c r="H1006">
        <v>4</v>
      </c>
      <c r="I1006">
        <v>69.53</v>
      </c>
      <c r="J1006" t="s">
        <v>1930</v>
      </c>
      <c r="K1006" t="s">
        <v>38</v>
      </c>
      <c r="L1006" t="s">
        <v>19</v>
      </c>
      <c r="M1006">
        <v>3</v>
      </c>
      <c r="N1006">
        <v>278.12</v>
      </c>
    </row>
    <row r="1007" spans="1:14" x14ac:dyDescent="0.3">
      <c r="A1007" t="s">
        <v>1931</v>
      </c>
      <c r="B1007" t="s">
        <v>21</v>
      </c>
      <c r="C1007" s="1">
        <v>45345</v>
      </c>
      <c r="D1007" s="2">
        <f>YEAR(Table1[[#This Row],[PurchaseDate]])</f>
        <v>2024</v>
      </c>
      <c r="E1007" s="2" t="str">
        <f>"Q"&amp;ROUNDUP(MONTH(Table1[[#This Row],[PurchaseDate]])/3,0)</f>
        <v>Q1</v>
      </c>
      <c r="F1007" s="2">
        <f>MONTH(Table1[[#This Row],[PurchaseDate]])</f>
        <v>2</v>
      </c>
      <c r="G1007" s="2" t="str">
        <f>TEXT(Table1[[#This Row],[PurchaseDate]],"MMM")</f>
        <v>Feb</v>
      </c>
      <c r="H1007">
        <v>7</v>
      </c>
      <c r="I1007">
        <v>608.99</v>
      </c>
      <c r="J1007" t="s">
        <v>1932</v>
      </c>
      <c r="K1007" t="s">
        <v>13</v>
      </c>
      <c r="L1007" t="s">
        <v>19</v>
      </c>
      <c r="M1007">
        <v>5</v>
      </c>
      <c r="N1007">
        <v>4262.93</v>
      </c>
    </row>
    <row r="1008" spans="1:14" x14ac:dyDescent="0.3">
      <c r="A1008" t="s">
        <v>1933</v>
      </c>
      <c r="B1008" t="s">
        <v>16</v>
      </c>
      <c r="C1008" s="1">
        <v>45042</v>
      </c>
      <c r="D1008" s="2">
        <f>YEAR(Table1[[#This Row],[PurchaseDate]])</f>
        <v>2023</v>
      </c>
      <c r="E1008" s="2" t="str">
        <f>"Q"&amp;ROUNDUP(MONTH(Table1[[#This Row],[PurchaseDate]])/3,0)</f>
        <v>Q2</v>
      </c>
      <c r="F1008" s="2">
        <f>MONTH(Table1[[#This Row],[PurchaseDate]])</f>
        <v>4</v>
      </c>
      <c r="G1008" s="2" t="str">
        <f>TEXT(Table1[[#This Row],[PurchaseDate]],"MMM")</f>
        <v>Apr</v>
      </c>
      <c r="H1008">
        <v>4</v>
      </c>
      <c r="I1008">
        <v>734.98</v>
      </c>
      <c r="J1008" t="s">
        <v>1934</v>
      </c>
      <c r="K1008" t="s">
        <v>13</v>
      </c>
      <c r="L1008" t="s">
        <v>27</v>
      </c>
      <c r="M1008">
        <v>3</v>
      </c>
      <c r="N1008">
        <v>2939.92</v>
      </c>
    </row>
    <row r="1009" spans="1:14" x14ac:dyDescent="0.3">
      <c r="A1009" t="s">
        <v>243</v>
      </c>
      <c r="B1009" t="s">
        <v>21</v>
      </c>
      <c r="C1009" s="1">
        <v>45546</v>
      </c>
      <c r="D1009" s="2">
        <f>YEAR(Table1[[#This Row],[PurchaseDate]])</f>
        <v>2024</v>
      </c>
      <c r="E1009" s="2" t="str">
        <f>"Q"&amp;ROUNDUP(MONTH(Table1[[#This Row],[PurchaseDate]])/3,0)</f>
        <v>Q3</v>
      </c>
      <c r="F1009" s="2">
        <f>MONTH(Table1[[#This Row],[PurchaseDate]])</f>
        <v>9</v>
      </c>
      <c r="G1009" s="2" t="str">
        <f>TEXT(Table1[[#This Row],[PurchaseDate]],"MMM")</f>
        <v>Sep</v>
      </c>
      <c r="H1009">
        <v>8</v>
      </c>
      <c r="I1009">
        <v>571.33000000000004</v>
      </c>
      <c r="J1009" t="s">
        <v>244</v>
      </c>
      <c r="K1009" t="s">
        <v>38</v>
      </c>
      <c r="L1009" t="s">
        <v>14</v>
      </c>
      <c r="M1009">
        <v>2</v>
      </c>
      <c r="N1009">
        <v>4570.6400000000003</v>
      </c>
    </row>
    <row r="1010" spans="1:14" x14ac:dyDescent="0.3">
      <c r="A1010" t="s">
        <v>1935</v>
      </c>
      <c r="B1010" t="s">
        <v>16</v>
      </c>
      <c r="C1010" s="1">
        <v>44977</v>
      </c>
      <c r="D1010" s="2">
        <f>YEAR(Table1[[#This Row],[PurchaseDate]])</f>
        <v>2023</v>
      </c>
      <c r="E1010" s="2" t="str">
        <f>"Q"&amp;ROUNDUP(MONTH(Table1[[#This Row],[PurchaseDate]])/3,0)</f>
        <v>Q1</v>
      </c>
      <c r="F1010" s="2">
        <f>MONTH(Table1[[#This Row],[PurchaseDate]])</f>
        <v>2</v>
      </c>
      <c r="G1010" s="2" t="str">
        <f>TEXT(Table1[[#This Row],[PurchaseDate]],"MMM")</f>
        <v>Feb</v>
      </c>
      <c r="H1010">
        <v>5</v>
      </c>
      <c r="I1010">
        <v>287.26</v>
      </c>
      <c r="J1010" t="s">
        <v>1936</v>
      </c>
      <c r="K1010" t="s">
        <v>18</v>
      </c>
      <c r="L1010" t="s">
        <v>27</v>
      </c>
      <c r="M1010">
        <v>1</v>
      </c>
      <c r="N1010">
        <v>1436.3</v>
      </c>
    </row>
    <row r="1011" spans="1:14" x14ac:dyDescent="0.3">
      <c r="A1011" t="s">
        <v>1937</v>
      </c>
      <c r="B1011" t="s">
        <v>34</v>
      </c>
      <c r="C1011" s="1">
        <v>45591</v>
      </c>
      <c r="D1011" s="2">
        <f>YEAR(Table1[[#This Row],[PurchaseDate]])</f>
        <v>2024</v>
      </c>
      <c r="E1011" s="2" t="str">
        <f>"Q"&amp;ROUNDUP(MONTH(Table1[[#This Row],[PurchaseDate]])/3,0)</f>
        <v>Q4</v>
      </c>
      <c r="F1011" s="2">
        <f>MONTH(Table1[[#This Row],[PurchaseDate]])</f>
        <v>10</v>
      </c>
      <c r="G1011" s="2" t="str">
        <f>TEXT(Table1[[#This Row],[PurchaseDate]],"MMM")</f>
        <v>Oct</v>
      </c>
      <c r="H1011">
        <v>2</v>
      </c>
      <c r="I1011">
        <v>271.44</v>
      </c>
      <c r="J1011" t="s">
        <v>1938</v>
      </c>
      <c r="K1011" t="s">
        <v>38</v>
      </c>
      <c r="L1011" t="s">
        <v>27</v>
      </c>
      <c r="M1011">
        <v>5</v>
      </c>
      <c r="N1011">
        <v>542.88</v>
      </c>
    </row>
    <row r="1012" spans="1:14" x14ac:dyDescent="0.3">
      <c r="A1012" t="s">
        <v>1939</v>
      </c>
      <c r="B1012" t="s">
        <v>25</v>
      </c>
      <c r="C1012" s="1">
        <v>45587</v>
      </c>
      <c r="D1012" s="2">
        <f>YEAR(Table1[[#This Row],[PurchaseDate]])</f>
        <v>2024</v>
      </c>
      <c r="E1012" s="2" t="str">
        <f>"Q"&amp;ROUNDUP(MONTH(Table1[[#This Row],[PurchaseDate]])/3,0)</f>
        <v>Q4</v>
      </c>
      <c r="F1012" s="2">
        <f>MONTH(Table1[[#This Row],[PurchaseDate]])</f>
        <v>10</v>
      </c>
      <c r="G1012" s="2" t="str">
        <f>TEXT(Table1[[#This Row],[PurchaseDate]],"MMM")</f>
        <v>Oct</v>
      </c>
      <c r="H1012">
        <v>4</v>
      </c>
      <c r="I1012">
        <v>669.05</v>
      </c>
      <c r="J1012" t="s">
        <v>1940</v>
      </c>
      <c r="K1012" t="s">
        <v>13</v>
      </c>
      <c r="L1012" t="s">
        <v>19</v>
      </c>
      <c r="M1012">
        <v>2</v>
      </c>
      <c r="N1012">
        <v>2676.2</v>
      </c>
    </row>
    <row r="1013" spans="1:14" x14ac:dyDescent="0.3">
      <c r="A1013" t="s">
        <v>1941</v>
      </c>
      <c r="B1013" t="s">
        <v>25</v>
      </c>
      <c r="C1013" s="1">
        <v>45181</v>
      </c>
      <c r="D1013" s="2">
        <f>YEAR(Table1[[#This Row],[PurchaseDate]])</f>
        <v>2023</v>
      </c>
      <c r="E1013" s="2" t="str">
        <f>"Q"&amp;ROUNDUP(MONTH(Table1[[#This Row],[PurchaseDate]])/3,0)</f>
        <v>Q3</v>
      </c>
      <c r="F1013" s="2">
        <f>MONTH(Table1[[#This Row],[PurchaseDate]])</f>
        <v>9</v>
      </c>
      <c r="G1013" s="2" t="str">
        <f>TEXT(Table1[[#This Row],[PurchaseDate]],"MMM")</f>
        <v>Sep</v>
      </c>
      <c r="H1013">
        <v>3</v>
      </c>
      <c r="I1013">
        <v>688.48</v>
      </c>
      <c r="J1013" t="s">
        <v>1942</v>
      </c>
      <c r="K1013" t="s">
        <v>38</v>
      </c>
      <c r="L1013" t="s">
        <v>23</v>
      </c>
      <c r="M1013">
        <v>1</v>
      </c>
      <c r="N1013">
        <v>2065.44</v>
      </c>
    </row>
    <row r="1014" spans="1:14" x14ac:dyDescent="0.3">
      <c r="A1014" t="s">
        <v>1943</v>
      </c>
      <c r="B1014" t="s">
        <v>42</v>
      </c>
      <c r="C1014" s="1">
        <v>45830</v>
      </c>
      <c r="D1014" s="2">
        <f>YEAR(Table1[[#This Row],[PurchaseDate]])</f>
        <v>2025</v>
      </c>
      <c r="E1014" s="2" t="str">
        <f>"Q"&amp;ROUNDUP(MONTH(Table1[[#This Row],[PurchaseDate]])/3,0)</f>
        <v>Q2</v>
      </c>
      <c r="F1014" s="2">
        <f>MONTH(Table1[[#This Row],[PurchaseDate]])</f>
        <v>6</v>
      </c>
      <c r="G1014" s="2" t="str">
        <f>TEXT(Table1[[#This Row],[PurchaseDate]],"MMM")</f>
        <v>Jun</v>
      </c>
      <c r="H1014">
        <v>8</v>
      </c>
      <c r="I1014">
        <v>300.64</v>
      </c>
      <c r="J1014" t="s">
        <v>1944</v>
      </c>
      <c r="K1014" t="s">
        <v>13</v>
      </c>
      <c r="L1014" t="s">
        <v>23</v>
      </c>
      <c r="M1014">
        <v>3</v>
      </c>
      <c r="N1014">
        <v>2405.12</v>
      </c>
    </row>
    <row r="1015" spans="1:14" x14ac:dyDescent="0.3">
      <c r="A1015" t="s">
        <v>1945</v>
      </c>
      <c r="B1015" t="s">
        <v>29</v>
      </c>
      <c r="C1015" s="1">
        <v>44964</v>
      </c>
      <c r="D1015" s="2">
        <f>YEAR(Table1[[#This Row],[PurchaseDate]])</f>
        <v>2023</v>
      </c>
      <c r="E1015" s="2" t="str">
        <f>"Q"&amp;ROUNDUP(MONTH(Table1[[#This Row],[PurchaseDate]])/3,0)</f>
        <v>Q1</v>
      </c>
      <c r="F1015" s="2">
        <f>MONTH(Table1[[#This Row],[PurchaseDate]])</f>
        <v>2</v>
      </c>
      <c r="G1015" s="2" t="str">
        <f>TEXT(Table1[[#This Row],[PurchaseDate]],"MMM")</f>
        <v>Feb</v>
      </c>
      <c r="H1015">
        <v>3</v>
      </c>
      <c r="I1015">
        <v>612.01</v>
      </c>
      <c r="J1015" t="s">
        <v>1946</v>
      </c>
      <c r="K1015" t="s">
        <v>13</v>
      </c>
      <c r="L1015" t="s">
        <v>58</v>
      </c>
      <c r="M1015">
        <v>3</v>
      </c>
      <c r="N1015">
        <v>1836.03</v>
      </c>
    </row>
    <row r="1016" spans="1:14" x14ac:dyDescent="0.3">
      <c r="A1016" t="s">
        <v>1947</v>
      </c>
      <c r="B1016" t="s">
        <v>21</v>
      </c>
      <c r="C1016" s="1">
        <v>44964</v>
      </c>
      <c r="D1016" s="2">
        <f>YEAR(Table1[[#This Row],[PurchaseDate]])</f>
        <v>2023</v>
      </c>
      <c r="E1016" s="2" t="str">
        <f>"Q"&amp;ROUNDUP(MONTH(Table1[[#This Row],[PurchaseDate]])/3,0)</f>
        <v>Q1</v>
      </c>
      <c r="F1016" s="2">
        <f>MONTH(Table1[[#This Row],[PurchaseDate]])</f>
        <v>2</v>
      </c>
      <c r="G1016" s="2" t="str">
        <f>TEXT(Table1[[#This Row],[PurchaseDate]],"MMM")</f>
        <v>Feb</v>
      </c>
      <c r="H1016">
        <v>2</v>
      </c>
      <c r="I1016">
        <v>454.61</v>
      </c>
      <c r="J1016" t="s">
        <v>1948</v>
      </c>
      <c r="K1016" t="s">
        <v>38</v>
      </c>
      <c r="L1016" t="s">
        <v>58</v>
      </c>
      <c r="M1016">
        <v>5</v>
      </c>
      <c r="N1016">
        <v>909.22</v>
      </c>
    </row>
    <row r="1017" spans="1:14" x14ac:dyDescent="0.3">
      <c r="A1017" t="s">
        <v>1949</v>
      </c>
      <c r="B1017" t="s">
        <v>11</v>
      </c>
      <c r="C1017" s="1">
        <v>45380</v>
      </c>
      <c r="D1017" s="2">
        <f>YEAR(Table1[[#This Row],[PurchaseDate]])</f>
        <v>2024</v>
      </c>
      <c r="E1017" s="2" t="str">
        <f>"Q"&amp;ROUNDUP(MONTH(Table1[[#This Row],[PurchaseDate]])/3,0)</f>
        <v>Q1</v>
      </c>
      <c r="F1017" s="2">
        <f>MONTH(Table1[[#This Row],[PurchaseDate]])</f>
        <v>3</v>
      </c>
      <c r="G1017" s="2" t="str">
        <f>TEXT(Table1[[#This Row],[PurchaseDate]],"MMM")</f>
        <v>Mar</v>
      </c>
      <c r="H1017">
        <v>6</v>
      </c>
      <c r="I1017">
        <v>8.31</v>
      </c>
      <c r="J1017" t="s">
        <v>1950</v>
      </c>
      <c r="K1017" t="s">
        <v>38</v>
      </c>
      <c r="L1017" t="s">
        <v>14</v>
      </c>
      <c r="M1017">
        <v>1</v>
      </c>
      <c r="N1017">
        <v>49.86</v>
      </c>
    </row>
    <row r="1018" spans="1:14" x14ac:dyDescent="0.3">
      <c r="A1018" t="s">
        <v>1951</v>
      </c>
      <c r="B1018" t="s">
        <v>16</v>
      </c>
      <c r="C1018" s="1">
        <v>45043</v>
      </c>
      <c r="D1018" s="2">
        <f>YEAR(Table1[[#This Row],[PurchaseDate]])</f>
        <v>2023</v>
      </c>
      <c r="E1018" s="2" t="str">
        <f>"Q"&amp;ROUNDUP(MONTH(Table1[[#This Row],[PurchaseDate]])/3,0)</f>
        <v>Q2</v>
      </c>
      <c r="F1018" s="2">
        <f>MONTH(Table1[[#This Row],[PurchaseDate]])</f>
        <v>4</v>
      </c>
      <c r="G1018" s="2" t="str">
        <f>TEXT(Table1[[#This Row],[PurchaseDate]],"MMM")</f>
        <v>Apr</v>
      </c>
      <c r="H1018">
        <v>3</v>
      </c>
      <c r="I1018">
        <v>275.94</v>
      </c>
      <c r="J1018" t="s">
        <v>1952</v>
      </c>
      <c r="K1018" t="s">
        <v>13</v>
      </c>
      <c r="L1018" t="s">
        <v>23</v>
      </c>
      <c r="M1018">
        <v>2</v>
      </c>
      <c r="N1018">
        <v>827.82</v>
      </c>
    </row>
    <row r="1019" spans="1:14" x14ac:dyDescent="0.3">
      <c r="A1019" t="s">
        <v>41</v>
      </c>
      <c r="B1019" t="s">
        <v>21</v>
      </c>
      <c r="C1019" s="1">
        <v>45410</v>
      </c>
      <c r="D1019" s="2">
        <f>YEAR(Table1[[#This Row],[PurchaseDate]])</f>
        <v>2024</v>
      </c>
      <c r="E1019" s="2" t="str">
        <f>"Q"&amp;ROUNDUP(MONTH(Table1[[#This Row],[PurchaseDate]])/3,0)</f>
        <v>Q2</v>
      </c>
      <c r="F1019" s="2">
        <f>MONTH(Table1[[#This Row],[PurchaseDate]])</f>
        <v>4</v>
      </c>
      <c r="G1019" s="2" t="str">
        <f>TEXT(Table1[[#This Row],[PurchaseDate]],"MMM")</f>
        <v>Apr</v>
      </c>
      <c r="H1019">
        <v>3</v>
      </c>
      <c r="I1019">
        <v>603.4</v>
      </c>
      <c r="J1019" t="s">
        <v>43</v>
      </c>
      <c r="K1019" t="s">
        <v>38</v>
      </c>
      <c r="L1019" t="s">
        <v>14</v>
      </c>
      <c r="M1019">
        <v>4</v>
      </c>
      <c r="N1019">
        <v>1810.2</v>
      </c>
    </row>
    <row r="1020" spans="1:14" x14ac:dyDescent="0.3">
      <c r="A1020" t="s">
        <v>1953</v>
      </c>
      <c r="B1020" t="s">
        <v>25</v>
      </c>
      <c r="C1020" s="1">
        <v>45019</v>
      </c>
      <c r="D1020" s="2">
        <f>YEAR(Table1[[#This Row],[PurchaseDate]])</f>
        <v>2023</v>
      </c>
      <c r="E1020" s="2" t="str">
        <f>"Q"&amp;ROUNDUP(MONTH(Table1[[#This Row],[PurchaseDate]])/3,0)</f>
        <v>Q2</v>
      </c>
      <c r="F1020" s="2">
        <f>MONTH(Table1[[#This Row],[PurchaseDate]])</f>
        <v>4</v>
      </c>
      <c r="G1020" s="2" t="str">
        <f>TEXT(Table1[[#This Row],[PurchaseDate]],"MMM")</f>
        <v>Apr</v>
      </c>
      <c r="H1020">
        <v>5</v>
      </c>
      <c r="I1020">
        <v>770.99</v>
      </c>
      <c r="J1020" t="s">
        <v>1954</v>
      </c>
      <c r="K1020" t="s">
        <v>13</v>
      </c>
      <c r="L1020" t="s">
        <v>19</v>
      </c>
      <c r="M1020">
        <v>4</v>
      </c>
      <c r="N1020">
        <v>3854.95</v>
      </c>
    </row>
    <row r="1021" spans="1:14" x14ac:dyDescent="0.3">
      <c r="A1021" t="s">
        <v>1955</v>
      </c>
      <c r="B1021" t="s">
        <v>42</v>
      </c>
      <c r="C1021" s="1">
        <v>45092</v>
      </c>
      <c r="D1021" s="2">
        <f>YEAR(Table1[[#This Row],[PurchaseDate]])</f>
        <v>2023</v>
      </c>
      <c r="E1021" s="2" t="str">
        <f>"Q"&amp;ROUNDUP(MONTH(Table1[[#This Row],[PurchaseDate]])/3,0)</f>
        <v>Q2</v>
      </c>
      <c r="F1021" s="2">
        <f>MONTH(Table1[[#This Row],[PurchaseDate]])</f>
        <v>6</v>
      </c>
      <c r="G1021" s="2" t="str">
        <f>TEXT(Table1[[#This Row],[PurchaseDate]],"MMM")</f>
        <v>Jun</v>
      </c>
      <c r="H1021">
        <v>6</v>
      </c>
      <c r="I1021">
        <v>484.43</v>
      </c>
      <c r="J1021" t="s">
        <v>1956</v>
      </c>
      <c r="K1021" t="s">
        <v>18</v>
      </c>
      <c r="L1021" t="s">
        <v>19</v>
      </c>
      <c r="M1021">
        <v>2</v>
      </c>
      <c r="N1021">
        <v>2906.58</v>
      </c>
    </row>
    <row r="1022" spans="1:14" x14ac:dyDescent="0.3">
      <c r="A1022" t="s">
        <v>1957</v>
      </c>
      <c r="B1022" t="s">
        <v>29</v>
      </c>
      <c r="C1022" s="1">
        <v>45637</v>
      </c>
      <c r="D1022" s="2">
        <f>YEAR(Table1[[#This Row],[PurchaseDate]])</f>
        <v>2024</v>
      </c>
      <c r="E1022" s="2" t="str">
        <f>"Q"&amp;ROUNDUP(MONTH(Table1[[#This Row],[PurchaseDate]])/3,0)</f>
        <v>Q4</v>
      </c>
      <c r="F1022" s="2">
        <f>MONTH(Table1[[#This Row],[PurchaseDate]])</f>
        <v>12</v>
      </c>
      <c r="G1022" s="2" t="str">
        <f>TEXT(Table1[[#This Row],[PurchaseDate]],"MMM")</f>
        <v>Dec</v>
      </c>
      <c r="H1022">
        <v>1</v>
      </c>
      <c r="I1022">
        <v>781.99</v>
      </c>
      <c r="J1022" t="s">
        <v>1958</v>
      </c>
      <c r="K1022" t="s">
        <v>13</v>
      </c>
      <c r="L1022" t="s">
        <v>58</v>
      </c>
      <c r="M1022">
        <v>3</v>
      </c>
      <c r="N1022">
        <v>781.99</v>
      </c>
    </row>
    <row r="1023" spans="1:14" x14ac:dyDescent="0.3">
      <c r="A1023" t="s">
        <v>1959</v>
      </c>
      <c r="B1023" t="s">
        <v>11</v>
      </c>
      <c r="C1023" s="1">
        <v>45745</v>
      </c>
      <c r="D1023" s="2">
        <f>YEAR(Table1[[#This Row],[PurchaseDate]])</f>
        <v>2025</v>
      </c>
      <c r="E1023" s="2" t="str">
        <f>"Q"&amp;ROUNDUP(MONTH(Table1[[#This Row],[PurchaseDate]])/3,0)</f>
        <v>Q1</v>
      </c>
      <c r="F1023" s="2">
        <f>MONTH(Table1[[#This Row],[PurchaseDate]])</f>
        <v>3</v>
      </c>
      <c r="G1023" s="2" t="str">
        <f>TEXT(Table1[[#This Row],[PurchaseDate]],"MMM")</f>
        <v>Mar</v>
      </c>
      <c r="H1023">
        <v>5</v>
      </c>
      <c r="I1023">
        <v>406.64</v>
      </c>
      <c r="J1023" t="s">
        <v>1960</v>
      </c>
      <c r="K1023" t="s">
        <v>13</v>
      </c>
      <c r="L1023" t="s">
        <v>19</v>
      </c>
      <c r="M1023">
        <v>5</v>
      </c>
      <c r="N1023">
        <v>2033.2</v>
      </c>
    </row>
    <row r="1024" spans="1:14" x14ac:dyDescent="0.3">
      <c r="A1024" t="s">
        <v>1961</v>
      </c>
      <c r="B1024" t="s">
        <v>42</v>
      </c>
      <c r="C1024" s="1">
        <v>45728</v>
      </c>
      <c r="D1024" s="2">
        <f>YEAR(Table1[[#This Row],[PurchaseDate]])</f>
        <v>2025</v>
      </c>
      <c r="E1024" s="2" t="str">
        <f>"Q"&amp;ROUNDUP(MONTH(Table1[[#This Row],[PurchaseDate]])/3,0)</f>
        <v>Q1</v>
      </c>
      <c r="F1024" s="2">
        <f>MONTH(Table1[[#This Row],[PurchaseDate]])</f>
        <v>3</v>
      </c>
      <c r="G1024" s="2" t="str">
        <f>TEXT(Table1[[#This Row],[PurchaseDate]],"MMM")</f>
        <v>Mar</v>
      </c>
      <c r="H1024">
        <v>1</v>
      </c>
      <c r="I1024">
        <v>261.17</v>
      </c>
      <c r="J1024" t="s">
        <v>1962</v>
      </c>
      <c r="K1024" t="s">
        <v>13</v>
      </c>
      <c r="L1024" t="s">
        <v>27</v>
      </c>
      <c r="M1024">
        <v>1</v>
      </c>
      <c r="N1024">
        <v>261.17</v>
      </c>
    </row>
    <row r="1025" spans="1:14" x14ac:dyDescent="0.3">
      <c r="A1025" t="s">
        <v>1963</v>
      </c>
      <c r="B1025" t="s">
        <v>42</v>
      </c>
      <c r="C1025" s="1">
        <v>44968</v>
      </c>
      <c r="D1025" s="2">
        <f>YEAR(Table1[[#This Row],[PurchaseDate]])</f>
        <v>2023</v>
      </c>
      <c r="E1025" s="2" t="str">
        <f>"Q"&amp;ROUNDUP(MONTH(Table1[[#This Row],[PurchaseDate]])/3,0)</f>
        <v>Q1</v>
      </c>
      <c r="F1025" s="2">
        <f>MONTH(Table1[[#This Row],[PurchaseDate]])</f>
        <v>2</v>
      </c>
      <c r="G1025" s="2" t="str">
        <f>TEXT(Table1[[#This Row],[PurchaseDate]],"MMM")</f>
        <v>Feb</v>
      </c>
      <c r="H1025">
        <v>6</v>
      </c>
      <c r="I1025">
        <v>646.4</v>
      </c>
      <c r="J1025" t="s">
        <v>1964</v>
      </c>
      <c r="K1025" t="s">
        <v>38</v>
      </c>
      <c r="L1025" t="s">
        <v>27</v>
      </c>
      <c r="M1025">
        <v>4</v>
      </c>
      <c r="N1025">
        <v>3878.4</v>
      </c>
    </row>
    <row r="1026" spans="1:14" x14ac:dyDescent="0.3">
      <c r="A1026" t="s">
        <v>1965</v>
      </c>
      <c r="B1026" t="s">
        <v>21</v>
      </c>
      <c r="C1026" s="1">
        <v>44967</v>
      </c>
      <c r="D1026" s="2">
        <f>YEAR(Table1[[#This Row],[PurchaseDate]])</f>
        <v>2023</v>
      </c>
      <c r="E1026" s="2" t="str">
        <f>"Q"&amp;ROUNDUP(MONTH(Table1[[#This Row],[PurchaseDate]])/3,0)</f>
        <v>Q1</v>
      </c>
      <c r="F1026" s="2">
        <f>MONTH(Table1[[#This Row],[PurchaseDate]])</f>
        <v>2</v>
      </c>
      <c r="G1026" s="2" t="str">
        <f>TEXT(Table1[[#This Row],[PurchaseDate]],"MMM")</f>
        <v>Feb</v>
      </c>
      <c r="H1026">
        <v>7</v>
      </c>
      <c r="I1026">
        <v>710.8</v>
      </c>
      <c r="J1026" t="s">
        <v>1966</v>
      </c>
      <c r="K1026" t="s">
        <v>13</v>
      </c>
      <c r="L1026" t="s">
        <v>14</v>
      </c>
      <c r="M1026">
        <v>1</v>
      </c>
      <c r="N1026">
        <v>4975.6000000000004</v>
      </c>
    </row>
    <row r="1027" spans="1:14" x14ac:dyDescent="0.3">
      <c r="A1027" t="s">
        <v>1967</v>
      </c>
      <c r="B1027" t="s">
        <v>11</v>
      </c>
      <c r="C1027" s="1">
        <v>45813</v>
      </c>
      <c r="D1027" s="2">
        <f>YEAR(Table1[[#This Row],[PurchaseDate]])</f>
        <v>2025</v>
      </c>
      <c r="E1027" s="2" t="str">
        <f>"Q"&amp;ROUNDUP(MONTH(Table1[[#This Row],[PurchaseDate]])/3,0)</f>
        <v>Q2</v>
      </c>
      <c r="F1027" s="2">
        <f>MONTH(Table1[[#This Row],[PurchaseDate]])</f>
        <v>6</v>
      </c>
      <c r="G1027" s="2" t="str">
        <f>TEXT(Table1[[#This Row],[PurchaseDate]],"MMM")</f>
        <v>Jun</v>
      </c>
      <c r="H1027">
        <v>5</v>
      </c>
      <c r="I1027">
        <v>287.66000000000003</v>
      </c>
      <c r="J1027" t="s">
        <v>1968</v>
      </c>
      <c r="K1027" t="s">
        <v>18</v>
      </c>
      <c r="L1027" t="s">
        <v>27</v>
      </c>
      <c r="M1027">
        <v>3</v>
      </c>
      <c r="N1027">
        <v>1438.3</v>
      </c>
    </row>
    <row r="1028" spans="1:14" x14ac:dyDescent="0.3">
      <c r="A1028" t="s">
        <v>1969</v>
      </c>
      <c r="B1028" t="s">
        <v>16</v>
      </c>
      <c r="C1028" s="1">
        <v>45492</v>
      </c>
      <c r="D1028" s="2">
        <f>YEAR(Table1[[#This Row],[PurchaseDate]])</f>
        <v>2024</v>
      </c>
      <c r="E1028" s="2" t="str">
        <f>"Q"&amp;ROUNDUP(MONTH(Table1[[#This Row],[PurchaseDate]])/3,0)</f>
        <v>Q3</v>
      </c>
      <c r="F1028" s="2">
        <f>MONTH(Table1[[#This Row],[PurchaseDate]])</f>
        <v>7</v>
      </c>
      <c r="G1028" s="2" t="str">
        <f>TEXT(Table1[[#This Row],[PurchaseDate]],"MMM")</f>
        <v>Jul</v>
      </c>
      <c r="H1028">
        <v>8</v>
      </c>
      <c r="I1028">
        <v>516.33000000000004</v>
      </c>
      <c r="J1028" t="s">
        <v>1970</v>
      </c>
      <c r="K1028" t="s">
        <v>18</v>
      </c>
      <c r="L1028" t="s">
        <v>58</v>
      </c>
      <c r="M1028">
        <v>2</v>
      </c>
      <c r="N1028">
        <v>4130.6400000000003</v>
      </c>
    </row>
    <row r="1029" spans="1:14" x14ac:dyDescent="0.3">
      <c r="A1029" t="s">
        <v>621</v>
      </c>
      <c r="B1029" t="s">
        <v>29</v>
      </c>
      <c r="C1029" s="1">
        <v>45719</v>
      </c>
      <c r="D1029" s="2">
        <f>YEAR(Table1[[#This Row],[PurchaseDate]])</f>
        <v>2025</v>
      </c>
      <c r="E1029" s="2" t="str">
        <f>"Q"&amp;ROUNDUP(MONTH(Table1[[#This Row],[PurchaseDate]])/3,0)</f>
        <v>Q1</v>
      </c>
      <c r="F1029" s="2">
        <f>MONTH(Table1[[#This Row],[PurchaseDate]])</f>
        <v>3</v>
      </c>
      <c r="G1029" s="2" t="str">
        <f>TEXT(Table1[[#This Row],[PurchaseDate]],"MMM")</f>
        <v>Mar</v>
      </c>
      <c r="H1029">
        <v>2</v>
      </c>
      <c r="I1029">
        <v>451.66</v>
      </c>
      <c r="J1029" t="s">
        <v>622</v>
      </c>
      <c r="K1029" t="s">
        <v>38</v>
      </c>
      <c r="L1029" t="s">
        <v>27</v>
      </c>
      <c r="M1029">
        <v>2</v>
      </c>
      <c r="N1029">
        <v>903.32</v>
      </c>
    </row>
    <row r="1030" spans="1:14" x14ac:dyDescent="0.3">
      <c r="A1030" t="s">
        <v>1971</v>
      </c>
      <c r="B1030" t="s">
        <v>34</v>
      </c>
      <c r="C1030" s="1">
        <v>45633</v>
      </c>
      <c r="D1030" s="2">
        <f>YEAR(Table1[[#This Row],[PurchaseDate]])</f>
        <v>2024</v>
      </c>
      <c r="E1030" s="2" t="str">
        <f>"Q"&amp;ROUNDUP(MONTH(Table1[[#This Row],[PurchaseDate]])/3,0)</f>
        <v>Q4</v>
      </c>
      <c r="F1030" s="2">
        <f>MONTH(Table1[[#This Row],[PurchaseDate]])</f>
        <v>12</v>
      </c>
      <c r="G1030" s="2" t="str">
        <f>TEXT(Table1[[#This Row],[PurchaseDate]],"MMM")</f>
        <v>Dec</v>
      </c>
      <c r="H1030">
        <v>2</v>
      </c>
      <c r="I1030">
        <v>8.89</v>
      </c>
      <c r="J1030" t="s">
        <v>1972</v>
      </c>
      <c r="K1030" t="s">
        <v>38</v>
      </c>
      <c r="L1030" t="s">
        <v>23</v>
      </c>
      <c r="M1030">
        <v>4</v>
      </c>
      <c r="N1030">
        <v>17.78</v>
      </c>
    </row>
    <row r="1031" spans="1:14" x14ac:dyDescent="0.3">
      <c r="A1031" t="s">
        <v>1973</v>
      </c>
      <c r="B1031" t="s">
        <v>21</v>
      </c>
      <c r="C1031" s="1">
        <v>45389</v>
      </c>
      <c r="D1031" s="2">
        <f>YEAR(Table1[[#This Row],[PurchaseDate]])</f>
        <v>2024</v>
      </c>
      <c r="E1031" s="2" t="str">
        <f>"Q"&amp;ROUNDUP(MONTH(Table1[[#This Row],[PurchaseDate]])/3,0)</f>
        <v>Q2</v>
      </c>
      <c r="F1031" s="2">
        <f>MONTH(Table1[[#This Row],[PurchaseDate]])</f>
        <v>4</v>
      </c>
      <c r="G1031" s="2" t="str">
        <f>TEXT(Table1[[#This Row],[PurchaseDate]],"MMM")</f>
        <v>Apr</v>
      </c>
      <c r="H1031">
        <v>4</v>
      </c>
      <c r="I1031">
        <v>363.31</v>
      </c>
      <c r="J1031" t="s">
        <v>1974</v>
      </c>
      <c r="K1031" t="s">
        <v>38</v>
      </c>
      <c r="L1031" t="s">
        <v>58</v>
      </c>
      <c r="M1031">
        <v>4</v>
      </c>
      <c r="N1031">
        <v>1453.24</v>
      </c>
    </row>
    <row r="1032" spans="1:14" x14ac:dyDescent="0.3">
      <c r="A1032" t="s">
        <v>301</v>
      </c>
      <c r="B1032" t="s">
        <v>16</v>
      </c>
      <c r="C1032" s="1">
        <v>44976</v>
      </c>
      <c r="D1032" s="2">
        <f>YEAR(Table1[[#This Row],[PurchaseDate]])</f>
        <v>2023</v>
      </c>
      <c r="E1032" s="2" t="str">
        <f>"Q"&amp;ROUNDUP(MONTH(Table1[[#This Row],[PurchaseDate]])/3,0)</f>
        <v>Q1</v>
      </c>
      <c r="F1032" s="2">
        <f>MONTH(Table1[[#This Row],[PurchaseDate]])</f>
        <v>2</v>
      </c>
      <c r="G1032" s="2" t="str">
        <f>TEXT(Table1[[#This Row],[PurchaseDate]],"MMM")</f>
        <v>Feb</v>
      </c>
      <c r="H1032">
        <v>8</v>
      </c>
      <c r="I1032">
        <v>507.74</v>
      </c>
      <c r="J1032" t="s">
        <v>302</v>
      </c>
      <c r="K1032" t="s">
        <v>18</v>
      </c>
      <c r="L1032" t="s">
        <v>23</v>
      </c>
      <c r="M1032">
        <v>3</v>
      </c>
      <c r="N1032">
        <v>4061.92</v>
      </c>
    </row>
    <row r="1033" spans="1:14" x14ac:dyDescent="0.3">
      <c r="A1033" t="s">
        <v>1975</v>
      </c>
      <c r="B1033" t="s">
        <v>42</v>
      </c>
      <c r="C1033" s="1">
        <v>45442</v>
      </c>
      <c r="D1033" s="2">
        <f>YEAR(Table1[[#This Row],[PurchaseDate]])</f>
        <v>2024</v>
      </c>
      <c r="E1033" s="2" t="str">
        <f>"Q"&amp;ROUNDUP(MONTH(Table1[[#This Row],[PurchaseDate]])/3,0)</f>
        <v>Q2</v>
      </c>
      <c r="F1033" s="2">
        <f>MONTH(Table1[[#This Row],[PurchaseDate]])</f>
        <v>5</v>
      </c>
      <c r="G1033" s="2" t="str">
        <f>TEXT(Table1[[#This Row],[PurchaseDate]],"MMM")</f>
        <v>May</v>
      </c>
      <c r="H1033">
        <v>6</v>
      </c>
      <c r="I1033">
        <v>645.22</v>
      </c>
      <c r="J1033" t="s">
        <v>1976</v>
      </c>
      <c r="K1033" t="s">
        <v>13</v>
      </c>
      <c r="L1033" t="s">
        <v>14</v>
      </c>
      <c r="M1033">
        <v>1</v>
      </c>
      <c r="N1033">
        <v>3871.32</v>
      </c>
    </row>
    <row r="1034" spans="1:14" x14ac:dyDescent="0.3">
      <c r="A1034" t="s">
        <v>1977</v>
      </c>
      <c r="B1034" t="s">
        <v>42</v>
      </c>
      <c r="C1034" s="1">
        <v>45490</v>
      </c>
      <c r="D1034" s="2">
        <f>YEAR(Table1[[#This Row],[PurchaseDate]])</f>
        <v>2024</v>
      </c>
      <c r="E1034" s="2" t="str">
        <f>"Q"&amp;ROUNDUP(MONTH(Table1[[#This Row],[PurchaseDate]])/3,0)</f>
        <v>Q3</v>
      </c>
      <c r="F1034" s="2">
        <f>MONTH(Table1[[#This Row],[PurchaseDate]])</f>
        <v>7</v>
      </c>
      <c r="G1034" s="2" t="str">
        <f>TEXT(Table1[[#This Row],[PurchaseDate]],"MMM")</f>
        <v>Jul</v>
      </c>
      <c r="H1034">
        <v>7</v>
      </c>
      <c r="I1034">
        <v>11.35</v>
      </c>
      <c r="J1034" t="s">
        <v>1978</v>
      </c>
      <c r="K1034" t="s">
        <v>38</v>
      </c>
      <c r="L1034" t="s">
        <v>14</v>
      </c>
      <c r="M1034">
        <v>3</v>
      </c>
      <c r="N1034">
        <v>79.45</v>
      </c>
    </row>
    <row r="1035" spans="1:14" x14ac:dyDescent="0.3">
      <c r="A1035" t="s">
        <v>1979</v>
      </c>
      <c r="B1035" t="s">
        <v>34</v>
      </c>
      <c r="C1035" s="1">
        <v>45681</v>
      </c>
      <c r="D1035" s="2">
        <f>YEAR(Table1[[#This Row],[PurchaseDate]])</f>
        <v>2025</v>
      </c>
      <c r="E1035" s="2" t="str">
        <f>"Q"&amp;ROUNDUP(MONTH(Table1[[#This Row],[PurchaseDate]])/3,0)</f>
        <v>Q1</v>
      </c>
      <c r="F1035" s="2">
        <f>MONTH(Table1[[#This Row],[PurchaseDate]])</f>
        <v>1</v>
      </c>
      <c r="G1035" s="2" t="str">
        <f>TEXT(Table1[[#This Row],[PurchaseDate]],"MMM")</f>
        <v>Jan</v>
      </c>
      <c r="H1035">
        <v>1</v>
      </c>
      <c r="I1035">
        <v>550.04999999999995</v>
      </c>
      <c r="J1035" t="s">
        <v>1980</v>
      </c>
      <c r="K1035" t="s">
        <v>18</v>
      </c>
      <c r="L1035" t="s">
        <v>14</v>
      </c>
      <c r="M1035">
        <v>2</v>
      </c>
      <c r="N1035">
        <v>550.04999999999995</v>
      </c>
    </row>
    <row r="1036" spans="1:14" x14ac:dyDescent="0.3">
      <c r="A1036" t="s">
        <v>1981</v>
      </c>
      <c r="B1036" t="s">
        <v>21</v>
      </c>
      <c r="C1036" s="1">
        <v>45786</v>
      </c>
      <c r="D1036" s="2">
        <f>YEAR(Table1[[#This Row],[PurchaseDate]])</f>
        <v>2025</v>
      </c>
      <c r="E1036" s="2" t="str">
        <f>"Q"&amp;ROUNDUP(MONTH(Table1[[#This Row],[PurchaseDate]])/3,0)</f>
        <v>Q2</v>
      </c>
      <c r="F1036" s="2">
        <f>MONTH(Table1[[#This Row],[PurchaseDate]])</f>
        <v>5</v>
      </c>
      <c r="G1036" s="2" t="str">
        <f>TEXT(Table1[[#This Row],[PurchaseDate]],"MMM")</f>
        <v>May</v>
      </c>
      <c r="H1036">
        <v>8</v>
      </c>
      <c r="I1036">
        <v>788.91</v>
      </c>
      <c r="J1036" t="s">
        <v>1982</v>
      </c>
      <c r="K1036" t="s">
        <v>38</v>
      </c>
      <c r="L1036" t="s">
        <v>14</v>
      </c>
      <c r="M1036">
        <v>1</v>
      </c>
      <c r="N1036">
        <v>6311.28</v>
      </c>
    </row>
    <row r="1037" spans="1:14" x14ac:dyDescent="0.3">
      <c r="A1037" t="s">
        <v>1983</v>
      </c>
      <c r="B1037" t="s">
        <v>29</v>
      </c>
      <c r="C1037" s="1">
        <v>45754</v>
      </c>
      <c r="D1037" s="2">
        <f>YEAR(Table1[[#This Row],[PurchaseDate]])</f>
        <v>2025</v>
      </c>
      <c r="E1037" s="2" t="str">
        <f>"Q"&amp;ROUNDUP(MONTH(Table1[[#This Row],[PurchaseDate]])/3,0)</f>
        <v>Q2</v>
      </c>
      <c r="F1037" s="2">
        <f>MONTH(Table1[[#This Row],[PurchaseDate]])</f>
        <v>4</v>
      </c>
      <c r="G1037" s="2" t="str">
        <f>TEXT(Table1[[#This Row],[PurchaseDate]],"MMM")</f>
        <v>Apr</v>
      </c>
      <c r="H1037">
        <v>6</v>
      </c>
      <c r="I1037">
        <v>60.99</v>
      </c>
      <c r="J1037" t="s">
        <v>1984</v>
      </c>
      <c r="K1037" t="s">
        <v>13</v>
      </c>
      <c r="L1037" t="s">
        <v>58</v>
      </c>
      <c r="M1037">
        <v>5</v>
      </c>
      <c r="N1037">
        <v>365.94</v>
      </c>
    </row>
    <row r="1038" spans="1:14" x14ac:dyDescent="0.3">
      <c r="A1038" t="s">
        <v>427</v>
      </c>
      <c r="B1038" t="s">
        <v>29</v>
      </c>
      <c r="C1038" s="1">
        <v>45827</v>
      </c>
      <c r="D1038" s="2">
        <f>YEAR(Table1[[#This Row],[PurchaseDate]])</f>
        <v>2025</v>
      </c>
      <c r="E1038" s="2" t="str">
        <f>"Q"&amp;ROUNDUP(MONTH(Table1[[#This Row],[PurchaseDate]])/3,0)</f>
        <v>Q2</v>
      </c>
      <c r="F1038" s="2">
        <f>MONTH(Table1[[#This Row],[PurchaseDate]])</f>
        <v>6</v>
      </c>
      <c r="G1038" s="2" t="str">
        <f>TEXT(Table1[[#This Row],[PurchaseDate]],"MMM")</f>
        <v>Jun</v>
      </c>
      <c r="H1038">
        <v>1</v>
      </c>
      <c r="I1038">
        <v>359.68</v>
      </c>
      <c r="J1038" t="s">
        <v>428</v>
      </c>
      <c r="K1038" t="s">
        <v>13</v>
      </c>
      <c r="L1038" t="s">
        <v>23</v>
      </c>
      <c r="M1038">
        <v>4</v>
      </c>
      <c r="N1038">
        <v>359.68</v>
      </c>
    </row>
    <row r="1039" spans="1:14" x14ac:dyDescent="0.3">
      <c r="A1039" t="s">
        <v>1985</v>
      </c>
      <c r="B1039" t="s">
        <v>11</v>
      </c>
      <c r="C1039" s="1">
        <v>45409</v>
      </c>
      <c r="D1039" s="2">
        <f>YEAR(Table1[[#This Row],[PurchaseDate]])</f>
        <v>2024</v>
      </c>
      <c r="E1039" s="2" t="str">
        <f>"Q"&amp;ROUNDUP(MONTH(Table1[[#This Row],[PurchaseDate]])/3,0)</f>
        <v>Q2</v>
      </c>
      <c r="F1039" s="2">
        <f>MONTH(Table1[[#This Row],[PurchaseDate]])</f>
        <v>4</v>
      </c>
      <c r="G1039" s="2" t="str">
        <f>TEXT(Table1[[#This Row],[PurchaseDate]],"MMM")</f>
        <v>Apr</v>
      </c>
      <c r="H1039">
        <v>1</v>
      </c>
      <c r="I1039">
        <v>750.46</v>
      </c>
      <c r="J1039" t="s">
        <v>1986</v>
      </c>
      <c r="K1039" t="s">
        <v>13</v>
      </c>
      <c r="L1039" t="s">
        <v>27</v>
      </c>
      <c r="M1039">
        <v>2</v>
      </c>
      <c r="N1039">
        <v>750.46</v>
      </c>
    </row>
    <row r="1040" spans="1:14" x14ac:dyDescent="0.3">
      <c r="A1040" t="s">
        <v>1987</v>
      </c>
      <c r="B1040" t="s">
        <v>25</v>
      </c>
      <c r="C1040" s="1">
        <v>45390</v>
      </c>
      <c r="D1040" s="2">
        <f>YEAR(Table1[[#This Row],[PurchaseDate]])</f>
        <v>2024</v>
      </c>
      <c r="E1040" s="2" t="str">
        <f>"Q"&amp;ROUNDUP(MONTH(Table1[[#This Row],[PurchaseDate]])/3,0)</f>
        <v>Q2</v>
      </c>
      <c r="F1040" s="2">
        <f>MONTH(Table1[[#This Row],[PurchaseDate]])</f>
        <v>4</v>
      </c>
      <c r="G1040" s="2" t="str">
        <f>TEXT(Table1[[#This Row],[PurchaseDate]],"MMM")</f>
        <v>Apr</v>
      </c>
      <c r="H1040">
        <v>3</v>
      </c>
      <c r="I1040">
        <v>28.1</v>
      </c>
      <c r="J1040" t="s">
        <v>1988</v>
      </c>
      <c r="K1040" t="s">
        <v>13</v>
      </c>
      <c r="L1040" t="s">
        <v>27</v>
      </c>
      <c r="M1040">
        <v>5</v>
      </c>
      <c r="N1040">
        <v>84.3</v>
      </c>
    </row>
    <row r="1041" spans="1:14" x14ac:dyDescent="0.3">
      <c r="A1041" t="s">
        <v>1749</v>
      </c>
      <c r="B1041" t="s">
        <v>42</v>
      </c>
      <c r="C1041" s="1">
        <v>45701</v>
      </c>
      <c r="D1041" s="2">
        <f>YEAR(Table1[[#This Row],[PurchaseDate]])</f>
        <v>2025</v>
      </c>
      <c r="E1041" s="2" t="str">
        <f>"Q"&amp;ROUNDUP(MONTH(Table1[[#This Row],[PurchaseDate]])/3,0)</f>
        <v>Q1</v>
      </c>
      <c r="F1041" s="2">
        <f>MONTH(Table1[[#This Row],[PurchaseDate]])</f>
        <v>2</v>
      </c>
      <c r="G1041" s="2" t="str">
        <f>TEXT(Table1[[#This Row],[PurchaseDate]],"MMM")</f>
        <v>Feb</v>
      </c>
      <c r="H1041">
        <v>3</v>
      </c>
      <c r="I1041">
        <v>699.19</v>
      </c>
      <c r="J1041" t="s">
        <v>1750</v>
      </c>
      <c r="K1041" t="s">
        <v>13</v>
      </c>
      <c r="L1041" t="s">
        <v>14</v>
      </c>
      <c r="M1041">
        <v>2</v>
      </c>
      <c r="N1041">
        <v>2097.5700000000002</v>
      </c>
    </row>
    <row r="1042" spans="1:14" x14ac:dyDescent="0.3">
      <c r="A1042" t="s">
        <v>1759</v>
      </c>
      <c r="B1042" t="s">
        <v>21</v>
      </c>
      <c r="C1042" s="1">
        <v>44929</v>
      </c>
      <c r="D1042" s="2">
        <f>YEAR(Table1[[#This Row],[PurchaseDate]])</f>
        <v>2023</v>
      </c>
      <c r="E1042" s="2" t="str">
        <f>"Q"&amp;ROUNDUP(MONTH(Table1[[#This Row],[PurchaseDate]])/3,0)</f>
        <v>Q1</v>
      </c>
      <c r="F1042" s="2">
        <f>MONTH(Table1[[#This Row],[PurchaseDate]])</f>
        <v>1</v>
      </c>
      <c r="G1042" s="2" t="str">
        <f>TEXT(Table1[[#This Row],[PurchaseDate]],"MMM")</f>
        <v>Jan</v>
      </c>
      <c r="H1042">
        <v>8</v>
      </c>
      <c r="I1042">
        <v>126.85</v>
      </c>
      <c r="J1042" t="s">
        <v>1760</v>
      </c>
      <c r="K1042" t="s">
        <v>13</v>
      </c>
      <c r="L1042" t="s">
        <v>19</v>
      </c>
      <c r="M1042">
        <v>1</v>
      </c>
      <c r="N1042">
        <v>1014.8</v>
      </c>
    </row>
    <row r="1043" spans="1:14" x14ac:dyDescent="0.3">
      <c r="A1043" t="s">
        <v>1989</v>
      </c>
      <c r="B1043" t="s">
        <v>29</v>
      </c>
      <c r="C1043" s="1">
        <v>45291</v>
      </c>
      <c r="D1043" s="2">
        <f>YEAR(Table1[[#This Row],[PurchaseDate]])</f>
        <v>2023</v>
      </c>
      <c r="E1043" s="2" t="str">
        <f>"Q"&amp;ROUNDUP(MONTH(Table1[[#This Row],[PurchaseDate]])/3,0)</f>
        <v>Q4</v>
      </c>
      <c r="F1043" s="2">
        <f>MONTH(Table1[[#This Row],[PurchaseDate]])</f>
        <v>12</v>
      </c>
      <c r="G1043" s="2" t="str">
        <f>TEXT(Table1[[#This Row],[PurchaseDate]],"MMM")</f>
        <v>Dec</v>
      </c>
      <c r="H1043">
        <v>5</v>
      </c>
      <c r="I1043">
        <v>739.34</v>
      </c>
      <c r="J1043" t="s">
        <v>1990</v>
      </c>
      <c r="K1043" t="s">
        <v>18</v>
      </c>
      <c r="L1043" t="s">
        <v>58</v>
      </c>
      <c r="M1043">
        <v>2</v>
      </c>
      <c r="N1043">
        <v>3696.7</v>
      </c>
    </row>
    <row r="1044" spans="1:14" x14ac:dyDescent="0.3">
      <c r="A1044" t="s">
        <v>1991</v>
      </c>
      <c r="B1044" t="s">
        <v>42</v>
      </c>
      <c r="C1044" s="1">
        <v>45051</v>
      </c>
      <c r="D1044" s="2">
        <f>YEAR(Table1[[#This Row],[PurchaseDate]])</f>
        <v>2023</v>
      </c>
      <c r="E1044" s="2" t="str">
        <f>"Q"&amp;ROUNDUP(MONTH(Table1[[#This Row],[PurchaseDate]])/3,0)</f>
        <v>Q2</v>
      </c>
      <c r="F1044" s="2">
        <f>MONTH(Table1[[#This Row],[PurchaseDate]])</f>
        <v>5</v>
      </c>
      <c r="G1044" s="2" t="str">
        <f>TEXT(Table1[[#This Row],[PurchaseDate]],"MMM")</f>
        <v>May</v>
      </c>
      <c r="H1044">
        <v>7</v>
      </c>
      <c r="I1044">
        <v>424.41</v>
      </c>
      <c r="J1044" t="s">
        <v>1992</v>
      </c>
      <c r="K1044" t="s">
        <v>18</v>
      </c>
      <c r="L1044" t="s">
        <v>23</v>
      </c>
      <c r="M1044">
        <v>4</v>
      </c>
      <c r="N1044">
        <v>2970.87</v>
      </c>
    </row>
    <row r="1045" spans="1:14" x14ac:dyDescent="0.3">
      <c r="A1045" t="s">
        <v>1993</v>
      </c>
      <c r="B1045" t="s">
        <v>25</v>
      </c>
      <c r="C1045" s="1">
        <v>44981</v>
      </c>
      <c r="D1045" s="2">
        <f>YEAR(Table1[[#This Row],[PurchaseDate]])</f>
        <v>2023</v>
      </c>
      <c r="E1045" s="2" t="str">
        <f>"Q"&amp;ROUNDUP(MONTH(Table1[[#This Row],[PurchaseDate]])/3,0)</f>
        <v>Q1</v>
      </c>
      <c r="F1045" s="2">
        <f>MONTH(Table1[[#This Row],[PurchaseDate]])</f>
        <v>2</v>
      </c>
      <c r="G1045" s="2" t="str">
        <f>TEXT(Table1[[#This Row],[PurchaseDate]],"MMM")</f>
        <v>Feb</v>
      </c>
      <c r="H1045">
        <v>4</v>
      </c>
      <c r="I1045">
        <v>174.7</v>
      </c>
      <c r="J1045" t="s">
        <v>1994</v>
      </c>
      <c r="K1045" t="s">
        <v>13</v>
      </c>
      <c r="L1045" t="s">
        <v>58</v>
      </c>
      <c r="M1045">
        <v>1</v>
      </c>
      <c r="N1045">
        <v>698.8</v>
      </c>
    </row>
    <row r="1046" spans="1:14" x14ac:dyDescent="0.3">
      <c r="A1046" t="s">
        <v>1187</v>
      </c>
      <c r="B1046" t="s">
        <v>42</v>
      </c>
      <c r="C1046" s="1">
        <v>44930</v>
      </c>
      <c r="D1046" s="2">
        <f>YEAR(Table1[[#This Row],[PurchaseDate]])</f>
        <v>2023</v>
      </c>
      <c r="E1046" s="2" t="str">
        <f>"Q"&amp;ROUNDUP(MONTH(Table1[[#This Row],[PurchaseDate]])/3,0)</f>
        <v>Q1</v>
      </c>
      <c r="F1046" s="2">
        <f>MONTH(Table1[[#This Row],[PurchaseDate]])</f>
        <v>1</v>
      </c>
      <c r="G1046" s="2" t="str">
        <f>TEXT(Table1[[#This Row],[PurchaseDate]],"MMM")</f>
        <v>Jan</v>
      </c>
      <c r="H1046">
        <v>6</v>
      </c>
      <c r="I1046">
        <v>243.58</v>
      </c>
      <c r="J1046" t="s">
        <v>1188</v>
      </c>
      <c r="K1046" t="s">
        <v>13</v>
      </c>
      <c r="L1046" t="s">
        <v>23</v>
      </c>
      <c r="M1046">
        <v>2</v>
      </c>
      <c r="N1046">
        <v>1461.48</v>
      </c>
    </row>
    <row r="1047" spans="1:14" x14ac:dyDescent="0.3">
      <c r="A1047" t="s">
        <v>237</v>
      </c>
      <c r="B1047" t="s">
        <v>25</v>
      </c>
      <c r="C1047" s="1">
        <v>45577</v>
      </c>
      <c r="D1047" s="2">
        <f>YEAR(Table1[[#This Row],[PurchaseDate]])</f>
        <v>2024</v>
      </c>
      <c r="E1047" s="2" t="str">
        <f>"Q"&amp;ROUNDUP(MONTH(Table1[[#This Row],[PurchaseDate]])/3,0)</f>
        <v>Q4</v>
      </c>
      <c r="F1047" s="2">
        <f>MONTH(Table1[[#This Row],[PurchaseDate]])</f>
        <v>10</v>
      </c>
      <c r="G1047" s="2" t="str">
        <f>TEXT(Table1[[#This Row],[PurchaseDate]],"MMM")</f>
        <v>Oct</v>
      </c>
      <c r="H1047">
        <v>7</v>
      </c>
      <c r="I1047">
        <v>286.52</v>
      </c>
      <c r="J1047" t="s">
        <v>238</v>
      </c>
      <c r="K1047" t="s">
        <v>18</v>
      </c>
      <c r="L1047" t="s">
        <v>23</v>
      </c>
      <c r="M1047">
        <v>3</v>
      </c>
      <c r="N1047">
        <v>2005.64</v>
      </c>
    </row>
    <row r="1048" spans="1:14" x14ac:dyDescent="0.3">
      <c r="A1048" t="s">
        <v>1995</v>
      </c>
      <c r="B1048" t="s">
        <v>16</v>
      </c>
      <c r="C1048" s="1">
        <v>45067</v>
      </c>
      <c r="D1048" s="2">
        <f>YEAR(Table1[[#This Row],[PurchaseDate]])</f>
        <v>2023</v>
      </c>
      <c r="E1048" s="2" t="str">
        <f>"Q"&amp;ROUNDUP(MONTH(Table1[[#This Row],[PurchaseDate]])/3,0)</f>
        <v>Q2</v>
      </c>
      <c r="F1048" s="2">
        <f>MONTH(Table1[[#This Row],[PurchaseDate]])</f>
        <v>5</v>
      </c>
      <c r="G1048" s="2" t="str">
        <f>TEXT(Table1[[#This Row],[PurchaseDate]],"MMM")</f>
        <v>May</v>
      </c>
      <c r="H1048">
        <v>2</v>
      </c>
      <c r="I1048">
        <v>8.56</v>
      </c>
      <c r="J1048" t="s">
        <v>1996</v>
      </c>
      <c r="K1048" t="s">
        <v>18</v>
      </c>
      <c r="L1048" t="s">
        <v>23</v>
      </c>
      <c r="M1048">
        <v>1</v>
      </c>
      <c r="N1048">
        <v>17.12</v>
      </c>
    </row>
    <row r="1049" spans="1:14" x14ac:dyDescent="0.3">
      <c r="A1049" t="s">
        <v>1997</v>
      </c>
      <c r="B1049" t="s">
        <v>11</v>
      </c>
      <c r="C1049" s="1">
        <v>45594</v>
      </c>
      <c r="D1049" s="2">
        <f>YEAR(Table1[[#This Row],[PurchaseDate]])</f>
        <v>2024</v>
      </c>
      <c r="E1049" s="2" t="str">
        <f>"Q"&amp;ROUNDUP(MONTH(Table1[[#This Row],[PurchaseDate]])/3,0)</f>
        <v>Q4</v>
      </c>
      <c r="F1049" s="2">
        <f>MONTH(Table1[[#This Row],[PurchaseDate]])</f>
        <v>10</v>
      </c>
      <c r="G1049" s="2" t="str">
        <f>TEXT(Table1[[#This Row],[PurchaseDate]],"MMM")</f>
        <v>Oct</v>
      </c>
      <c r="H1049">
        <v>6</v>
      </c>
      <c r="I1049">
        <v>18.03</v>
      </c>
      <c r="J1049" t="s">
        <v>1998</v>
      </c>
      <c r="K1049" t="s">
        <v>13</v>
      </c>
      <c r="L1049" t="s">
        <v>19</v>
      </c>
      <c r="M1049">
        <v>1</v>
      </c>
      <c r="N1049">
        <v>108.18</v>
      </c>
    </row>
    <row r="1050" spans="1:14" x14ac:dyDescent="0.3">
      <c r="A1050" t="s">
        <v>1999</v>
      </c>
      <c r="B1050" t="s">
        <v>16</v>
      </c>
      <c r="C1050" s="1">
        <v>45047</v>
      </c>
      <c r="D1050" s="2">
        <f>YEAR(Table1[[#This Row],[PurchaseDate]])</f>
        <v>2023</v>
      </c>
      <c r="E1050" s="2" t="str">
        <f>"Q"&amp;ROUNDUP(MONTH(Table1[[#This Row],[PurchaseDate]])/3,0)</f>
        <v>Q2</v>
      </c>
      <c r="F1050" s="2">
        <f>MONTH(Table1[[#This Row],[PurchaseDate]])</f>
        <v>5</v>
      </c>
      <c r="G1050" s="2" t="str">
        <f>TEXT(Table1[[#This Row],[PurchaseDate]],"MMM")</f>
        <v>May</v>
      </c>
      <c r="H1050">
        <v>1</v>
      </c>
      <c r="I1050">
        <v>462.31</v>
      </c>
      <c r="J1050" t="s">
        <v>2000</v>
      </c>
      <c r="K1050" t="s">
        <v>18</v>
      </c>
      <c r="L1050" t="s">
        <v>23</v>
      </c>
      <c r="M1050">
        <v>5</v>
      </c>
      <c r="N1050">
        <v>462.31</v>
      </c>
    </row>
    <row r="1051" spans="1:14" x14ac:dyDescent="0.3">
      <c r="A1051" t="s">
        <v>2001</v>
      </c>
      <c r="B1051" t="s">
        <v>16</v>
      </c>
      <c r="C1051" s="1">
        <v>45241</v>
      </c>
      <c r="D1051" s="2">
        <f>YEAR(Table1[[#This Row],[PurchaseDate]])</f>
        <v>2023</v>
      </c>
      <c r="E1051" s="2" t="str">
        <f>"Q"&amp;ROUNDUP(MONTH(Table1[[#This Row],[PurchaseDate]])/3,0)</f>
        <v>Q4</v>
      </c>
      <c r="F1051" s="2">
        <f>MONTH(Table1[[#This Row],[PurchaseDate]])</f>
        <v>11</v>
      </c>
      <c r="G1051" s="2" t="str">
        <f>TEXT(Table1[[#This Row],[PurchaseDate]],"MMM")</f>
        <v>Nov</v>
      </c>
      <c r="H1051">
        <v>6</v>
      </c>
      <c r="I1051">
        <v>313.62</v>
      </c>
      <c r="J1051" t="s">
        <v>2002</v>
      </c>
      <c r="K1051" t="s">
        <v>38</v>
      </c>
      <c r="L1051" t="s">
        <v>19</v>
      </c>
      <c r="M1051">
        <v>4</v>
      </c>
      <c r="N1051">
        <v>1881.72</v>
      </c>
    </row>
    <row r="1052" spans="1:14" x14ac:dyDescent="0.3">
      <c r="A1052" t="s">
        <v>2003</v>
      </c>
      <c r="B1052" t="s">
        <v>42</v>
      </c>
      <c r="C1052" s="1">
        <v>45330</v>
      </c>
      <c r="D1052" s="2">
        <f>YEAR(Table1[[#This Row],[PurchaseDate]])</f>
        <v>2024</v>
      </c>
      <c r="E1052" s="2" t="str">
        <f>"Q"&amp;ROUNDUP(MONTH(Table1[[#This Row],[PurchaseDate]])/3,0)</f>
        <v>Q1</v>
      </c>
      <c r="F1052" s="2">
        <f>MONTH(Table1[[#This Row],[PurchaseDate]])</f>
        <v>2</v>
      </c>
      <c r="G1052" s="2" t="str">
        <f>TEXT(Table1[[#This Row],[PurchaseDate]],"MMM")</f>
        <v>Feb</v>
      </c>
      <c r="H1052">
        <v>2</v>
      </c>
      <c r="I1052">
        <v>267.7</v>
      </c>
      <c r="J1052" t="s">
        <v>2004</v>
      </c>
      <c r="K1052" t="s">
        <v>13</v>
      </c>
      <c r="L1052" t="s">
        <v>14</v>
      </c>
      <c r="M1052">
        <v>3</v>
      </c>
      <c r="N1052">
        <v>535.4</v>
      </c>
    </row>
    <row r="1053" spans="1:14" x14ac:dyDescent="0.3">
      <c r="A1053" t="s">
        <v>1917</v>
      </c>
      <c r="B1053" t="s">
        <v>16</v>
      </c>
      <c r="C1053" s="1">
        <v>44933</v>
      </c>
      <c r="D1053" s="2">
        <f>YEAR(Table1[[#This Row],[PurchaseDate]])</f>
        <v>2023</v>
      </c>
      <c r="E1053" s="2" t="str">
        <f>"Q"&amp;ROUNDUP(MONTH(Table1[[#This Row],[PurchaseDate]])/3,0)</f>
        <v>Q1</v>
      </c>
      <c r="F1053" s="2">
        <f>MONTH(Table1[[#This Row],[PurchaseDate]])</f>
        <v>1</v>
      </c>
      <c r="G1053" s="2" t="str">
        <f>TEXT(Table1[[#This Row],[PurchaseDate]],"MMM")</f>
        <v>Jan</v>
      </c>
      <c r="H1053">
        <v>1</v>
      </c>
      <c r="I1053">
        <v>346.77</v>
      </c>
      <c r="J1053" t="s">
        <v>1918</v>
      </c>
      <c r="K1053" t="s">
        <v>13</v>
      </c>
      <c r="L1053" t="s">
        <v>27</v>
      </c>
      <c r="M1053">
        <v>2</v>
      </c>
      <c r="N1053">
        <v>346.77</v>
      </c>
    </row>
    <row r="1054" spans="1:14" x14ac:dyDescent="0.3">
      <c r="A1054" t="s">
        <v>2005</v>
      </c>
      <c r="B1054" t="s">
        <v>29</v>
      </c>
      <c r="C1054" s="1">
        <v>45244</v>
      </c>
      <c r="D1054" s="2">
        <f>YEAR(Table1[[#This Row],[PurchaseDate]])</f>
        <v>2023</v>
      </c>
      <c r="E1054" s="2" t="str">
        <f>"Q"&amp;ROUNDUP(MONTH(Table1[[#This Row],[PurchaseDate]])/3,0)</f>
        <v>Q4</v>
      </c>
      <c r="F1054" s="2">
        <f>MONTH(Table1[[#This Row],[PurchaseDate]])</f>
        <v>11</v>
      </c>
      <c r="G1054" s="2" t="str">
        <f>TEXT(Table1[[#This Row],[PurchaseDate]],"MMM")</f>
        <v>Nov</v>
      </c>
      <c r="H1054">
        <v>5</v>
      </c>
      <c r="I1054">
        <v>117.04</v>
      </c>
      <c r="J1054" t="s">
        <v>2006</v>
      </c>
      <c r="K1054" t="s">
        <v>38</v>
      </c>
      <c r="L1054" t="s">
        <v>58</v>
      </c>
      <c r="M1054">
        <v>5</v>
      </c>
      <c r="N1054">
        <v>585.20000000000005</v>
      </c>
    </row>
    <row r="1055" spans="1:14" x14ac:dyDescent="0.3">
      <c r="A1055" t="s">
        <v>2007</v>
      </c>
      <c r="B1055" t="s">
        <v>25</v>
      </c>
      <c r="C1055" s="1">
        <v>45059</v>
      </c>
      <c r="D1055" s="2">
        <f>YEAR(Table1[[#This Row],[PurchaseDate]])</f>
        <v>2023</v>
      </c>
      <c r="E1055" s="2" t="str">
        <f>"Q"&amp;ROUNDUP(MONTH(Table1[[#This Row],[PurchaseDate]])/3,0)</f>
        <v>Q2</v>
      </c>
      <c r="F1055" s="2">
        <f>MONTH(Table1[[#This Row],[PurchaseDate]])</f>
        <v>5</v>
      </c>
      <c r="G1055" s="2" t="str">
        <f>TEXT(Table1[[#This Row],[PurchaseDate]],"MMM")</f>
        <v>May</v>
      </c>
      <c r="H1055">
        <v>5</v>
      </c>
      <c r="I1055">
        <v>607.6</v>
      </c>
      <c r="J1055" t="s">
        <v>2008</v>
      </c>
      <c r="K1055" t="s">
        <v>13</v>
      </c>
      <c r="L1055" t="s">
        <v>14</v>
      </c>
      <c r="M1055">
        <v>4</v>
      </c>
      <c r="N1055">
        <v>3038</v>
      </c>
    </row>
    <row r="1056" spans="1:14" x14ac:dyDescent="0.3">
      <c r="A1056" t="s">
        <v>2009</v>
      </c>
      <c r="B1056" t="s">
        <v>42</v>
      </c>
      <c r="C1056" s="1">
        <v>45701</v>
      </c>
      <c r="D1056" s="2">
        <f>YEAR(Table1[[#This Row],[PurchaseDate]])</f>
        <v>2025</v>
      </c>
      <c r="E1056" s="2" t="str">
        <f>"Q"&amp;ROUNDUP(MONTH(Table1[[#This Row],[PurchaseDate]])/3,0)</f>
        <v>Q1</v>
      </c>
      <c r="F1056" s="2">
        <f>MONTH(Table1[[#This Row],[PurchaseDate]])</f>
        <v>2</v>
      </c>
      <c r="G1056" s="2" t="str">
        <f>TEXT(Table1[[#This Row],[PurchaseDate]],"MMM")</f>
        <v>Feb</v>
      </c>
      <c r="H1056">
        <v>2</v>
      </c>
      <c r="I1056">
        <v>286.87</v>
      </c>
      <c r="J1056" t="s">
        <v>2010</v>
      </c>
      <c r="K1056" t="s">
        <v>13</v>
      </c>
      <c r="L1056" t="s">
        <v>23</v>
      </c>
      <c r="M1056">
        <v>4</v>
      </c>
      <c r="N1056">
        <v>573.74</v>
      </c>
    </row>
    <row r="1057" spans="1:14" x14ac:dyDescent="0.3">
      <c r="A1057" t="s">
        <v>2011</v>
      </c>
      <c r="B1057" t="s">
        <v>25</v>
      </c>
      <c r="C1057" s="1">
        <v>45563</v>
      </c>
      <c r="D1057" s="2">
        <f>YEAR(Table1[[#This Row],[PurchaseDate]])</f>
        <v>2024</v>
      </c>
      <c r="E1057" s="2" t="str">
        <f>"Q"&amp;ROUNDUP(MONTH(Table1[[#This Row],[PurchaseDate]])/3,0)</f>
        <v>Q3</v>
      </c>
      <c r="F1057" s="2">
        <f>MONTH(Table1[[#This Row],[PurchaseDate]])</f>
        <v>9</v>
      </c>
      <c r="G1057" s="2" t="str">
        <f>TEXT(Table1[[#This Row],[PurchaseDate]],"MMM")</f>
        <v>Sep</v>
      </c>
      <c r="H1057">
        <v>4</v>
      </c>
      <c r="I1057">
        <v>64.53</v>
      </c>
      <c r="J1057" t="s">
        <v>2012</v>
      </c>
      <c r="K1057" t="s">
        <v>18</v>
      </c>
      <c r="L1057" t="s">
        <v>23</v>
      </c>
      <c r="M1057">
        <v>3</v>
      </c>
      <c r="N1057">
        <v>258.12</v>
      </c>
    </row>
    <row r="1058" spans="1:14" x14ac:dyDescent="0.3">
      <c r="A1058" t="s">
        <v>2013</v>
      </c>
      <c r="B1058" t="s">
        <v>34</v>
      </c>
      <c r="C1058" s="1">
        <v>45691</v>
      </c>
      <c r="D1058" s="2">
        <f>YEAR(Table1[[#This Row],[PurchaseDate]])</f>
        <v>2025</v>
      </c>
      <c r="E1058" s="2" t="str">
        <f>"Q"&amp;ROUNDUP(MONTH(Table1[[#This Row],[PurchaseDate]])/3,0)</f>
        <v>Q1</v>
      </c>
      <c r="F1058" s="2">
        <f>MONTH(Table1[[#This Row],[PurchaseDate]])</f>
        <v>2</v>
      </c>
      <c r="G1058" s="2" t="str">
        <f>TEXT(Table1[[#This Row],[PurchaseDate]],"MMM")</f>
        <v>Feb</v>
      </c>
      <c r="H1058">
        <v>7</v>
      </c>
      <c r="I1058">
        <v>7.19</v>
      </c>
      <c r="J1058" t="s">
        <v>2014</v>
      </c>
      <c r="K1058" t="s">
        <v>38</v>
      </c>
      <c r="L1058" t="s">
        <v>27</v>
      </c>
      <c r="M1058">
        <v>1</v>
      </c>
      <c r="N1058">
        <v>50.33</v>
      </c>
    </row>
    <row r="1059" spans="1:14" x14ac:dyDescent="0.3">
      <c r="A1059" t="s">
        <v>2015</v>
      </c>
      <c r="B1059" t="s">
        <v>21</v>
      </c>
      <c r="C1059" s="1">
        <v>44974</v>
      </c>
      <c r="D1059" s="2">
        <f>YEAR(Table1[[#This Row],[PurchaseDate]])</f>
        <v>2023</v>
      </c>
      <c r="E1059" s="2" t="str">
        <f>"Q"&amp;ROUNDUP(MONTH(Table1[[#This Row],[PurchaseDate]])/3,0)</f>
        <v>Q1</v>
      </c>
      <c r="F1059" s="2">
        <f>MONTH(Table1[[#This Row],[PurchaseDate]])</f>
        <v>2</v>
      </c>
      <c r="G1059" s="2" t="str">
        <f>TEXT(Table1[[#This Row],[PurchaseDate]],"MMM")</f>
        <v>Feb</v>
      </c>
      <c r="H1059">
        <v>5</v>
      </c>
      <c r="I1059">
        <v>181.92</v>
      </c>
      <c r="J1059" t="s">
        <v>2016</v>
      </c>
      <c r="K1059" t="s">
        <v>18</v>
      </c>
      <c r="L1059" t="s">
        <v>23</v>
      </c>
      <c r="M1059">
        <v>4</v>
      </c>
      <c r="N1059">
        <v>909.6</v>
      </c>
    </row>
    <row r="1060" spans="1:14" x14ac:dyDescent="0.3">
      <c r="A1060" t="s">
        <v>155</v>
      </c>
      <c r="B1060" t="s">
        <v>25</v>
      </c>
      <c r="C1060" s="1">
        <v>45158</v>
      </c>
      <c r="D1060" s="2">
        <f>YEAR(Table1[[#This Row],[PurchaseDate]])</f>
        <v>2023</v>
      </c>
      <c r="E1060" s="2" t="str">
        <f>"Q"&amp;ROUNDUP(MONTH(Table1[[#This Row],[PurchaseDate]])/3,0)</f>
        <v>Q3</v>
      </c>
      <c r="F1060" s="2">
        <f>MONTH(Table1[[#This Row],[PurchaseDate]])</f>
        <v>8</v>
      </c>
      <c r="G1060" s="2" t="str">
        <f>TEXT(Table1[[#This Row],[PurchaseDate]],"MMM")</f>
        <v>Aug</v>
      </c>
      <c r="H1060">
        <v>2</v>
      </c>
      <c r="I1060">
        <v>378.19</v>
      </c>
      <c r="J1060" t="s">
        <v>156</v>
      </c>
      <c r="K1060" t="s">
        <v>18</v>
      </c>
      <c r="L1060" t="s">
        <v>19</v>
      </c>
      <c r="M1060">
        <v>3</v>
      </c>
      <c r="N1060">
        <v>756.38</v>
      </c>
    </row>
    <row r="1061" spans="1:14" x14ac:dyDescent="0.3">
      <c r="A1061" t="s">
        <v>911</v>
      </c>
      <c r="B1061" t="s">
        <v>16</v>
      </c>
      <c r="C1061" s="1">
        <v>45349</v>
      </c>
      <c r="D1061" s="2">
        <f>YEAR(Table1[[#This Row],[PurchaseDate]])</f>
        <v>2024</v>
      </c>
      <c r="E1061" s="2" t="str">
        <f>"Q"&amp;ROUNDUP(MONTH(Table1[[#This Row],[PurchaseDate]])/3,0)</f>
        <v>Q1</v>
      </c>
      <c r="F1061" s="2">
        <f>MONTH(Table1[[#This Row],[PurchaseDate]])</f>
        <v>2</v>
      </c>
      <c r="G1061" s="2" t="str">
        <f>TEXT(Table1[[#This Row],[PurchaseDate]],"MMM")</f>
        <v>Feb</v>
      </c>
      <c r="H1061">
        <v>5</v>
      </c>
      <c r="I1061">
        <v>129.16999999999999</v>
      </c>
      <c r="J1061" t="s">
        <v>912</v>
      </c>
      <c r="K1061" t="s">
        <v>18</v>
      </c>
      <c r="L1061" t="s">
        <v>23</v>
      </c>
      <c r="M1061">
        <v>3</v>
      </c>
      <c r="N1061">
        <v>645.85</v>
      </c>
    </row>
    <row r="1062" spans="1:14" x14ac:dyDescent="0.3">
      <c r="A1062" t="s">
        <v>2017</v>
      </c>
      <c r="B1062" t="s">
        <v>11</v>
      </c>
      <c r="C1062" s="1">
        <v>45024</v>
      </c>
      <c r="D1062" s="2">
        <f>YEAR(Table1[[#This Row],[PurchaseDate]])</f>
        <v>2023</v>
      </c>
      <c r="E1062" s="2" t="str">
        <f>"Q"&amp;ROUNDUP(MONTH(Table1[[#This Row],[PurchaseDate]])/3,0)</f>
        <v>Q2</v>
      </c>
      <c r="F1062" s="2">
        <f>MONTH(Table1[[#This Row],[PurchaseDate]])</f>
        <v>4</v>
      </c>
      <c r="G1062" s="2" t="str">
        <f>TEXT(Table1[[#This Row],[PurchaseDate]],"MMM")</f>
        <v>Apr</v>
      </c>
      <c r="H1062">
        <v>4</v>
      </c>
      <c r="I1062">
        <v>62.34</v>
      </c>
      <c r="J1062" t="s">
        <v>2018</v>
      </c>
      <c r="K1062" t="s">
        <v>38</v>
      </c>
      <c r="L1062" t="s">
        <v>19</v>
      </c>
      <c r="M1062">
        <v>4</v>
      </c>
      <c r="N1062">
        <v>249.36</v>
      </c>
    </row>
    <row r="1063" spans="1:14" x14ac:dyDescent="0.3">
      <c r="A1063" t="s">
        <v>2019</v>
      </c>
      <c r="B1063" t="s">
        <v>42</v>
      </c>
      <c r="C1063" s="1">
        <v>45785</v>
      </c>
      <c r="D1063" s="2">
        <f>YEAR(Table1[[#This Row],[PurchaseDate]])</f>
        <v>2025</v>
      </c>
      <c r="E1063" s="2" t="str">
        <f>"Q"&amp;ROUNDUP(MONTH(Table1[[#This Row],[PurchaseDate]])/3,0)</f>
        <v>Q2</v>
      </c>
      <c r="F1063" s="2">
        <f>MONTH(Table1[[#This Row],[PurchaseDate]])</f>
        <v>5</v>
      </c>
      <c r="G1063" s="2" t="str">
        <f>TEXT(Table1[[#This Row],[PurchaseDate]],"MMM")</f>
        <v>May</v>
      </c>
      <c r="H1063">
        <v>7</v>
      </c>
      <c r="I1063">
        <v>497.8</v>
      </c>
      <c r="J1063" t="s">
        <v>2020</v>
      </c>
      <c r="K1063" t="s">
        <v>18</v>
      </c>
      <c r="L1063" t="s">
        <v>19</v>
      </c>
      <c r="M1063">
        <v>5</v>
      </c>
      <c r="N1063">
        <v>3484.6</v>
      </c>
    </row>
    <row r="1064" spans="1:14" x14ac:dyDescent="0.3">
      <c r="A1064" t="s">
        <v>2021</v>
      </c>
      <c r="B1064" t="s">
        <v>29</v>
      </c>
      <c r="C1064" s="1">
        <v>45433</v>
      </c>
      <c r="D1064" s="2">
        <f>YEAR(Table1[[#This Row],[PurchaseDate]])</f>
        <v>2024</v>
      </c>
      <c r="E1064" s="2" t="str">
        <f>"Q"&amp;ROUNDUP(MONTH(Table1[[#This Row],[PurchaseDate]])/3,0)</f>
        <v>Q2</v>
      </c>
      <c r="F1064" s="2">
        <f>MONTH(Table1[[#This Row],[PurchaseDate]])</f>
        <v>5</v>
      </c>
      <c r="G1064" s="2" t="str">
        <f>TEXT(Table1[[#This Row],[PurchaseDate]],"MMM")</f>
        <v>May</v>
      </c>
      <c r="H1064">
        <v>7</v>
      </c>
      <c r="I1064">
        <v>736.95</v>
      </c>
      <c r="J1064" t="s">
        <v>2022</v>
      </c>
      <c r="K1064" t="s">
        <v>13</v>
      </c>
      <c r="L1064" t="s">
        <v>23</v>
      </c>
      <c r="M1064">
        <v>5</v>
      </c>
      <c r="N1064">
        <v>5158.6499999999996</v>
      </c>
    </row>
    <row r="1065" spans="1:14" x14ac:dyDescent="0.3">
      <c r="A1065" t="s">
        <v>2023</v>
      </c>
      <c r="B1065" t="s">
        <v>25</v>
      </c>
      <c r="C1065" s="1">
        <v>45217</v>
      </c>
      <c r="D1065" s="2">
        <f>YEAR(Table1[[#This Row],[PurchaseDate]])</f>
        <v>2023</v>
      </c>
      <c r="E1065" s="2" t="str">
        <f>"Q"&amp;ROUNDUP(MONTH(Table1[[#This Row],[PurchaseDate]])/3,0)</f>
        <v>Q4</v>
      </c>
      <c r="F1065" s="2">
        <f>MONTH(Table1[[#This Row],[PurchaseDate]])</f>
        <v>10</v>
      </c>
      <c r="G1065" s="2" t="str">
        <f>TEXT(Table1[[#This Row],[PurchaseDate]],"MMM")</f>
        <v>Oct</v>
      </c>
      <c r="H1065">
        <v>1</v>
      </c>
      <c r="I1065">
        <v>107.67</v>
      </c>
      <c r="J1065" t="s">
        <v>2024</v>
      </c>
      <c r="K1065" t="s">
        <v>18</v>
      </c>
      <c r="L1065" t="s">
        <v>27</v>
      </c>
      <c r="M1065">
        <v>5</v>
      </c>
      <c r="N1065">
        <v>107.67</v>
      </c>
    </row>
    <row r="1066" spans="1:14" x14ac:dyDescent="0.3">
      <c r="A1066" t="s">
        <v>2025</v>
      </c>
      <c r="B1066" t="s">
        <v>42</v>
      </c>
      <c r="C1066" s="1">
        <v>45233</v>
      </c>
      <c r="D1066" s="2">
        <f>YEAR(Table1[[#This Row],[PurchaseDate]])</f>
        <v>2023</v>
      </c>
      <c r="E1066" s="2" t="str">
        <f>"Q"&amp;ROUNDUP(MONTH(Table1[[#This Row],[PurchaseDate]])/3,0)</f>
        <v>Q4</v>
      </c>
      <c r="F1066" s="2">
        <f>MONTH(Table1[[#This Row],[PurchaseDate]])</f>
        <v>11</v>
      </c>
      <c r="G1066" s="2" t="str">
        <f>TEXT(Table1[[#This Row],[PurchaseDate]],"MMM")</f>
        <v>Nov</v>
      </c>
      <c r="H1066">
        <v>1</v>
      </c>
      <c r="I1066">
        <v>192.81</v>
      </c>
      <c r="J1066" t="s">
        <v>2026</v>
      </c>
      <c r="K1066" t="s">
        <v>38</v>
      </c>
      <c r="L1066" t="s">
        <v>23</v>
      </c>
      <c r="M1066">
        <v>4</v>
      </c>
      <c r="N1066">
        <v>192.81</v>
      </c>
    </row>
    <row r="1067" spans="1:14" x14ac:dyDescent="0.3">
      <c r="A1067" t="s">
        <v>2027</v>
      </c>
      <c r="B1067" t="s">
        <v>25</v>
      </c>
      <c r="C1067" s="1">
        <v>45306</v>
      </c>
      <c r="D1067" s="2">
        <f>YEAR(Table1[[#This Row],[PurchaseDate]])</f>
        <v>2024</v>
      </c>
      <c r="E1067" s="2" t="str">
        <f>"Q"&amp;ROUNDUP(MONTH(Table1[[#This Row],[PurchaseDate]])/3,0)</f>
        <v>Q1</v>
      </c>
      <c r="F1067" s="2">
        <f>MONTH(Table1[[#This Row],[PurchaseDate]])</f>
        <v>1</v>
      </c>
      <c r="G1067" s="2" t="str">
        <f>TEXT(Table1[[#This Row],[PurchaseDate]],"MMM")</f>
        <v>Jan</v>
      </c>
      <c r="H1067">
        <v>4</v>
      </c>
      <c r="I1067">
        <v>671.79</v>
      </c>
      <c r="J1067" t="s">
        <v>2028</v>
      </c>
      <c r="K1067" t="s">
        <v>18</v>
      </c>
      <c r="L1067" t="s">
        <v>23</v>
      </c>
      <c r="M1067">
        <v>4</v>
      </c>
      <c r="N1067">
        <v>2687.16</v>
      </c>
    </row>
    <row r="1068" spans="1:14" x14ac:dyDescent="0.3">
      <c r="A1068" t="s">
        <v>2029</v>
      </c>
      <c r="B1068" t="s">
        <v>21</v>
      </c>
      <c r="C1068" s="1">
        <v>45004</v>
      </c>
      <c r="D1068" s="2">
        <f>YEAR(Table1[[#This Row],[PurchaseDate]])</f>
        <v>2023</v>
      </c>
      <c r="E1068" s="2" t="str">
        <f>"Q"&amp;ROUNDUP(MONTH(Table1[[#This Row],[PurchaseDate]])/3,0)</f>
        <v>Q1</v>
      </c>
      <c r="F1068" s="2">
        <f>MONTH(Table1[[#This Row],[PurchaseDate]])</f>
        <v>3</v>
      </c>
      <c r="G1068" s="2" t="str">
        <f>TEXT(Table1[[#This Row],[PurchaseDate]],"MMM")</f>
        <v>Mar</v>
      </c>
      <c r="H1068">
        <v>6</v>
      </c>
      <c r="I1068">
        <v>425.92</v>
      </c>
      <c r="J1068" t="s">
        <v>2030</v>
      </c>
      <c r="K1068" t="s">
        <v>38</v>
      </c>
      <c r="L1068" t="s">
        <v>27</v>
      </c>
      <c r="M1068">
        <v>1</v>
      </c>
      <c r="N1068">
        <v>2555.52</v>
      </c>
    </row>
    <row r="1069" spans="1:14" x14ac:dyDescent="0.3">
      <c r="A1069" t="s">
        <v>2031</v>
      </c>
      <c r="B1069" t="s">
        <v>34</v>
      </c>
      <c r="C1069" s="1">
        <v>45050</v>
      </c>
      <c r="D1069" s="2">
        <f>YEAR(Table1[[#This Row],[PurchaseDate]])</f>
        <v>2023</v>
      </c>
      <c r="E1069" s="2" t="str">
        <f>"Q"&amp;ROUNDUP(MONTH(Table1[[#This Row],[PurchaseDate]])/3,0)</f>
        <v>Q2</v>
      </c>
      <c r="F1069" s="2">
        <f>MONTH(Table1[[#This Row],[PurchaseDate]])</f>
        <v>5</v>
      </c>
      <c r="G1069" s="2" t="str">
        <f>TEXT(Table1[[#This Row],[PurchaseDate]],"MMM")</f>
        <v>May</v>
      </c>
      <c r="H1069">
        <v>2</v>
      </c>
      <c r="I1069">
        <v>264.97000000000003</v>
      </c>
      <c r="J1069" t="s">
        <v>2032</v>
      </c>
      <c r="K1069" t="s">
        <v>13</v>
      </c>
      <c r="L1069" t="s">
        <v>19</v>
      </c>
      <c r="M1069">
        <v>4</v>
      </c>
      <c r="N1069">
        <v>529.94000000000005</v>
      </c>
    </row>
    <row r="1070" spans="1:14" x14ac:dyDescent="0.3">
      <c r="A1070" t="s">
        <v>2033</v>
      </c>
      <c r="B1070" t="s">
        <v>34</v>
      </c>
      <c r="C1070" s="1">
        <v>45052</v>
      </c>
      <c r="D1070" s="2">
        <f>YEAR(Table1[[#This Row],[PurchaseDate]])</f>
        <v>2023</v>
      </c>
      <c r="E1070" s="2" t="str">
        <f>"Q"&amp;ROUNDUP(MONTH(Table1[[#This Row],[PurchaseDate]])/3,0)</f>
        <v>Q2</v>
      </c>
      <c r="F1070" s="2">
        <f>MONTH(Table1[[#This Row],[PurchaseDate]])</f>
        <v>5</v>
      </c>
      <c r="G1070" s="2" t="str">
        <f>TEXT(Table1[[#This Row],[PurchaseDate]],"MMM")</f>
        <v>May</v>
      </c>
      <c r="H1070">
        <v>1</v>
      </c>
      <c r="I1070">
        <v>122.06</v>
      </c>
      <c r="J1070" t="s">
        <v>2034</v>
      </c>
      <c r="K1070" t="s">
        <v>18</v>
      </c>
      <c r="L1070" t="s">
        <v>27</v>
      </c>
      <c r="M1070">
        <v>4</v>
      </c>
      <c r="N1070">
        <v>122.06</v>
      </c>
    </row>
    <row r="1071" spans="1:14" x14ac:dyDescent="0.3">
      <c r="A1071" t="s">
        <v>2035</v>
      </c>
      <c r="B1071" t="s">
        <v>11</v>
      </c>
      <c r="C1071" s="1">
        <v>45280</v>
      </c>
      <c r="D1071" s="2">
        <f>YEAR(Table1[[#This Row],[PurchaseDate]])</f>
        <v>2023</v>
      </c>
      <c r="E1071" s="2" t="str">
        <f>"Q"&amp;ROUNDUP(MONTH(Table1[[#This Row],[PurchaseDate]])/3,0)</f>
        <v>Q4</v>
      </c>
      <c r="F1071" s="2">
        <f>MONTH(Table1[[#This Row],[PurchaseDate]])</f>
        <v>12</v>
      </c>
      <c r="G1071" s="2" t="str">
        <f>TEXT(Table1[[#This Row],[PurchaseDate]],"MMM")</f>
        <v>Dec</v>
      </c>
      <c r="H1071">
        <v>1</v>
      </c>
      <c r="I1071">
        <v>572.04999999999995</v>
      </c>
      <c r="J1071" t="s">
        <v>2036</v>
      </c>
      <c r="K1071" t="s">
        <v>18</v>
      </c>
      <c r="L1071" t="s">
        <v>14</v>
      </c>
      <c r="M1071">
        <v>4</v>
      </c>
      <c r="N1071">
        <v>572.04999999999995</v>
      </c>
    </row>
    <row r="1072" spans="1:14" x14ac:dyDescent="0.3">
      <c r="A1072" t="s">
        <v>2037</v>
      </c>
      <c r="B1072" t="s">
        <v>21</v>
      </c>
      <c r="C1072" s="1">
        <v>45073</v>
      </c>
      <c r="D1072" s="2">
        <f>YEAR(Table1[[#This Row],[PurchaseDate]])</f>
        <v>2023</v>
      </c>
      <c r="E1072" s="2" t="str">
        <f>"Q"&amp;ROUNDUP(MONTH(Table1[[#This Row],[PurchaseDate]])/3,0)</f>
        <v>Q2</v>
      </c>
      <c r="F1072" s="2">
        <f>MONTH(Table1[[#This Row],[PurchaseDate]])</f>
        <v>5</v>
      </c>
      <c r="G1072" s="2" t="str">
        <f>TEXT(Table1[[#This Row],[PurchaseDate]],"MMM")</f>
        <v>May</v>
      </c>
      <c r="H1072">
        <v>5</v>
      </c>
      <c r="I1072">
        <v>298.95</v>
      </c>
      <c r="J1072" t="s">
        <v>2038</v>
      </c>
      <c r="K1072" t="s">
        <v>18</v>
      </c>
      <c r="L1072" t="s">
        <v>14</v>
      </c>
      <c r="M1072">
        <v>5</v>
      </c>
      <c r="N1072">
        <v>1494.75</v>
      </c>
    </row>
    <row r="1073" spans="1:14" x14ac:dyDescent="0.3">
      <c r="A1073" t="s">
        <v>2039</v>
      </c>
      <c r="B1073" t="s">
        <v>42</v>
      </c>
      <c r="C1073" s="1">
        <v>45005</v>
      </c>
      <c r="D1073" s="2">
        <f>YEAR(Table1[[#This Row],[PurchaseDate]])</f>
        <v>2023</v>
      </c>
      <c r="E1073" s="2" t="str">
        <f>"Q"&amp;ROUNDUP(MONTH(Table1[[#This Row],[PurchaseDate]])/3,0)</f>
        <v>Q1</v>
      </c>
      <c r="F1073" s="2">
        <f>MONTH(Table1[[#This Row],[PurchaseDate]])</f>
        <v>3</v>
      </c>
      <c r="G1073" s="2" t="str">
        <f>TEXT(Table1[[#This Row],[PurchaseDate]],"MMM")</f>
        <v>Mar</v>
      </c>
      <c r="H1073">
        <v>5</v>
      </c>
      <c r="I1073">
        <v>534.75</v>
      </c>
      <c r="J1073" t="s">
        <v>2040</v>
      </c>
      <c r="K1073" t="s">
        <v>13</v>
      </c>
      <c r="L1073" t="s">
        <v>27</v>
      </c>
      <c r="M1073">
        <v>5</v>
      </c>
      <c r="N1073">
        <v>2673.75</v>
      </c>
    </row>
    <row r="1074" spans="1:14" x14ac:dyDescent="0.3">
      <c r="A1074" t="s">
        <v>2041</v>
      </c>
      <c r="B1074" t="s">
        <v>25</v>
      </c>
      <c r="C1074" s="1">
        <v>45103</v>
      </c>
      <c r="D1074" s="2">
        <f>YEAR(Table1[[#This Row],[PurchaseDate]])</f>
        <v>2023</v>
      </c>
      <c r="E1074" s="2" t="str">
        <f>"Q"&amp;ROUNDUP(MONTH(Table1[[#This Row],[PurchaseDate]])/3,0)</f>
        <v>Q2</v>
      </c>
      <c r="F1074" s="2">
        <f>MONTH(Table1[[#This Row],[PurchaseDate]])</f>
        <v>6</v>
      </c>
      <c r="G1074" s="2" t="str">
        <f>TEXT(Table1[[#This Row],[PurchaseDate]],"MMM")</f>
        <v>Jun</v>
      </c>
      <c r="H1074">
        <v>7</v>
      </c>
      <c r="I1074">
        <v>367.19</v>
      </c>
      <c r="J1074" t="s">
        <v>2042</v>
      </c>
      <c r="K1074" t="s">
        <v>38</v>
      </c>
      <c r="L1074" t="s">
        <v>14</v>
      </c>
      <c r="M1074">
        <v>4</v>
      </c>
      <c r="N1074">
        <v>2570.33</v>
      </c>
    </row>
    <row r="1075" spans="1:14" x14ac:dyDescent="0.3">
      <c r="A1075" t="s">
        <v>2043</v>
      </c>
      <c r="B1075" t="s">
        <v>34</v>
      </c>
      <c r="C1075" s="1">
        <v>45477</v>
      </c>
      <c r="D1075" s="2">
        <f>YEAR(Table1[[#This Row],[PurchaseDate]])</f>
        <v>2024</v>
      </c>
      <c r="E1075" s="2" t="str">
        <f>"Q"&amp;ROUNDUP(MONTH(Table1[[#This Row],[PurchaseDate]])/3,0)</f>
        <v>Q3</v>
      </c>
      <c r="F1075" s="2">
        <f>MONTH(Table1[[#This Row],[PurchaseDate]])</f>
        <v>7</v>
      </c>
      <c r="G1075" s="2" t="str">
        <f>TEXT(Table1[[#This Row],[PurchaseDate]],"MMM")</f>
        <v>Jul</v>
      </c>
      <c r="H1075">
        <v>5</v>
      </c>
      <c r="I1075">
        <v>121.55</v>
      </c>
      <c r="J1075" t="s">
        <v>2044</v>
      </c>
      <c r="K1075" t="s">
        <v>13</v>
      </c>
      <c r="L1075" t="s">
        <v>19</v>
      </c>
      <c r="M1075">
        <v>1</v>
      </c>
      <c r="N1075">
        <v>607.75</v>
      </c>
    </row>
    <row r="1076" spans="1:14" x14ac:dyDescent="0.3">
      <c r="A1076" t="s">
        <v>2045</v>
      </c>
      <c r="B1076" t="s">
        <v>21</v>
      </c>
      <c r="C1076" s="1">
        <v>45566</v>
      </c>
      <c r="D1076" s="2">
        <f>YEAR(Table1[[#This Row],[PurchaseDate]])</f>
        <v>2024</v>
      </c>
      <c r="E1076" s="2" t="str">
        <f>"Q"&amp;ROUNDUP(MONTH(Table1[[#This Row],[PurchaseDate]])/3,0)</f>
        <v>Q4</v>
      </c>
      <c r="F1076" s="2">
        <f>MONTH(Table1[[#This Row],[PurchaseDate]])</f>
        <v>10</v>
      </c>
      <c r="G1076" s="2" t="str">
        <f>TEXT(Table1[[#This Row],[PurchaseDate]],"MMM")</f>
        <v>Oct</v>
      </c>
      <c r="H1076">
        <v>4</v>
      </c>
      <c r="I1076">
        <v>406.85</v>
      </c>
      <c r="J1076" t="s">
        <v>2046</v>
      </c>
      <c r="K1076" t="s">
        <v>38</v>
      </c>
      <c r="L1076" t="s">
        <v>23</v>
      </c>
      <c r="M1076">
        <v>5</v>
      </c>
      <c r="N1076">
        <v>1627.4</v>
      </c>
    </row>
    <row r="1077" spans="1:14" x14ac:dyDescent="0.3">
      <c r="A1077" t="s">
        <v>2047</v>
      </c>
      <c r="B1077" t="s">
        <v>25</v>
      </c>
      <c r="C1077" s="1">
        <v>45775</v>
      </c>
      <c r="D1077" s="2">
        <f>YEAR(Table1[[#This Row],[PurchaseDate]])</f>
        <v>2025</v>
      </c>
      <c r="E1077" s="2" t="str">
        <f>"Q"&amp;ROUNDUP(MONTH(Table1[[#This Row],[PurchaseDate]])/3,0)</f>
        <v>Q2</v>
      </c>
      <c r="F1077" s="2">
        <f>MONTH(Table1[[#This Row],[PurchaseDate]])</f>
        <v>4</v>
      </c>
      <c r="G1077" s="2" t="str">
        <f>TEXT(Table1[[#This Row],[PurchaseDate]],"MMM")</f>
        <v>Apr</v>
      </c>
      <c r="H1077">
        <v>4</v>
      </c>
      <c r="I1077">
        <v>307.95999999999998</v>
      </c>
      <c r="J1077" t="s">
        <v>2048</v>
      </c>
      <c r="K1077" t="s">
        <v>18</v>
      </c>
      <c r="L1077" t="s">
        <v>58</v>
      </c>
      <c r="M1077">
        <v>1</v>
      </c>
      <c r="N1077">
        <v>1231.8399999999999</v>
      </c>
    </row>
    <row r="1078" spans="1:14" x14ac:dyDescent="0.3">
      <c r="A1078" t="s">
        <v>2049</v>
      </c>
      <c r="B1078" t="s">
        <v>34</v>
      </c>
      <c r="C1078" s="1">
        <v>45376</v>
      </c>
      <c r="D1078" s="2">
        <f>YEAR(Table1[[#This Row],[PurchaseDate]])</f>
        <v>2024</v>
      </c>
      <c r="E1078" s="2" t="str">
        <f>"Q"&amp;ROUNDUP(MONTH(Table1[[#This Row],[PurchaseDate]])/3,0)</f>
        <v>Q1</v>
      </c>
      <c r="F1078" s="2">
        <f>MONTH(Table1[[#This Row],[PurchaseDate]])</f>
        <v>3</v>
      </c>
      <c r="G1078" s="2" t="str">
        <f>TEXT(Table1[[#This Row],[PurchaseDate]],"MMM")</f>
        <v>Mar</v>
      </c>
      <c r="H1078">
        <v>6</v>
      </c>
      <c r="I1078">
        <v>168.05</v>
      </c>
      <c r="J1078" t="s">
        <v>2050</v>
      </c>
      <c r="K1078" t="s">
        <v>13</v>
      </c>
      <c r="L1078" t="s">
        <v>19</v>
      </c>
      <c r="M1078">
        <v>4</v>
      </c>
      <c r="N1078">
        <v>1008.3</v>
      </c>
    </row>
    <row r="1079" spans="1:14" x14ac:dyDescent="0.3">
      <c r="A1079" t="s">
        <v>2051</v>
      </c>
      <c r="B1079" t="s">
        <v>29</v>
      </c>
      <c r="C1079" s="1">
        <v>44953</v>
      </c>
      <c r="D1079" s="2">
        <f>YEAR(Table1[[#This Row],[PurchaseDate]])</f>
        <v>2023</v>
      </c>
      <c r="E1079" s="2" t="str">
        <f>"Q"&amp;ROUNDUP(MONTH(Table1[[#This Row],[PurchaseDate]])/3,0)</f>
        <v>Q1</v>
      </c>
      <c r="F1079" s="2">
        <f>MONTH(Table1[[#This Row],[PurchaseDate]])</f>
        <v>1</v>
      </c>
      <c r="G1079" s="2" t="str">
        <f>TEXT(Table1[[#This Row],[PurchaseDate]],"MMM")</f>
        <v>Jan</v>
      </c>
      <c r="H1079">
        <v>8</v>
      </c>
      <c r="I1079">
        <v>686.94</v>
      </c>
      <c r="J1079" t="s">
        <v>2052</v>
      </c>
      <c r="K1079" t="s">
        <v>13</v>
      </c>
      <c r="L1079" t="s">
        <v>19</v>
      </c>
      <c r="M1079">
        <v>1</v>
      </c>
      <c r="N1079">
        <v>5495.52</v>
      </c>
    </row>
    <row r="1080" spans="1:14" x14ac:dyDescent="0.3">
      <c r="A1080" t="s">
        <v>2053</v>
      </c>
      <c r="B1080" t="s">
        <v>16</v>
      </c>
      <c r="C1080" s="1">
        <v>45138</v>
      </c>
      <c r="D1080" s="2">
        <f>YEAR(Table1[[#This Row],[PurchaseDate]])</f>
        <v>2023</v>
      </c>
      <c r="E1080" s="2" t="str">
        <f>"Q"&amp;ROUNDUP(MONTH(Table1[[#This Row],[PurchaseDate]])/3,0)</f>
        <v>Q3</v>
      </c>
      <c r="F1080" s="2">
        <f>MONTH(Table1[[#This Row],[PurchaseDate]])</f>
        <v>7</v>
      </c>
      <c r="G1080" s="2" t="str">
        <f>TEXT(Table1[[#This Row],[PurchaseDate]],"MMM")</f>
        <v>Jul</v>
      </c>
      <c r="H1080">
        <v>3</v>
      </c>
      <c r="I1080">
        <v>621.01</v>
      </c>
      <c r="J1080" t="s">
        <v>2054</v>
      </c>
      <c r="K1080" t="s">
        <v>18</v>
      </c>
      <c r="L1080" t="s">
        <v>58</v>
      </c>
      <c r="M1080">
        <v>3</v>
      </c>
      <c r="N1080">
        <v>1863.03</v>
      </c>
    </row>
    <row r="1081" spans="1:14" x14ac:dyDescent="0.3">
      <c r="A1081" t="s">
        <v>2055</v>
      </c>
      <c r="B1081" t="s">
        <v>42</v>
      </c>
      <c r="C1081" s="1">
        <v>45252</v>
      </c>
      <c r="D1081" s="2">
        <f>YEAR(Table1[[#This Row],[PurchaseDate]])</f>
        <v>2023</v>
      </c>
      <c r="E1081" s="2" t="str">
        <f>"Q"&amp;ROUNDUP(MONTH(Table1[[#This Row],[PurchaseDate]])/3,0)</f>
        <v>Q4</v>
      </c>
      <c r="F1081" s="2">
        <f>MONTH(Table1[[#This Row],[PurchaseDate]])</f>
        <v>11</v>
      </c>
      <c r="G1081" s="2" t="str">
        <f>TEXT(Table1[[#This Row],[PurchaseDate]],"MMM")</f>
        <v>Nov</v>
      </c>
      <c r="H1081">
        <v>5</v>
      </c>
      <c r="I1081">
        <v>15.54</v>
      </c>
      <c r="J1081" t="s">
        <v>2056</v>
      </c>
      <c r="K1081" t="s">
        <v>18</v>
      </c>
      <c r="L1081" t="s">
        <v>58</v>
      </c>
      <c r="M1081">
        <v>5</v>
      </c>
      <c r="N1081">
        <v>77.7</v>
      </c>
    </row>
    <row r="1082" spans="1:14" x14ac:dyDescent="0.3">
      <c r="A1082" t="s">
        <v>2057</v>
      </c>
      <c r="B1082" t="s">
        <v>34</v>
      </c>
      <c r="C1082" s="1">
        <v>45661</v>
      </c>
      <c r="D1082" s="2">
        <f>YEAR(Table1[[#This Row],[PurchaseDate]])</f>
        <v>2025</v>
      </c>
      <c r="E1082" s="2" t="str">
        <f>"Q"&amp;ROUNDUP(MONTH(Table1[[#This Row],[PurchaseDate]])/3,0)</f>
        <v>Q1</v>
      </c>
      <c r="F1082" s="2">
        <f>MONTH(Table1[[#This Row],[PurchaseDate]])</f>
        <v>1</v>
      </c>
      <c r="G1082" s="2" t="str">
        <f>TEXT(Table1[[#This Row],[PurchaseDate]],"MMM")</f>
        <v>Jan</v>
      </c>
      <c r="H1082">
        <v>2</v>
      </c>
      <c r="I1082">
        <v>728.1</v>
      </c>
      <c r="J1082" t="s">
        <v>2058</v>
      </c>
      <c r="K1082" t="s">
        <v>13</v>
      </c>
      <c r="L1082" t="s">
        <v>19</v>
      </c>
      <c r="M1082">
        <v>5</v>
      </c>
      <c r="N1082">
        <v>1456.2</v>
      </c>
    </row>
    <row r="1083" spans="1:14" x14ac:dyDescent="0.3">
      <c r="A1083" t="s">
        <v>2059</v>
      </c>
      <c r="B1083" t="s">
        <v>21</v>
      </c>
      <c r="C1083" s="1">
        <v>45151</v>
      </c>
      <c r="D1083" s="2">
        <f>YEAR(Table1[[#This Row],[PurchaseDate]])</f>
        <v>2023</v>
      </c>
      <c r="E1083" s="2" t="str">
        <f>"Q"&amp;ROUNDUP(MONTH(Table1[[#This Row],[PurchaseDate]])/3,0)</f>
        <v>Q3</v>
      </c>
      <c r="F1083" s="2">
        <f>MONTH(Table1[[#This Row],[PurchaseDate]])</f>
        <v>8</v>
      </c>
      <c r="G1083" s="2" t="str">
        <f>TEXT(Table1[[#This Row],[PurchaseDate]],"MMM")</f>
        <v>Aug</v>
      </c>
      <c r="H1083">
        <v>4</v>
      </c>
      <c r="I1083">
        <v>277</v>
      </c>
      <c r="J1083" t="s">
        <v>2060</v>
      </c>
      <c r="K1083" t="s">
        <v>18</v>
      </c>
      <c r="L1083" t="s">
        <v>58</v>
      </c>
      <c r="M1083">
        <v>4</v>
      </c>
      <c r="N1083">
        <v>1108</v>
      </c>
    </row>
    <row r="1084" spans="1:14" x14ac:dyDescent="0.3">
      <c r="A1084" t="s">
        <v>2061</v>
      </c>
      <c r="B1084" t="s">
        <v>21</v>
      </c>
      <c r="C1084" s="1">
        <v>45495</v>
      </c>
      <c r="D1084" s="2">
        <f>YEAR(Table1[[#This Row],[PurchaseDate]])</f>
        <v>2024</v>
      </c>
      <c r="E1084" s="2" t="str">
        <f>"Q"&amp;ROUNDUP(MONTH(Table1[[#This Row],[PurchaseDate]])/3,0)</f>
        <v>Q3</v>
      </c>
      <c r="F1084" s="2">
        <f>MONTH(Table1[[#This Row],[PurchaseDate]])</f>
        <v>7</v>
      </c>
      <c r="G1084" s="2" t="str">
        <f>TEXT(Table1[[#This Row],[PurchaseDate]],"MMM")</f>
        <v>Jul</v>
      </c>
      <c r="H1084">
        <v>1</v>
      </c>
      <c r="I1084">
        <v>638.11</v>
      </c>
      <c r="J1084" t="s">
        <v>2062</v>
      </c>
      <c r="K1084" t="s">
        <v>18</v>
      </c>
      <c r="L1084" t="s">
        <v>14</v>
      </c>
      <c r="M1084">
        <v>1</v>
      </c>
      <c r="N1084">
        <v>638.11</v>
      </c>
    </row>
    <row r="1085" spans="1:14" x14ac:dyDescent="0.3">
      <c r="A1085" t="s">
        <v>2063</v>
      </c>
      <c r="B1085" t="s">
        <v>11</v>
      </c>
      <c r="C1085" s="1">
        <v>45451</v>
      </c>
      <c r="D1085" s="2">
        <f>YEAR(Table1[[#This Row],[PurchaseDate]])</f>
        <v>2024</v>
      </c>
      <c r="E1085" s="2" t="str">
        <f>"Q"&amp;ROUNDUP(MONTH(Table1[[#This Row],[PurchaseDate]])/3,0)</f>
        <v>Q2</v>
      </c>
      <c r="F1085" s="2">
        <f>MONTH(Table1[[#This Row],[PurchaseDate]])</f>
        <v>6</v>
      </c>
      <c r="G1085" s="2" t="str">
        <f>TEXT(Table1[[#This Row],[PurchaseDate]],"MMM")</f>
        <v>Jun</v>
      </c>
      <c r="H1085">
        <v>7</v>
      </c>
      <c r="I1085">
        <v>60.21</v>
      </c>
      <c r="J1085" t="s">
        <v>2064</v>
      </c>
      <c r="K1085" t="s">
        <v>38</v>
      </c>
      <c r="L1085" t="s">
        <v>14</v>
      </c>
      <c r="M1085">
        <v>3</v>
      </c>
      <c r="N1085">
        <v>421.47</v>
      </c>
    </row>
    <row r="1086" spans="1:14" x14ac:dyDescent="0.3">
      <c r="A1086" t="s">
        <v>2065</v>
      </c>
      <c r="B1086" t="s">
        <v>29</v>
      </c>
      <c r="C1086" s="1">
        <v>45704</v>
      </c>
      <c r="D1086" s="2">
        <f>YEAR(Table1[[#This Row],[PurchaseDate]])</f>
        <v>2025</v>
      </c>
      <c r="E1086" s="2" t="str">
        <f>"Q"&amp;ROUNDUP(MONTH(Table1[[#This Row],[PurchaseDate]])/3,0)</f>
        <v>Q1</v>
      </c>
      <c r="F1086" s="2">
        <f>MONTH(Table1[[#This Row],[PurchaseDate]])</f>
        <v>2</v>
      </c>
      <c r="G1086" s="2" t="str">
        <f>TEXT(Table1[[#This Row],[PurchaseDate]],"MMM")</f>
        <v>Feb</v>
      </c>
      <c r="H1086">
        <v>7</v>
      </c>
      <c r="I1086">
        <v>653.16999999999996</v>
      </c>
      <c r="J1086" t="s">
        <v>2066</v>
      </c>
      <c r="K1086" t="s">
        <v>38</v>
      </c>
      <c r="L1086" t="s">
        <v>27</v>
      </c>
      <c r="M1086">
        <v>4</v>
      </c>
      <c r="N1086">
        <v>4572.1899999999996</v>
      </c>
    </row>
    <row r="1087" spans="1:14" x14ac:dyDescent="0.3">
      <c r="A1087" t="s">
        <v>2067</v>
      </c>
      <c r="B1087" t="s">
        <v>21</v>
      </c>
      <c r="C1087" s="1">
        <v>45160</v>
      </c>
      <c r="D1087" s="2">
        <f>YEAR(Table1[[#This Row],[PurchaseDate]])</f>
        <v>2023</v>
      </c>
      <c r="E1087" s="2" t="str">
        <f>"Q"&amp;ROUNDUP(MONTH(Table1[[#This Row],[PurchaseDate]])/3,0)</f>
        <v>Q3</v>
      </c>
      <c r="F1087" s="2">
        <f>MONTH(Table1[[#This Row],[PurchaseDate]])</f>
        <v>8</v>
      </c>
      <c r="G1087" s="2" t="str">
        <f>TEXT(Table1[[#This Row],[PurchaseDate]],"MMM")</f>
        <v>Aug</v>
      </c>
      <c r="H1087">
        <v>1</v>
      </c>
      <c r="I1087">
        <v>521.99</v>
      </c>
      <c r="J1087" t="s">
        <v>2068</v>
      </c>
      <c r="K1087" t="s">
        <v>38</v>
      </c>
      <c r="L1087" t="s">
        <v>23</v>
      </c>
      <c r="M1087">
        <v>5</v>
      </c>
      <c r="N1087">
        <v>521.99</v>
      </c>
    </row>
    <row r="1088" spans="1:14" x14ac:dyDescent="0.3">
      <c r="A1088" t="s">
        <v>2069</v>
      </c>
      <c r="B1088" t="s">
        <v>34</v>
      </c>
      <c r="C1088" s="1">
        <v>45006</v>
      </c>
      <c r="D1088" s="2">
        <f>YEAR(Table1[[#This Row],[PurchaseDate]])</f>
        <v>2023</v>
      </c>
      <c r="E1088" s="2" t="str">
        <f>"Q"&amp;ROUNDUP(MONTH(Table1[[#This Row],[PurchaseDate]])/3,0)</f>
        <v>Q1</v>
      </c>
      <c r="F1088" s="2">
        <f>MONTH(Table1[[#This Row],[PurchaseDate]])</f>
        <v>3</v>
      </c>
      <c r="G1088" s="2" t="str">
        <f>TEXT(Table1[[#This Row],[PurchaseDate]],"MMM")</f>
        <v>Mar</v>
      </c>
      <c r="H1088">
        <v>7</v>
      </c>
      <c r="I1088">
        <v>432.68</v>
      </c>
      <c r="J1088" t="s">
        <v>2070</v>
      </c>
      <c r="K1088" t="s">
        <v>38</v>
      </c>
      <c r="L1088" t="s">
        <v>23</v>
      </c>
      <c r="M1088">
        <v>4</v>
      </c>
      <c r="N1088">
        <v>3028.76</v>
      </c>
    </row>
    <row r="1089" spans="1:14" x14ac:dyDescent="0.3">
      <c r="A1089" t="s">
        <v>2071</v>
      </c>
      <c r="B1089" t="s">
        <v>11</v>
      </c>
      <c r="C1089" s="1">
        <v>45112</v>
      </c>
      <c r="D1089" s="2">
        <f>YEAR(Table1[[#This Row],[PurchaseDate]])</f>
        <v>2023</v>
      </c>
      <c r="E1089" s="2" t="str">
        <f>"Q"&amp;ROUNDUP(MONTH(Table1[[#This Row],[PurchaseDate]])/3,0)</f>
        <v>Q3</v>
      </c>
      <c r="F1089" s="2">
        <f>MONTH(Table1[[#This Row],[PurchaseDate]])</f>
        <v>7</v>
      </c>
      <c r="G1089" s="2" t="str">
        <f>TEXT(Table1[[#This Row],[PurchaseDate]],"MMM")</f>
        <v>Jul</v>
      </c>
      <c r="H1089">
        <v>5</v>
      </c>
      <c r="I1089">
        <v>761.72</v>
      </c>
      <c r="J1089" t="s">
        <v>2072</v>
      </c>
      <c r="K1089" t="s">
        <v>18</v>
      </c>
      <c r="L1089" t="s">
        <v>23</v>
      </c>
      <c r="M1089">
        <v>4</v>
      </c>
      <c r="N1089">
        <v>3808.6</v>
      </c>
    </row>
    <row r="1090" spans="1:14" x14ac:dyDescent="0.3">
      <c r="A1090" t="s">
        <v>2073</v>
      </c>
      <c r="B1090" t="s">
        <v>42</v>
      </c>
      <c r="C1090" s="1">
        <v>45644</v>
      </c>
      <c r="D1090" s="2">
        <f>YEAR(Table1[[#This Row],[PurchaseDate]])</f>
        <v>2024</v>
      </c>
      <c r="E1090" s="2" t="str">
        <f>"Q"&amp;ROUNDUP(MONTH(Table1[[#This Row],[PurchaseDate]])/3,0)</f>
        <v>Q4</v>
      </c>
      <c r="F1090" s="2">
        <f>MONTH(Table1[[#This Row],[PurchaseDate]])</f>
        <v>12</v>
      </c>
      <c r="G1090" s="2" t="str">
        <f>TEXT(Table1[[#This Row],[PurchaseDate]],"MMM")</f>
        <v>Dec</v>
      </c>
      <c r="H1090">
        <v>2</v>
      </c>
      <c r="I1090">
        <v>397.68</v>
      </c>
      <c r="J1090" t="s">
        <v>2074</v>
      </c>
      <c r="K1090" t="s">
        <v>13</v>
      </c>
      <c r="L1090" t="s">
        <v>58</v>
      </c>
      <c r="M1090">
        <v>1</v>
      </c>
      <c r="N1090">
        <v>795.36</v>
      </c>
    </row>
    <row r="1091" spans="1:14" x14ac:dyDescent="0.3">
      <c r="A1091" t="s">
        <v>2075</v>
      </c>
      <c r="B1091" t="s">
        <v>16</v>
      </c>
      <c r="C1091" s="1">
        <v>45199</v>
      </c>
      <c r="D1091" s="2">
        <f>YEAR(Table1[[#This Row],[PurchaseDate]])</f>
        <v>2023</v>
      </c>
      <c r="E1091" s="2" t="str">
        <f>"Q"&amp;ROUNDUP(MONTH(Table1[[#This Row],[PurchaseDate]])/3,0)</f>
        <v>Q3</v>
      </c>
      <c r="F1091" s="2">
        <f>MONTH(Table1[[#This Row],[PurchaseDate]])</f>
        <v>9</v>
      </c>
      <c r="G1091" s="2" t="str">
        <f>TEXT(Table1[[#This Row],[PurchaseDate]],"MMM")</f>
        <v>Sep</v>
      </c>
      <c r="H1091">
        <v>4</v>
      </c>
      <c r="I1091">
        <v>56.84</v>
      </c>
      <c r="J1091" t="s">
        <v>2076</v>
      </c>
      <c r="K1091" t="s">
        <v>18</v>
      </c>
      <c r="L1091" t="s">
        <v>19</v>
      </c>
      <c r="M1091">
        <v>4</v>
      </c>
      <c r="N1091">
        <v>227.36</v>
      </c>
    </row>
    <row r="1092" spans="1:14" x14ac:dyDescent="0.3">
      <c r="A1092" t="s">
        <v>2077</v>
      </c>
      <c r="B1092" t="s">
        <v>42</v>
      </c>
      <c r="C1092" s="1">
        <v>45697</v>
      </c>
      <c r="D1092" s="2">
        <f>YEAR(Table1[[#This Row],[PurchaseDate]])</f>
        <v>2025</v>
      </c>
      <c r="E1092" s="2" t="str">
        <f>"Q"&amp;ROUNDUP(MONTH(Table1[[#This Row],[PurchaseDate]])/3,0)</f>
        <v>Q1</v>
      </c>
      <c r="F1092" s="2">
        <f>MONTH(Table1[[#This Row],[PurchaseDate]])</f>
        <v>2</v>
      </c>
      <c r="G1092" s="2" t="str">
        <f>TEXT(Table1[[#This Row],[PurchaseDate]],"MMM")</f>
        <v>Feb</v>
      </c>
      <c r="H1092">
        <v>8</v>
      </c>
      <c r="I1092">
        <v>53.9</v>
      </c>
      <c r="J1092" t="s">
        <v>2078</v>
      </c>
      <c r="K1092" t="s">
        <v>13</v>
      </c>
      <c r="L1092" t="s">
        <v>58</v>
      </c>
      <c r="M1092">
        <v>4</v>
      </c>
      <c r="N1092">
        <v>431.2</v>
      </c>
    </row>
    <row r="1093" spans="1:14" x14ac:dyDescent="0.3">
      <c r="A1093" t="s">
        <v>2079</v>
      </c>
      <c r="B1093" t="s">
        <v>42</v>
      </c>
      <c r="C1093" s="1">
        <v>45418</v>
      </c>
      <c r="D1093" s="2">
        <f>YEAR(Table1[[#This Row],[PurchaseDate]])</f>
        <v>2024</v>
      </c>
      <c r="E1093" s="2" t="str">
        <f>"Q"&amp;ROUNDUP(MONTH(Table1[[#This Row],[PurchaseDate]])/3,0)</f>
        <v>Q2</v>
      </c>
      <c r="F1093" s="2">
        <f>MONTH(Table1[[#This Row],[PurchaseDate]])</f>
        <v>5</v>
      </c>
      <c r="G1093" s="2" t="str">
        <f>TEXT(Table1[[#This Row],[PurchaseDate]],"MMM")</f>
        <v>May</v>
      </c>
      <c r="H1093">
        <v>6</v>
      </c>
      <c r="I1093">
        <v>539.32000000000005</v>
      </c>
      <c r="J1093" t="s">
        <v>2080</v>
      </c>
      <c r="K1093" t="s">
        <v>18</v>
      </c>
      <c r="L1093" t="s">
        <v>14</v>
      </c>
      <c r="M1093">
        <v>4</v>
      </c>
      <c r="N1093">
        <v>3235.92</v>
      </c>
    </row>
    <row r="1094" spans="1:14" x14ac:dyDescent="0.3">
      <c r="A1094" t="s">
        <v>2081</v>
      </c>
      <c r="B1094" t="s">
        <v>16</v>
      </c>
      <c r="C1094" s="1">
        <v>45437</v>
      </c>
      <c r="D1094" s="2">
        <f>YEAR(Table1[[#This Row],[PurchaseDate]])</f>
        <v>2024</v>
      </c>
      <c r="E1094" s="2" t="str">
        <f>"Q"&amp;ROUNDUP(MONTH(Table1[[#This Row],[PurchaseDate]])/3,0)</f>
        <v>Q2</v>
      </c>
      <c r="F1094" s="2">
        <f>MONTH(Table1[[#This Row],[PurchaseDate]])</f>
        <v>5</v>
      </c>
      <c r="G1094" s="2" t="str">
        <f>TEXT(Table1[[#This Row],[PurchaseDate]],"MMM")</f>
        <v>May</v>
      </c>
      <c r="H1094">
        <v>2</v>
      </c>
      <c r="I1094">
        <v>58.29</v>
      </c>
      <c r="J1094" t="s">
        <v>2082</v>
      </c>
      <c r="K1094" t="s">
        <v>18</v>
      </c>
      <c r="L1094" t="s">
        <v>14</v>
      </c>
      <c r="M1094">
        <v>3</v>
      </c>
      <c r="N1094">
        <v>116.58</v>
      </c>
    </row>
    <row r="1095" spans="1:14" x14ac:dyDescent="0.3">
      <c r="A1095" t="s">
        <v>2083</v>
      </c>
      <c r="B1095" t="s">
        <v>21</v>
      </c>
      <c r="C1095" s="1">
        <v>45249</v>
      </c>
      <c r="D1095" s="2">
        <f>YEAR(Table1[[#This Row],[PurchaseDate]])</f>
        <v>2023</v>
      </c>
      <c r="E1095" s="2" t="str">
        <f>"Q"&amp;ROUNDUP(MONTH(Table1[[#This Row],[PurchaseDate]])/3,0)</f>
        <v>Q4</v>
      </c>
      <c r="F1095" s="2">
        <f>MONTH(Table1[[#This Row],[PurchaseDate]])</f>
        <v>11</v>
      </c>
      <c r="G1095" s="2" t="str">
        <f>TEXT(Table1[[#This Row],[PurchaseDate]],"MMM")</f>
        <v>Nov</v>
      </c>
      <c r="H1095">
        <v>2</v>
      </c>
      <c r="I1095">
        <v>616.6</v>
      </c>
      <c r="J1095" t="s">
        <v>2084</v>
      </c>
      <c r="K1095" t="s">
        <v>13</v>
      </c>
      <c r="L1095" t="s">
        <v>23</v>
      </c>
      <c r="M1095">
        <v>5</v>
      </c>
      <c r="N1095">
        <v>1233.2</v>
      </c>
    </row>
    <row r="1096" spans="1:14" x14ac:dyDescent="0.3">
      <c r="A1096" t="s">
        <v>2085</v>
      </c>
      <c r="B1096" t="s">
        <v>16</v>
      </c>
      <c r="C1096" s="1">
        <v>45496</v>
      </c>
      <c r="D1096" s="2">
        <f>YEAR(Table1[[#This Row],[PurchaseDate]])</f>
        <v>2024</v>
      </c>
      <c r="E1096" s="2" t="str">
        <f>"Q"&amp;ROUNDUP(MONTH(Table1[[#This Row],[PurchaseDate]])/3,0)</f>
        <v>Q3</v>
      </c>
      <c r="F1096" s="2">
        <f>MONTH(Table1[[#This Row],[PurchaseDate]])</f>
        <v>7</v>
      </c>
      <c r="G1096" s="2" t="str">
        <f>TEXT(Table1[[#This Row],[PurchaseDate]],"MMM")</f>
        <v>Jul</v>
      </c>
      <c r="H1096">
        <v>1</v>
      </c>
      <c r="I1096">
        <v>562.4</v>
      </c>
      <c r="J1096" t="s">
        <v>2086</v>
      </c>
      <c r="K1096" t="s">
        <v>38</v>
      </c>
      <c r="L1096" t="s">
        <v>19</v>
      </c>
      <c r="M1096">
        <v>5</v>
      </c>
      <c r="N1096">
        <v>562.4</v>
      </c>
    </row>
    <row r="1097" spans="1:14" x14ac:dyDescent="0.3">
      <c r="A1097" t="s">
        <v>77</v>
      </c>
      <c r="B1097" t="s">
        <v>11</v>
      </c>
      <c r="C1097" s="1">
        <v>45689</v>
      </c>
      <c r="D1097" s="2">
        <f>YEAR(Table1[[#This Row],[PurchaseDate]])</f>
        <v>2025</v>
      </c>
      <c r="E1097" s="2" t="str">
        <f>"Q"&amp;ROUNDUP(MONTH(Table1[[#This Row],[PurchaseDate]])/3,0)</f>
        <v>Q1</v>
      </c>
      <c r="F1097" s="2">
        <f>MONTH(Table1[[#This Row],[PurchaseDate]])</f>
        <v>2</v>
      </c>
      <c r="G1097" s="2" t="str">
        <f>TEXT(Table1[[#This Row],[PurchaseDate]],"MMM")</f>
        <v>Feb</v>
      </c>
      <c r="H1097">
        <v>5</v>
      </c>
      <c r="I1097">
        <v>575.52</v>
      </c>
      <c r="J1097" t="s">
        <v>78</v>
      </c>
      <c r="K1097" t="s">
        <v>18</v>
      </c>
      <c r="L1097" t="s">
        <v>58</v>
      </c>
      <c r="M1097">
        <v>1</v>
      </c>
      <c r="N1097">
        <v>2877.6</v>
      </c>
    </row>
    <row r="1098" spans="1:14" x14ac:dyDescent="0.3">
      <c r="A1098" t="s">
        <v>2087</v>
      </c>
      <c r="B1098" t="s">
        <v>11</v>
      </c>
      <c r="C1098" s="1">
        <v>45706</v>
      </c>
      <c r="D1098" s="2">
        <f>YEAR(Table1[[#This Row],[PurchaseDate]])</f>
        <v>2025</v>
      </c>
      <c r="E1098" s="2" t="str">
        <f>"Q"&amp;ROUNDUP(MONTH(Table1[[#This Row],[PurchaseDate]])/3,0)</f>
        <v>Q1</v>
      </c>
      <c r="F1098" s="2">
        <f>MONTH(Table1[[#This Row],[PurchaseDate]])</f>
        <v>2</v>
      </c>
      <c r="G1098" s="2" t="str">
        <f>TEXT(Table1[[#This Row],[PurchaseDate]],"MMM")</f>
        <v>Feb</v>
      </c>
      <c r="H1098">
        <v>5</v>
      </c>
      <c r="I1098">
        <v>339.15</v>
      </c>
      <c r="J1098" t="s">
        <v>2088</v>
      </c>
      <c r="K1098" t="s">
        <v>18</v>
      </c>
      <c r="L1098" t="s">
        <v>23</v>
      </c>
      <c r="M1098">
        <v>2</v>
      </c>
      <c r="N1098">
        <v>1695.75</v>
      </c>
    </row>
    <row r="1099" spans="1:14" x14ac:dyDescent="0.3">
      <c r="A1099" t="s">
        <v>2089</v>
      </c>
      <c r="B1099" t="s">
        <v>42</v>
      </c>
      <c r="C1099" s="1">
        <v>45090</v>
      </c>
      <c r="D1099" s="2">
        <f>YEAR(Table1[[#This Row],[PurchaseDate]])</f>
        <v>2023</v>
      </c>
      <c r="E1099" s="2" t="str">
        <f>"Q"&amp;ROUNDUP(MONTH(Table1[[#This Row],[PurchaseDate]])/3,0)</f>
        <v>Q2</v>
      </c>
      <c r="F1099" s="2">
        <f>MONTH(Table1[[#This Row],[PurchaseDate]])</f>
        <v>6</v>
      </c>
      <c r="G1099" s="2" t="str">
        <f>TEXT(Table1[[#This Row],[PurchaseDate]],"MMM")</f>
        <v>Jun</v>
      </c>
      <c r="H1099">
        <v>1</v>
      </c>
      <c r="I1099">
        <v>506.82</v>
      </c>
      <c r="J1099" t="s">
        <v>2090</v>
      </c>
      <c r="K1099" t="s">
        <v>18</v>
      </c>
      <c r="L1099" t="s">
        <v>14</v>
      </c>
      <c r="M1099">
        <v>3</v>
      </c>
      <c r="N1099">
        <v>506.82</v>
      </c>
    </row>
    <row r="1100" spans="1:14" x14ac:dyDescent="0.3">
      <c r="A1100" t="s">
        <v>2091</v>
      </c>
      <c r="B1100" t="s">
        <v>11</v>
      </c>
      <c r="C1100" s="1">
        <v>45066</v>
      </c>
      <c r="D1100" s="2">
        <f>YEAR(Table1[[#This Row],[PurchaseDate]])</f>
        <v>2023</v>
      </c>
      <c r="E1100" s="2" t="str">
        <f>"Q"&amp;ROUNDUP(MONTH(Table1[[#This Row],[PurchaseDate]])/3,0)</f>
        <v>Q2</v>
      </c>
      <c r="F1100" s="2">
        <f>MONTH(Table1[[#This Row],[PurchaseDate]])</f>
        <v>5</v>
      </c>
      <c r="G1100" s="2" t="str">
        <f>TEXT(Table1[[#This Row],[PurchaseDate]],"MMM")</f>
        <v>May</v>
      </c>
      <c r="H1100">
        <v>1</v>
      </c>
      <c r="I1100">
        <v>56.35</v>
      </c>
      <c r="J1100" t="s">
        <v>2092</v>
      </c>
      <c r="K1100" t="s">
        <v>13</v>
      </c>
      <c r="L1100" t="s">
        <v>23</v>
      </c>
      <c r="M1100">
        <v>3</v>
      </c>
      <c r="N1100">
        <v>56.35</v>
      </c>
    </row>
    <row r="1101" spans="1:14" x14ac:dyDescent="0.3">
      <c r="A1101" t="s">
        <v>2093</v>
      </c>
      <c r="B1101" t="s">
        <v>11</v>
      </c>
      <c r="C1101" s="1">
        <v>45066</v>
      </c>
      <c r="D1101" s="2">
        <f>YEAR(Table1[[#This Row],[PurchaseDate]])</f>
        <v>2023</v>
      </c>
      <c r="E1101" s="2" t="str">
        <f>"Q"&amp;ROUNDUP(MONTH(Table1[[#This Row],[PurchaseDate]])/3,0)</f>
        <v>Q2</v>
      </c>
      <c r="F1101" s="2">
        <f>MONTH(Table1[[#This Row],[PurchaseDate]])</f>
        <v>5</v>
      </c>
      <c r="G1101" s="2" t="str">
        <f>TEXT(Table1[[#This Row],[PurchaseDate]],"MMM")</f>
        <v>May</v>
      </c>
      <c r="H1101">
        <v>5</v>
      </c>
      <c r="I1101">
        <v>77.42</v>
      </c>
      <c r="J1101" t="s">
        <v>2094</v>
      </c>
      <c r="K1101" t="s">
        <v>18</v>
      </c>
      <c r="L1101" t="s">
        <v>14</v>
      </c>
      <c r="M1101">
        <v>3</v>
      </c>
      <c r="N1101">
        <v>387.1</v>
      </c>
    </row>
    <row r="1102" spans="1:14" x14ac:dyDescent="0.3">
      <c r="A1102" t="s">
        <v>2095</v>
      </c>
      <c r="B1102" t="s">
        <v>42</v>
      </c>
      <c r="C1102" s="1">
        <v>45640</v>
      </c>
      <c r="D1102" s="2">
        <f>YEAR(Table1[[#This Row],[PurchaseDate]])</f>
        <v>2024</v>
      </c>
      <c r="E1102" s="2" t="str">
        <f>"Q"&amp;ROUNDUP(MONTH(Table1[[#This Row],[PurchaseDate]])/3,0)</f>
        <v>Q4</v>
      </c>
      <c r="F1102" s="2">
        <f>MONTH(Table1[[#This Row],[PurchaseDate]])</f>
        <v>12</v>
      </c>
      <c r="G1102" s="2" t="str">
        <f>TEXT(Table1[[#This Row],[PurchaseDate]],"MMM")</f>
        <v>Dec</v>
      </c>
      <c r="H1102">
        <v>3</v>
      </c>
      <c r="I1102">
        <v>117.3</v>
      </c>
      <c r="J1102" t="s">
        <v>2096</v>
      </c>
      <c r="K1102" t="s">
        <v>18</v>
      </c>
      <c r="L1102" t="s">
        <v>19</v>
      </c>
      <c r="M1102">
        <v>1</v>
      </c>
      <c r="N1102">
        <v>351.9</v>
      </c>
    </row>
    <row r="1103" spans="1:14" x14ac:dyDescent="0.3">
      <c r="A1103" t="s">
        <v>2097</v>
      </c>
      <c r="B1103" t="s">
        <v>42</v>
      </c>
      <c r="C1103" s="1">
        <v>45368</v>
      </c>
      <c r="D1103" s="2">
        <f>YEAR(Table1[[#This Row],[PurchaseDate]])</f>
        <v>2024</v>
      </c>
      <c r="E1103" s="2" t="str">
        <f>"Q"&amp;ROUNDUP(MONTH(Table1[[#This Row],[PurchaseDate]])/3,0)</f>
        <v>Q1</v>
      </c>
      <c r="F1103" s="2">
        <f>MONTH(Table1[[#This Row],[PurchaseDate]])</f>
        <v>3</v>
      </c>
      <c r="G1103" s="2" t="str">
        <f>TEXT(Table1[[#This Row],[PurchaseDate]],"MMM")</f>
        <v>Mar</v>
      </c>
      <c r="H1103">
        <v>1</v>
      </c>
      <c r="I1103">
        <v>362.89</v>
      </c>
      <c r="J1103" t="s">
        <v>2098</v>
      </c>
      <c r="K1103" t="s">
        <v>18</v>
      </c>
      <c r="L1103" t="s">
        <v>19</v>
      </c>
      <c r="M1103">
        <v>4</v>
      </c>
      <c r="N1103">
        <v>362.89</v>
      </c>
    </row>
    <row r="1104" spans="1:14" x14ac:dyDescent="0.3">
      <c r="A1104" t="s">
        <v>2099</v>
      </c>
      <c r="B1104" t="s">
        <v>42</v>
      </c>
      <c r="C1104" s="1">
        <v>45119</v>
      </c>
      <c r="D1104" s="2">
        <f>YEAR(Table1[[#This Row],[PurchaseDate]])</f>
        <v>2023</v>
      </c>
      <c r="E1104" s="2" t="str">
        <f>"Q"&amp;ROUNDUP(MONTH(Table1[[#This Row],[PurchaseDate]])/3,0)</f>
        <v>Q3</v>
      </c>
      <c r="F1104" s="2">
        <f>MONTH(Table1[[#This Row],[PurchaseDate]])</f>
        <v>7</v>
      </c>
      <c r="G1104" s="2" t="str">
        <f>TEXT(Table1[[#This Row],[PurchaseDate]],"MMM")</f>
        <v>Jul</v>
      </c>
      <c r="H1104">
        <v>1</v>
      </c>
      <c r="I1104">
        <v>50.18</v>
      </c>
      <c r="J1104" t="s">
        <v>2100</v>
      </c>
      <c r="K1104" t="s">
        <v>38</v>
      </c>
      <c r="L1104" t="s">
        <v>23</v>
      </c>
      <c r="M1104">
        <v>3</v>
      </c>
      <c r="N1104">
        <v>50.18</v>
      </c>
    </row>
    <row r="1105" spans="1:14" x14ac:dyDescent="0.3">
      <c r="A1105" t="s">
        <v>1427</v>
      </c>
      <c r="B1105" t="s">
        <v>25</v>
      </c>
      <c r="C1105" s="1">
        <v>45597</v>
      </c>
      <c r="D1105" s="2">
        <f>YEAR(Table1[[#This Row],[PurchaseDate]])</f>
        <v>2024</v>
      </c>
      <c r="E1105" s="2" t="str">
        <f>"Q"&amp;ROUNDUP(MONTH(Table1[[#This Row],[PurchaseDate]])/3,0)</f>
        <v>Q4</v>
      </c>
      <c r="F1105" s="2">
        <f>MONTH(Table1[[#This Row],[PurchaseDate]])</f>
        <v>11</v>
      </c>
      <c r="G1105" s="2" t="str">
        <f>TEXT(Table1[[#This Row],[PurchaseDate]],"MMM")</f>
        <v>Nov</v>
      </c>
      <c r="H1105">
        <v>3</v>
      </c>
      <c r="I1105">
        <v>85.35</v>
      </c>
      <c r="J1105" t="s">
        <v>1428</v>
      </c>
      <c r="K1105" t="s">
        <v>13</v>
      </c>
      <c r="L1105" t="s">
        <v>58</v>
      </c>
      <c r="M1105">
        <v>5</v>
      </c>
      <c r="N1105">
        <v>256.05</v>
      </c>
    </row>
    <row r="1106" spans="1:14" x14ac:dyDescent="0.3">
      <c r="A1106" t="s">
        <v>2101</v>
      </c>
      <c r="B1106" t="s">
        <v>29</v>
      </c>
      <c r="C1106" s="1">
        <v>45168</v>
      </c>
      <c r="D1106" s="2">
        <f>YEAR(Table1[[#This Row],[PurchaseDate]])</f>
        <v>2023</v>
      </c>
      <c r="E1106" s="2" t="str">
        <f>"Q"&amp;ROUNDUP(MONTH(Table1[[#This Row],[PurchaseDate]])/3,0)</f>
        <v>Q3</v>
      </c>
      <c r="F1106" s="2">
        <f>MONTH(Table1[[#This Row],[PurchaseDate]])</f>
        <v>8</v>
      </c>
      <c r="G1106" s="2" t="str">
        <f>TEXT(Table1[[#This Row],[PurchaseDate]],"MMM")</f>
        <v>Aug</v>
      </c>
      <c r="H1106">
        <v>7</v>
      </c>
      <c r="I1106">
        <v>425.05</v>
      </c>
      <c r="J1106" t="s">
        <v>2102</v>
      </c>
      <c r="K1106" t="s">
        <v>18</v>
      </c>
      <c r="L1106" t="s">
        <v>14</v>
      </c>
      <c r="M1106">
        <v>2</v>
      </c>
      <c r="N1106">
        <v>2975.35</v>
      </c>
    </row>
    <row r="1107" spans="1:14" x14ac:dyDescent="0.3">
      <c r="A1107" t="s">
        <v>2103</v>
      </c>
      <c r="B1107" t="s">
        <v>16</v>
      </c>
      <c r="C1107" s="1">
        <v>45438</v>
      </c>
      <c r="D1107" s="2">
        <f>YEAR(Table1[[#This Row],[PurchaseDate]])</f>
        <v>2024</v>
      </c>
      <c r="E1107" s="2" t="str">
        <f>"Q"&amp;ROUNDUP(MONTH(Table1[[#This Row],[PurchaseDate]])/3,0)</f>
        <v>Q2</v>
      </c>
      <c r="F1107" s="2">
        <f>MONTH(Table1[[#This Row],[PurchaseDate]])</f>
        <v>5</v>
      </c>
      <c r="G1107" s="2" t="str">
        <f>TEXT(Table1[[#This Row],[PurchaseDate]],"MMM")</f>
        <v>May</v>
      </c>
      <c r="H1107">
        <v>6</v>
      </c>
      <c r="I1107">
        <v>420.68</v>
      </c>
      <c r="J1107" t="s">
        <v>2104</v>
      </c>
      <c r="K1107" t="s">
        <v>18</v>
      </c>
      <c r="L1107" t="s">
        <v>58</v>
      </c>
      <c r="M1107">
        <v>4</v>
      </c>
      <c r="N1107">
        <v>2524.08</v>
      </c>
    </row>
    <row r="1108" spans="1:14" x14ac:dyDescent="0.3">
      <c r="A1108" t="s">
        <v>2105</v>
      </c>
      <c r="B1108" t="s">
        <v>11</v>
      </c>
      <c r="C1108" s="1">
        <v>45313</v>
      </c>
      <c r="D1108" s="2">
        <f>YEAR(Table1[[#This Row],[PurchaseDate]])</f>
        <v>2024</v>
      </c>
      <c r="E1108" s="2" t="str">
        <f>"Q"&amp;ROUNDUP(MONTH(Table1[[#This Row],[PurchaseDate]])/3,0)</f>
        <v>Q1</v>
      </c>
      <c r="F1108" s="2">
        <f>MONTH(Table1[[#This Row],[PurchaseDate]])</f>
        <v>1</v>
      </c>
      <c r="G1108" s="2" t="str">
        <f>TEXT(Table1[[#This Row],[PurchaseDate]],"MMM")</f>
        <v>Jan</v>
      </c>
      <c r="H1108">
        <v>4</v>
      </c>
      <c r="I1108">
        <v>657.75</v>
      </c>
      <c r="J1108" t="s">
        <v>2106</v>
      </c>
      <c r="K1108" t="s">
        <v>18</v>
      </c>
      <c r="L1108" t="s">
        <v>23</v>
      </c>
      <c r="M1108">
        <v>1</v>
      </c>
      <c r="N1108">
        <v>2631</v>
      </c>
    </row>
    <row r="1109" spans="1:14" x14ac:dyDescent="0.3">
      <c r="A1109" t="s">
        <v>2107</v>
      </c>
      <c r="B1109" t="s">
        <v>11</v>
      </c>
      <c r="C1109" s="1">
        <v>45598</v>
      </c>
      <c r="D1109" s="2">
        <f>YEAR(Table1[[#This Row],[PurchaseDate]])</f>
        <v>2024</v>
      </c>
      <c r="E1109" s="2" t="str">
        <f>"Q"&amp;ROUNDUP(MONTH(Table1[[#This Row],[PurchaseDate]])/3,0)</f>
        <v>Q4</v>
      </c>
      <c r="F1109" s="2">
        <f>MONTH(Table1[[#This Row],[PurchaseDate]])</f>
        <v>11</v>
      </c>
      <c r="G1109" s="2" t="str">
        <f>TEXT(Table1[[#This Row],[PurchaseDate]],"MMM")</f>
        <v>Nov</v>
      </c>
      <c r="H1109">
        <v>7</v>
      </c>
      <c r="I1109">
        <v>404.89</v>
      </c>
      <c r="J1109" t="s">
        <v>2108</v>
      </c>
      <c r="K1109" t="s">
        <v>13</v>
      </c>
      <c r="L1109" t="s">
        <v>27</v>
      </c>
      <c r="M1109">
        <v>5</v>
      </c>
      <c r="N1109">
        <v>2834.23</v>
      </c>
    </row>
    <row r="1110" spans="1:14" x14ac:dyDescent="0.3">
      <c r="A1110" t="s">
        <v>2109</v>
      </c>
      <c r="B1110" t="s">
        <v>21</v>
      </c>
      <c r="C1110" s="1">
        <v>44936</v>
      </c>
      <c r="D1110" s="2">
        <f>YEAR(Table1[[#This Row],[PurchaseDate]])</f>
        <v>2023</v>
      </c>
      <c r="E1110" s="2" t="str">
        <f>"Q"&amp;ROUNDUP(MONTH(Table1[[#This Row],[PurchaseDate]])/3,0)</f>
        <v>Q1</v>
      </c>
      <c r="F1110" s="2">
        <f>MONTH(Table1[[#This Row],[PurchaseDate]])</f>
        <v>1</v>
      </c>
      <c r="G1110" s="2" t="str">
        <f>TEXT(Table1[[#This Row],[PurchaseDate]],"MMM")</f>
        <v>Jan</v>
      </c>
      <c r="H1110">
        <v>5</v>
      </c>
      <c r="I1110">
        <v>342.38</v>
      </c>
      <c r="J1110" t="s">
        <v>2110</v>
      </c>
      <c r="K1110" t="s">
        <v>13</v>
      </c>
      <c r="L1110" t="s">
        <v>19</v>
      </c>
      <c r="M1110">
        <v>1</v>
      </c>
      <c r="N1110">
        <v>1711.9</v>
      </c>
    </row>
    <row r="1111" spans="1:14" x14ac:dyDescent="0.3">
      <c r="A1111" t="s">
        <v>1437</v>
      </c>
      <c r="B1111" t="s">
        <v>25</v>
      </c>
      <c r="C1111" s="1">
        <v>45288</v>
      </c>
      <c r="D1111" s="2">
        <f>YEAR(Table1[[#This Row],[PurchaseDate]])</f>
        <v>2023</v>
      </c>
      <c r="E1111" s="2" t="str">
        <f>"Q"&amp;ROUNDUP(MONTH(Table1[[#This Row],[PurchaseDate]])/3,0)</f>
        <v>Q4</v>
      </c>
      <c r="F1111" s="2">
        <f>MONTH(Table1[[#This Row],[PurchaseDate]])</f>
        <v>12</v>
      </c>
      <c r="G1111" s="2" t="str">
        <f>TEXT(Table1[[#This Row],[PurchaseDate]],"MMM")</f>
        <v>Dec</v>
      </c>
      <c r="H1111">
        <v>6</v>
      </c>
      <c r="I1111">
        <v>685.83</v>
      </c>
      <c r="J1111" t="s">
        <v>1438</v>
      </c>
      <c r="K1111" t="s">
        <v>38</v>
      </c>
      <c r="L1111" t="s">
        <v>14</v>
      </c>
      <c r="M1111">
        <v>3</v>
      </c>
      <c r="N1111">
        <v>4114.9799999999996</v>
      </c>
    </row>
    <row r="1112" spans="1:14" x14ac:dyDescent="0.3">
      <c r="A1112" t="s">
        <v>2111</v>
      </c>
      <c r="B1112" t="s">
        <v>11</v>
      </c>
      <c r="C1112" s="1">
        <v>45274</v>
      </c>
      <c r="D1112" s="2">
        <f>YEAR(Table1[[#This Row],[PurchaseDate]])</f>
        <v>2023</v>
      </c>
      <c r="E1112" s="2" t="str">
        <f>"Q"&amp;ROUNDUP(MONTH(Table1[[#This Row],[PurchaseDate]])/3,0)</f>
        <v>Q4</v>
      </c>
      <c r="F1112" s="2">
        <f>MONTH(Table1[[#This Row],[PurchaseDate]])</f>
        <v>12</v>
      </c>
      <c r="G1112" s="2" t="str">
        <f>TEXT(Table1[[#This Row],[PurchaseDate]],"MMM")</f>
        <v>Dec</v>
      </c>
      <c r="H1112">
        <v>3</v>
      </c>
      <c r="I1112">
        <v>49.19</v>
      </c>
      <c r="J1112" t="s">
        <v>2112</v>
      </c>
      <c r="K1112" t="s">
        <v>13</v>
      </c>
      <c r="L1112" t="s">
        <v>19</v>
      </c>
      <c r="M1112">
        <v>5</v>
      </c>
      <c r="N1112">
        <v>147.57</v>
      </c>
    </row>
    <row r="1113" spans="1:14" x14ac:dyDescent="0.3">
      <c r="A1113" t="s">
        <v>2113</v>
      </c>
      <c r="B1113" t="s">
        <v>34</v>
      </c>
      <c r="C1113" s="1">
        <v>45371</v>
      </c>
      <c r="D1113" s="2">
        <f>YEAR(Table1[[#This Row],[PurchaseDate]])</f>
        <v>2024</v>
      </c>
      <c r="E1113" s="2" t="str">
        <f>"Q"&amp;ROUNDUP(MONTH(Table1[[#This Row],[PurchaseDate]])/3,0)</f>
        <v>Q1</v>
      </c>
      <c r="F1113" s="2">
        <f>MONTH(Table1[[#This Row],[PurchaseDate]])</f>
        <v>3</v>
      </c>
      <c r="G1113" s="2" t="str">
        <f>TEXT(Table1[[#This Row],[PurchaseDate]],"MMM")</f>
        <v>Mar</v>
      </c>
      <c r="H1113">
        <v>3</v>
      </c>
      <c r="I1113">
        <v>224.35</v>
      </c>
      <c r="J1113" t="s">
        <v>2114</v>
      </c>
      <c r="K1113" t="s">
        <v>13</v>
      </c>
      <c r="L1113" t="s">
        <v>23</v>
      </c>
      <c r="M1113">
        <v>2</v>
      </c>
      <c r="N1113">
        <v>673.05</v>
      </c>
    </row>
    <row r="1114" spans="1:14" x14ac:dyDescent="0.3">
      <c r="A1114" t="s">
        <v>2115</v>
      </c>
      <c r="B1114" t="s">
        <v>29</v>
      </c>
      <c r="C1114" s="1">
        <v>45626</v>
      </c>
      <c r="D1114" s="2">
        <f>YEAR(Table1[[#This Row],[PurchaseDate]])</f>
        <v>2024</v>
      </c>
      <c r="E1114" s="2" t="str">
        <f>"Q"&amp;ROUNDUP(MONTH(Table1[[#This Row],[PurchaseDate]])/3,0)</f>
        <v>Q4</v>
      </c>
      <c r="F1114" s="2">
        <f>MONTH(Table1[[#This Row],[PurchaseDate]])</f>
        <v>11</v>
      </c>
      <c r="G1114" s="2" t="str">
        <f>TEXT(Table1[[#This Row],[PurchaseDate]],"MMM")</f>
        <v>Nov</v>
      </c>
      <c r="H1114">
        <v>1</v>
      </c>
      <c r="I1114">
        <v>308.3</v>
      </c>
      <c r="J1114" t="s">
        <v>2116</v>
      </c>
      <c r="K1114" t="s">
        <v>18</v>
      </c>
      <c r="L1114" t="s">
        <v>14</v>
      </c>
      <c r="M1114">
        <v>1</v>
      </c>
      <c r="N1114">
        <v>308.3</v>
      </c>
    </row>
    <row r="1115" spans="1:14" x14ac:dyDescent="0.3">
      <c r="A1115" t="s">
        <v>2117</v>
      </c>
      <c r="B1115" t="s">
        <v>16</v>
      </c>
      <c r="C1115" s="1">
        <v>45064</v>
      </c>
      <c r="D1115" s="2">
        <f>YEAR(Table1[[#This Row],[PurchaseDate]])</f>
        <v>2023</v>
      </c>
      <c r="E1115" s="2" t="str">
        <f>"Q"&amp;ROUNDUP(MONTH(Table1[[#This Row],[PurchaseDate]])/3,0)</f>
        <v>Q2</v>
      </c>
      <c r="F1115" s="2">
        <f>MONTH(Table1[[#This Row],[PurchaseDate]])</f>
        <v>5</v>
      </c>
      <c r="G1115" s="2" t="str">
        <f>TEXT(Table1[[#This Row],[PurchaseDate]],"MMM")</f>
        <v>May</v>
      </c>
      <c r="H1115">
        <v>3</v>
      </c>
      <c r="I1115">
        <v>465.68</v>
      </c>
      <c r="J1115" t="s">
        <v>2118</v>
      </c>
      <c r="K1115" t="s">
        <v>18</v>
      </c>
      <c r="L1115" t="s">
        <v>27</v>
      </c>
      <c r="M1115">
        <v>2</v>
      </c>
      <c r="N1115">
        <v>1397.04</v>
      </c>
    </row>
    <row r="1116" spans="1:14" x14ac:dyDescent="0.3">
      <c r="A1116" t="s">
        <v>1129</v>
      </c>
      <c r="B1116" t="s">
        <v>34</v>
      </c>
      <c r="C1116" s="1">
        <v>45322</v>
      </c>
      <c r="D1116" s="2">
        <f>YEAR(Table1[[#This Row],[PurchaseDate]])</f>
        <v>2024</v>
      </c>
      <c r="E1116" s="2" t="str">
        <f>"Q"&amp;ROUNDUP(MONTH(Table1[[#This Row],[PurchaseDate]])/3,0)</f>
        <v>Q1</v>
      </c>
      <c r="F1116" s="2">
        <f>MONTH(Table1[[#This Row],[PurchaseDate]])</f>
        <v>1</v>
      </c>
      <c r="G1116" s="2" t="str">
        <f>TEXT(Table1[[#This Row],[PurchaseDate]],"MMM")</f>
        <v>Jan</v>
      </c>
      <c r="H1116">
        <v>3</v>
      </c>
      <c r="I1116">
        <v>330.83</v>
      </c>
      <c r="J1116" t="s">
        <v>1130</v>
      </c>
      <c r="K1116" t="s">
        <v>13</v>
      </c>
      <c r="L1116" t="s">
        <v>23</v>
      </c>
      <c r="M1116">
        <v>4</v>
      </c>
      <c r="N1116">
        <v>992.49</v>
      </c>
    </row>
    <row r="1117" spans="1:14" x14ac:dyDescent="0.3">
      <c r="A1117" t="s">
        <v>2119</v>
      </c>
      <c r="B1117" t="s">
        <v>21</v>
      </c>
      <c r="C1117" s="1">
        <v>45520</v>
      </c>
      <c r="D1117" s="2">
        <f>YEAR(Table1[[#This Row],[PurchaseDate]])</f>
        <v>2024</v>
      </c>
      <c r="E1117" s="2" t="str">
        <f>"Q"&amp;ROUNDUP(MONTH(Table1[[#This Row],[PurchaseDate]])/3,0)</f>
        <v>Q3</v>
      </c>
      <c r="F1117" s="2">
        <f>MONTH(Table1[[#This Row],[PurchaseDate]])</f>
        <v>8</v>
      </c>
      <c r="G1117" s="2" t="str">
        <f>TEXT(Table1[[#This Row],[PurchaseDate]],"MMM")</f>
        <v>Aug</v>
      </c>
      <c r="H1117">
        <v>5</v>
      </c>
      <c r="I1117">
        <v>388.21</v>
      </c>
      <c r="J1117" t="s">
        <v>2120</v>
      </c>
      <c r="K1117" t="s">
        <v>38</v>
      </c>
      <c r="L1117" t="s">
        <v>19</v>
      </c>
      <c r="M1117">
        <v>3</v>
      </c>
      <c r="N1117">
        <v>1941.05</v>
      </c>
    </row>
    <row r="1118" spans="1:14" x14ac:dyDescent="0.3">
      <c r="A1118" t="s">
        <v>2121</v>
      </c>
      <c r="B1118" t="s">
        <v>34</v>
      </c>
      <c r="C1118" s="1">
        <v>45534</v>
      </c>
      <c r="D1118" s="2">
        <f>YEAR(Table1[[#This Row],[PurchaseDate]])</f>
        <v>2024</v>
      </c>
      <c r="E1118" s="2" t="str">
        <f>"Q"&amp;ROUNDUP(MONTH(Table1[[#This Row],[PurchaseDate]])/3,0)</f>
        <v>Q3</v>
      </c>
      <c r="F1118" s="2">
        <f>MONTH(Table1[[#This Row],[PurchaseDate]])</f>
        <v>8</v>
      </c>
      <c r="G1118" s="2" t="str">
        <f>TEXT(Table1[[#This Row],[PurchaseDate]],"MMM")</f>
        <v>Aug</v>
      </c>
      <c r="H1118">
        <v>1</v>
      </c>
      <c r="I1118">
        <v>757.95</v>
      </c>
      <c r="J1118" t="s">
        <v>2122</v>
      </c>
      <c r="K1118" t="s">
        <v>13</v>
      </c>
      <c r="L1118" t="s">
        <v>58</v>
      </c>
      <c r="M1118">
        <v>5</v>
      </c>
      <c r="N1118">
        <v>757.95</v>
      </c>
    </row>
    <row r="1119" spans="1:14" x14ac:dyDescent="0.3">
      <c r="A1119" t="s">
        <v>2123</v>
      </c>
      <c r="B1119" t="s">
        <v>16</v>
      </c>
      <c r="C1119" s="1">
        <v>45629</v>
      </c>
      <c r="D1119" s="2">
        <f>YEAR(Table1[[#This Row],[PurchaseDate]])</f>
        <v>2024</v>
      </c>
      <c r="E1119" s="2" t="str">
        <f>"Q"&amp;ROUNDUP(MONTH(Table1[[#This Row],[PurchaseDate]])/3,0)</f>
        <v>Q4</v>
      </c>
      <c r="F1119" s="2">
        <f>MONTH(Table1[[#This Row],[PurchaseDate]])</f>
        <v>12</v>
      </c>
      <c r="G1119" s="2" t="str">
        <f>TEXT(Table1[[#This Row],[PurchaseDate]],"MMM")</f>
        <v>Dec</v>
      </c>
      <c r="H1119">
        <v>6</v>
      </c>
      <c r="I1119">
        <v>575.29999999999995</v>
      </c>
      <c r="J1119" t="s">
        <v>2124</v>
      </c>
      <c r="K1119" t="s">
        <v>13</v>
      </c>
      <c r="L1119" t="s">
        <v>23</v>
      </c>
      <c r="M1119">
        <v>5</v>
      </c>
      <c r="N1119">
        <v>3451.8</v>
      </c>
    </row>
    <row r="1120" spans="1:14" x14ac:dyDescent="0.3">
      <c r="A1120" t="s">
        <v>2125</v>
      </c>
      <c r="B1120" t="s">
        <v>16</v>
      </c>
      <c r="C1120" s="1">
        <v>45746</v>
      </c>
      <c r="D1120" s="2">
        <f>YEAR(Table1[[#This Row],[PurchaseDate]])</f>
        <v>2025</v>
      </c>
      <c r="E1120" s="2" t="str">
        <f>"Q"&amp;ROUNDUP(MONTH(Table1[[#This Row],[PurchaseDate]])/3,0)</f>
        <v>Q1</v>
      </c>
      <c r="F1120" s="2">
        <f>MONTH(Table1[[#This Row],[PurchaseDate]])</f>
        <v>3</v>
      </c>
      <c r="G1120" s="2" t="str">
        <f>TEXT(Table1[[#This Row],[PurchaseDate]],"MMM")</f>
        <v>Mar</v>
      </c>
      <c r="H1120">
        <v>6</v>
      </c>
      <c r="I1120">
        <v>277.83</v>
      </c>
      <c r="J1120" t="s">
        <v>2126</v>
      </c>
      <c r="K1120" t="s">
        <v>18</v>
      </c>
      <c r="L1120" t="s">
        <v>19</v>
      </c>
      <c r="M1120">
        <v>4</v>
      </c>
      <c r="N1120">
        <v>1666.98</v>
      </c>
    </row>
    <row r="1121" spans="1:14" x14ac:dyDescent="0.3">
      <c r="A1121" t="s">
        <v>2127</v>
      </c>
      <c r="B1121" t="s">
        <v>21</v>
      </c>
      <c r="C1121" s="1">
        <v>44973</v>
      </c>
      <c r="D1121" s="2">
        <f>YEAR(Table1[[#This Row],[PurchaseDate]])</f>
        <v>2023</v>
      </c>
      <c r="E1121" s="2" t="str">
        <f>"Q"&amp;ROUNDUP(MONTH(Table1[[#This Row],[PurchaseDate]])/3,0)</f>
        <v>Q1</v>
      </c>
      <c r="F1121" s="2">
        <f>MONTH(Table1[[#This Row],[PurchaseDate]])</f>
        <v>2</v>
      </c>
      <c r="G1121" s="2" t="str">
        <f>TEXT(Table1[[#This Row],[PurchaseDate]],"MMM")</f>
        <v>Feb</v>
      </c>
      <c r="H1121">
        <v>4</v>
      </c>
      <c r="I1121">
        <v>631.44000000000005</v>
      </c>
      <c r="J1121" t="s">
        <v>2128</v>
      </c>
      <c r="K1121" t="s">
        <v>18</v>
      </c>
      <c r="L1121" t="s">
        <v>19</v>
      </c>
      <c r="M1121">
        <v>1</v>
      </c>
      <c r="N1121">
        <v>2525.7600000000002</v>
      </c>
    </row>
    <row r="1122" spans="1:14" x14ac:dyDescent="0.3">
      <c r="A1122" t="s">
        <v>2129</v>
      </c>
      <c r="B1122" t="s">
        <v>16</v>
      </c>
      <c r="C1122" s="1">
        <v>45236</v>
      </c>
      <c r="D1122" s="2">
        <f>YEAR(Table1[[#This Row],[PurchaseDate]])</f>
        <v>2023</v>
      </c>
      <c r="E1122" s="2" t="str">
        <f>"Q"&amp;ROUNDUP(MONTH(Table1[[#This Row],[PurchaseDate]])/3,0)</f>
        <v>Q4</v>
      </c>
      <c r="F1122" s="2">
        <f>MONTH(Table1[[#This Row],[PurchaseDate]])</f>
        <v>11</v>
      </c>
      <c r="G1122" s="2" t="str">
        <f>TEXT(Table1[[#This Row],[PurchaseDate]],"MMM")</f>
        <v>Nov</v>
      </c>
      <c r="H1122">
        <v>5</v>
      </c>
      <c r="I1122">
        <v>690.26</v>
      </c>
      <c r="J1122" t="s">
        <v>2130</v>
      </c>
      <c r="K1122" t="s">
        <v>38</v>
      </c>
      <c r="L1122" t="s">
        <v>14</v>
      </c>
      <c r="M1122">
        <v>5</v>
      </c>
      <c r="N1122">
        <v>3451.3</v>
      </c>
    </row>
    <row r="1123" spans="1:14" x14ac:dyDescent="0.3">
      <c r="A1123" t="s">
        <v>2131</v>
      </c>
      <c r="B1123" t="s">
        <v>21</v>
      </c>
      <c r="C1123" s="1">
        <v>45508</v>
      </c>
      <c r="D1123" s="2">
        <f>YEAR(Table1[[#This Row],[PurchaseDate]])</f>
        <v>2024</v>
      </c>
      <c r="E1123" s="2" t="str">
        <f>"Q"&amp;ROUNDUP(MONTH(Table1[[#This Row],[PurchaseDate]])/3,0)</f>
        <v>Q3</v>
      </c>
      <c r="F1123" s="2">
        <f>MONTH(Table1[[#This Row],[PurchaseDate]])</f>
        <v>8</v>
      </c>
      <c r="G1123" s="2" t="str">
        <f>TEXT(Table1[[#This Row],[PurchaseDate]],"MMM")</f>
        <v>Aug</v>
      </c>
      <c r="H1123">
        <v>1</v>
      </c>
      <c r="I1123">
        <v>659.76</v>
      </c>
      <c r="J1123" t="s">
        <v>2132</v>
      </c>
      <c r="K1123" t="s">
        <v>13</v>
      </c>
      <c r="L1123" t="s">
        <v>58</v>
      </c>
      <c r="M1123">
        <v>1</v>
      </c>
      <c r="N1123">
        <v>659.76</v>
      </c>
    </row>
    <row r="1124" spans="1:14" x14ac:dyDescent="0.3">
      <c r="A1124" t="s">
        <v>2133</v>
      </c>
      <c r="B1124" t="s">
        <v>16</v>
      </c>
      <c r="C1124" s="1">
        <v>45052</v>
      </c>
      <c r="D1124" s="2">
        <f>YEAR(Table1[[#This Row],[PurchaseDate]])</f>
        <v>2023</v>
      </c>
      <c r="E1124" s="2" t="str">
        <f>"Q"&amp;ROUNDUP(MONTH(Table1[[#This Row],[PurchaseDate]])/3,0)</f>
        <v>Q2</v>
      </c>
      <c r="F1124" s="2">
        <f>MONTH(Table1[[#This Row],[PurchaseDate]])</f>
        <v>5</v>
      </c>
      <c r="G1124" s="2" t="str">
        <f>TEXT(Table1[[#This Row],[PurchaseDate]],"MMM")</f>
        <v>May</v>
      </c>
      <c r="H1124">
        <v>1</v>
      </c>
      <c r="I1124">
        <v>336.3</v>
      </c>
      <c r="J1124" t="s">
        <v>2134</v>
      </c>
      <c r="K1124" t="s">
        <v>38</v>
      </c>
      <c r="L1124" t="s">
        <v>58</v>
      </c>
      <c r="M1124">
        <v>3</v>
      </c>
      <c r="N1124">
        <v>336.3</v>
      </c>
    </row>
    <row r="1125" spans="1:14" x14ac:dyDescent="0.3">
      <c r="A1125" t="s">
        <v>2135</v>
      </c>
      <c r="B1125" t="s">
        <v>29</v>
      </c>
      <c r="C1125" s="1">
        <v>45716</v>
      </c>
      <c r="D1125" s="2">
        <f>YEAR(Table1[[#This Row],[PurchaseDate]])</f>
        <v>2025</v>
      </c>
      <c r="E1125" s="2" t="str">
        <f>"Q"&amp;ROUNDUP(MONTH(Table1[[#This Row],[PurchaseDate]])/3,0)</f>
        <v>Q1</v>
      </c>
      <c r="F1125" s="2">
        <f>MONTH(Table1[[#This Row],[PurchaseDate]])</f>
        <v>2</v>
      </c>
      <c r="G1125" s="2" t="str">
        <f>TEXT(Table1[[#This Row],[PurchaseDate]],"MMM")</f>
        <v>Feb</v>
      </c>
      <c r="H1125">
        <v>5</v>
      </c>
      <c r="I1125">
        <v>720.71</v>
      </c>
      <c r="J1125" t="s">
        <v>2136</v>
      </c>
      <c r="K1125" t="s">
        <v>18</v>
      </c>
      <c r="L1125" t="s">
        <v>19</v>
      </c>
      <c r="M1125">
        <v>1</v>
      </c>
      <c r="N1125">
        <v>3603.55</v>
      </c>
    </row>
    <row r="1126" spans="1:14" x14ac:dyDescent="0.3">
      <c r="A1126" t="s">
        <v>1671</v>
      </c>
      <c r="B1126" t="s">
        <v>11</v>
      </c>
      <c r="C1126" s="1">
        <v>45442</v>
      </c>
      <c r="D1126" s="2">
        <f>YEAR(Table1[[#This Row],[PurchaseDate]])</f>
        <v>2024</v>
      </c>
      <c r="E1126" s="2" t="str">
        <f>"Q"&amp;ROUNDUP(MONTH(Table1[[#This Row],[PurchaseDate]])/3,0)</f>
        <v>Q2</v>
      </c>
      <c r="F1126" s="2">
        <f>MONTH(Table1[[#This Row],[PurchaseDate]])</f>
        <v>5</v>
      </c>
      <c r="G1126" s="2" t="str">
        <f>TEXT(Table1[[#This Row],[PurchaseDate]],"MMM")</f>
        <v>May</v>
      </c>
      <c r="H1126">
        <v>7</v>
      </c>
      <c r="I1126">
        <v>495.8</v>
      </c>
      <c r="J1126" t="s">
        <v>1672</v>
      </c>
      <c r="K1126" t="s">
        <v>18</v>
      </c>
      <c r="L1126" t="s">
        <v>14</v>
      </c>
      <c r="M1126">
        <v>5</v>
      </c>
      <c r="N1126">
        <v>3470.6</v>
      </c>
    </row>
    <row r="1127" spans="1:14" x14ac:dyDescent="0.3">
      <c r="A1127" t="s">
        <v>2137</v>
      </c>
      <c r="B1127" t="s">
        <v>21</v>
      </c>
      <c r="C1127" s="1">
        <v>45673</v>
      </c>
      <c r="D1127" s="2">
        <f>YEAR(Table1[[#This Row],[PurchaseDate]])</f>
        <v>2025</v>
      </c>
      <c r="E1127" s="2" t="str">
        <f>"Q"&amp;ROUNDUP(MONTH(Table1[[#This Row],[PurchaseDate]])/3,0)</f>
        <v>Q1</v>
      </c>
      <c r="F1127" s="2">
        <f>MONTH(Table1[[#This Row],[PurchaseDate]])</f>
        <v>1</v>
      </c>
      <c r="G1127" s="2" t="str">
        <f>TEXT(Table1[[#This Row],[PurchaseDate]],"MMM")</f>
        <v>Jan</v>
      </c>
      <c r="H1127">
        <v>1</v>
      </c>
      <c r="I1127">
        <v>283.8</v>
      </c>
      <c r="J1127" t="s">
        <v>2138</v>
      </c>
      <c r="K1127" t="s">
        <v>18</v>
      </c>
      <c r="L1127" t="s">
        <v>27</v>
      </c>
      <c r="M1127">
        <v>5</v>
      </c>
      <c r="N1127">
        <v>283.8</v>
      </c>
    </row>
    <row r="1128" spans="1:14" x14ac:dyDescent="0.3">
      <c r="A1128" t="s">
        <v>2139</v>
      </c>
      <c r="B1128" t="s">
        <v>34</v>
      </c>
      <c r="C1128" s="1">
        <v>45137</v>
      </c>
      <c r="D1128" s="2">
        <f>YEAR(Table1[[#This Row],[PurchaseDate]])</f>
        <v>2023</v>
      </c>
      <c r="E1128" s="2" t="str">
        <f>"Q"&amp;ROUNDUP(MONTH(Table1[[#This Row],[PurchaseDate]])/3,0)</f>
        <v>Q3</v>
      </c>
      <c r="F1128" s="2">
        <f>MONTH(Table1[[#This Row],[PurchaseDate]])</f>
        <v>7</v>
      </c>
      <c r="G1128" s="2" t="str">
        <f>TEXT(Table1[[#This Row],[PurchaseDate]],"MMM")</f>
        <v>Jul</v>
      </c>
      <c r="H1128">
        <v>2</v>
      </c>
      <c r="I1128">
        <v>269.89999999999998</v>
      </c>
      <c r="J1128" t="s">
        <v>2140</v>
      </c>
      <c r="K1128" t="s">
        <v>13</v>
      </c>
      <c r="L1128" t="s">
        <v>19</v>
      </c>
      <c r="M1128">
        <v>3</v>
      </c>
      <c r="N1128">
        <v>539.79999999999995</v>
      </c>
    </row>
    <row r="1129" spans="1:14" x14ac:dyDescent="0.3">
      <c r="A1129" t="s">
        <v>2141</v>
      </c>
      <c r="B1129" t="s">
        <v>42</v>
      </c>
      <c r="C1129" s="1">
        <v>45342</v>
      </c>
      <c r="D1129" s="2">
        <f>YEAR(Table1[[#This Row],[PurchaseDate]])</f>
        <v>2024</v>
      </c>
      <c r="E1129" s="2" t="str">
        <f>"Q"&amp;ROUNDUP(MONTH(Table1[[#This Row],[PurchaseDate]])/3,0)</f>
        <v>Q1</v>
      </c>
      <c r="F1129" s="2">
        <f>MONTH(Table1[[#This Row],[PurchaseDate]])</f>
        <v>2</v>
      </c>
      <c r="G1129" s="2" t="str">
        <f>TEXT(Table1[[#This Row],[PurchaseDate]],"MMM")</f>
        <v>Feb</v>
      </c>
      <c r="H1129">
        <v>1</v>
      </c>
      <c r="I1129">
        <v>582.02</v>
      </c>
      <c r="J1129" t="s">
        <v>2142</v>
      </c>
      <c r="K1129" t="s">
        <v>38</v>
      </c>
      <c r="L1129" t="s">
        <v>14</v>
      </c>
      <c r="M1129">
        <v>5</v>
      </c>
      <c r="N1129">
        <v>582.02</v>
      </c>
    </row>
    <row r="1130" spans="1:14" x14ac:dyDescent="0.3">
      <c r="A1130" t="s">
        <v>2143</v>
      </c>
      <c r="B1130" t="s">
        <v>21</v>
      </c>
      <c r="C1130" s="1">
        <v>45455</v>
      </c>
      <c r="D1130" s="2">
        <f>YEAR(Table1[[#This Row],[PurchaseDate]])</f>
        <v>2024</v>
      </c>
      <c r="E1130" s="2" t="str">
        <f>"Q"&amp;ROUNDUP(MONTH(Table1[[#This Row],[PurchaseDate]])/3,0)</f>
        <v>Q2</v>
      </c>
      <c r="F1130" s="2">
        <f>MONTH(Table1[[#This Row],[PurchaseDate]])</f>
        <v>6</v>
      </c>
      <c r="G1130" s="2" t="str">
        <f>TEXT(Table1[[#This Row],[PurchaseDate]],"MMM")</f>
        <v>Jun</v>
      </c>
      <c r="H1130">
        <v>4</v>
      </c>
      <c r="I1130">
        <v>163.49</v>
      </c>
      <c r="J1130" t="s">
        <v>2144</v>
      </c>
      <c r="K1130" t="s">
        <v>38</v>
      </c>
      <c r="L1130" t="s">
        <v>14</v>
      </c>
      <c r="M1130">
        <v>5</v>
      </c>
      <c r="N1130">
        <v>653.96</v>
      </c>
    </row>
    <row r="1131" spans="1:14" x14ac:dyDescent="0.3">
      <c r="A1131" t="s">
        <v>2145</v>
      </c>
      <c r="B1131" t="s">
        <v>21</v>
      </c>
      <c r="C1131" s="1">
        <v>45137</v>
      </c>
      <c r="D1131" s="2">
        <f>YEAR(Table1[[#This Row],[PurchaseDate]])</f>
        <v>2023</v>
      </c>
      <c r="E1131" s="2" t="str">
        <f>"Q"&amp;ROUNDUP(MONTH(Table1[[#This Row],[PurchaseDate]])/3,0)</f>
        <v>Q3</v>
      </c>
      <c r="F1131" s="2">
        <f>MONTH(Table1[[#This Row],[PurchaseDate]])</f>
        <v>7</v>
      </c>
      <c r="G1131" s="2" t="str">
        <f>TEXT(Table1[[#This Row],[PurchaseDate]],"MMM")</f>
        <v>Jul</v>
      </c>
      <c r="H1131">
        <v>5</v>
      </c>
      <c r="I1131">
        <v>501.45</v>
      </c>
      <c r="J1131" t="s">
        <v>2146</v>
      </c>
      <c r="K1131" t="s">
        <v>18</v>
      </c>
      <c r="L1131" t="s">
        <v>19</v>
      </c>
      <c r="M1131">
        <v>2</v>
      </c>
      <c r="N1131">
        <v>2507.25</v>
      </c>
    </row>
    <row r="1132" spans="1:14" x14ac:dyDescent="0.3">
      <c r="A1132" t="s">
        <v>2147</v>
      </c>
      <c r="B1132" t="s">
        <v>42</v>
      </c>
      <c r="C1132" s="1">
        <v>45175</v>
      </c>
      <c r="D1132" s="2">
        <f>YEAR(Table1[[#This Row],[PurchaseDate]])</f>
        <v>2023</v>
      </c>
      <c r="E1132" s="2" t="str">
        <f>"Q"&amp;ROUNDUP(MONTH(Table1[[#This Row],[PurchaseDate]])/3,0)</f>
        <v>Q3</v>
      </c>
      <c r="F1132" s="2">
        <f>MONTH(Table1[[#This Row],[PurchaseDate]])</f>
        <v>9</v>
      </c>
      <c r="G1132" s="2" t="str">
        <f>TEXT(Table1[[#This Row],[PurchaseDate]],"MMM")</f>
        <v>Sep</v>
      </c>
      <c r="H1132">
        <v>7</v>
      </c>
      <c r="I1132">
        <v>138.65</v>
      </c>
      <c r="J1132" t="s">
        <v>2148</v>
      </c>
      <c r="K1132" t="s">
        <v>13</v>
      </c>
      <c r="L1132" t="s">
        <v>14</v>
      </c>
      <c r="M1132">
        <v>5</v>
      </c>
      <c r="N1132">
        <v>970.55</v>
      </c>
    </row>
    <row r="1133" spans="1:14" x14ac:dyDescent="0.3">
      <c r="A1133" t="s">
        <v>2149</v>
      </c>
      <c r="B1133" t="s">
        <v>42</v>
      </c>
      <c r="C1133" s="1">
        <v>45790</v>
      </c>
      <c r="D1133" s="2">
        <f>YEAR(Table1[[#This Row],[PurchaseDate]])</f>
        <v>2025</v>
      </c>
      <c r="E1133" s="2" t="str">
        <f>"Q"&amp;ROUNDUP(MONTH(Table1[[#This Row],[PurchaseDate]])/3,0)</f>
        <v>Q2</v>
      </c>
      <c r="F1133" s="2">
        <f>MONTH(Table1[[#This Row],[PurchaseDate]])</f>
        <v>5</v>
      </c>
      <c r="G1133" s="2" t="str">
        <f>TEXT(Table1[[#This Row],[PurchaseDate]],"MMM")</f>
        <v>May</v>
      </c>
      <c r="H1133">
        <v>7</v>
      </c>
      <c r="I1133">
        <v>614.28</v>
      </c>
      <c r="J1133" t="s">
        <v>2150</v>
      </c>
      <c r="K1133" t="s">
        <v>18</v>
      </c>
      <c r="L1133" t="s">
        <v>27</v>
      </c>
      <c r="M1133">
        <v>1</v>
      </c>
      <c r="N1133">
        <v>4299.96</v>
      </c>
    </row>
    <row r="1134" spans="1:14" x14ac:dyDescent="0.3">
      <c r="A1134" t="s">
        <v>2151</v>
      </c>
      <c r="B1134" t="s">
        <v>11</v>
      </c>
      <c r="C1134" s="1">
        <v>45018</v>
      </c>
      <c r="D1134" s="2">
        <f>YEAR(Table1[[#This Row],[PurchaseDate]])</f>
        <v>2023</v>
      </c>
      <c r="E1134" s="2" t="str">
        <f>"Q"&amp;ROUNDUP(MONTH(Table1[[#This Row],[PurchaseDate]])/3,0)</f>
        <v>Q2</v>
      </c>
      <c r="F1134" s="2">
        <f>MONTH(Table1[[#This Row],[PurchaseDate]])</f>
        <v>4</v>
      </c>
      <c r="G1134" s="2" t="str">
        <f>TEXT(Table1[[#This Row],[PurchaseDate]],"MMM")</f>
        <v>Apr</v>
      </c>
      <c r="H1134">
        <v>6</v>
      </c>
      <c r="I1134">
        <v>294.38</v>
      </c>
      <c r="J1134" t="s">
        <v>2152</v>
      </c>
      <c r="K1134" t="s">
        <v>38</v>
      </c>
      <c r="L1134" t="s">
        <v>19</v>
      </c>
      <c r="M1134">
        <v>1</v>
      </c>
      <c r="N1134">
        <v>1766.28</v>
      </c>
    </row>
    <row r="1135" spans="1:14" x14ac:dyDescent="0.3">
      <c r="A1135" t="s">
        <v>2153</v>
      </c>
      <c r="B1135" t="s">
        <v>16</v>
      </c>
      <c r="C1135" s="1">
        <v>45619</v>
      </c>
      <c r="D1135" s="2">
        <f>YEAR(Table1[[#This Row],[PurchaseDate]])</f>
        <v>2024</v>
      </c>
      <c r="E1135" s="2" t="str">
        <f>"Q"&amp;ROUNDUP(MONTH(Table1[[#This Row],[PurchaseDate]])/3,0)</f>
        <v>Q4</v>
      </c>
      <c r="F1135" s="2">
        <f>MONTH(Table1[[#This Row],[PurchaseDate]])</f>
        <v>11</v>
      </c>
      <c r="G1135" s="2" t="str">
        <f>TEXT(Table1[[#This Row],[PurchaseDate]],"MMM")</f>
        <v>Nov</v>
      </c>
      <c r="H1135">
        <v>5</v>
      </c>
      <c r="I1135">
        <v>505.66</v>
      </c>
      <c r="J1135" t="s">
        <v>2154</v>
      </c>
      <c r="K1135" t="s">
        <v>38</v>
      </c>
      <c r="L1135" t="s">
        <v>58</v>
      </c>
      <c r="M1135">
        <v>3</v>
      </c>
      <c r="N1135">
        <v>2528.3000000000002</v>
      </c>
    </row>
    <row r="1136" spans="1:14" x14ac:dyDescent="0.3">
      <c r="A1136" t="s">
        <v>2155</v>
      </c>
      <c r="B1136" t="s">
        <v>42</v>
      </c>
      <c r="C1136" s="1">
        <v>45550</v>
      </c>
      <c r="D1136" s="2">
        <f>YEAR(Table1[[#This Row],[PurchaseDate]])</f>
        <v>2024</v>
      </c>
      <c r="E1136" s="2" t="str">
        <f>"Q"&amp;ROUNDUP(MONTH(Table1[[#This Row],[PurchaseDate]])/3,0)</f>
        <v>Q3</v>
      </c>
      <c r="F1136" s="2">
        <f>MONTH(Table1[[#This Row],[PurchaseDate]])</f>
        <v>9</v>
      </c>
      <c r="G1136" s="2" t="str">
        <f>TEXT(Table1[[#This Row],[PurchaseDate]],"MMM")</f>
        <v>Sep</v>
      </c>
      <c r="H1136">
        <v>1</v>
      </c>
      <c r="I1136">
        <v>554.09</v>
      </c>
      <c r="J1136" t="s">
        <v>2156</v>
      </c>
      <c r="K1136" t="s">
        <v>38</v>
      </c>
      <c r="L1136" t="s">
        <v>14</v>
      </c>
      <c r="M1136">
        <v>1</v>
      </c>
      <c r="N1136">
        <v>554.09</v>
      </c>
    </row>
    <row r="1137" spans="1:14" x14ac:dyDescent="0.3">
      <c r="A1137" t="s">
        <v>2157</v>
      </c>
      <c r="B1137" t="s">
        <v>42</v>
      </c>
      <c r="C1137" s="1">
        <v>45837</v>
      </c>
      <c r="D1137" s="2">
        <f>YEAR(Table1[[#This Row],[PurchaseDate]])</f>
        <v>2025</v>
      </c>
      <c r="E1137" s="2" t="str">
        <f>"Q"&amp;ROUNDUP(MONTH(Table1[[#This Row],[PurchaseDate]])/3,0)</f>
        <v>Q2</v>
      </c>
      <c r="F1137" s="2">
        <f>MONTH(Table1[[#This Row],[PurchaseDate]])</f>
        <v>6</v>
      </c>
      <c r="G1137" s="2" t="str">
        <f>TEXT(Table1[[#This Row],[PurchaseDate]],"MMM")</f>
        <v>Jun</v>
      </c>
      <c r="H1137">
        <v>8</v>
      </c>
      <c r="I1137">
        <v>387.55</v>
      </c>
      <c r="J1137" t="s">
        <v>2158</v>
      </c>
      <c r="K1137" t="s">
        <v>38</v>
      </c>
      <c r="L1137" t="s">
        <v>27</v>
      </c>
      <c r="M1137">
        <v>1</v>
      </c>
      <c r="N1137">
        <v>3100.4</v>
      </c>
    </row>
    <row r="1138" spans="1:14" x14ac:dyDescent="0.3">
      <c r="A1138" t="s">
        <v>2159</v>
      </c>
      <c r="B1138" t="s">
        <v>21</v>
      </c>
      <c r="C1138" s="1">
        <v>45303</v>
      </c>
      <c r="D1138" s="2">
        <f>YEAR(Table1[[#This Row],[PurchaseDate]])</f>
        <v>2024</v>
      </c>
      <c r="E1138" s="2" t="str">
        <f>"Q"&amp;ROUNDUP(MONTH(Table1[[#This Row],[PurchaseDate]])/3,0)</f>
        <v>Q1</v>
      </c>
      <c r="F1138" s="2">
        <f>MONTH(Table1[[#This Row],[PurchaseDate]])</f>
        <v>1</v>
      </c>
      <c r="G1138" s="2" t="str">
        <f>TEXT(Table1[[#This Row],[PurchaseDate]],"MMM")</f>
        <v>Jan</v>
      </c>
      <c r="H1138">
        <v>8</v>
      </c>
      <c r="I1138">
        <v>398.03</v>
      </c>
      <c r="J1138" t="s">
        <v>2160</v>
      </c>
      <c r="K1138" t="s">
        <v>13</v>
      </c>
      <c r="L1138" t="s">
        <v>27</v>
      </c>
      <c r="M1138">
        <v>4</v>
      </c>
      <c r="N1138">
        <v>3184.24</v>
      </c>
    </row>
    <row r="1139" spans="1:14" x14ac:dyDescent="0.3">
      <c r="A1139" t="s">
        <v>2161</v>
      </c>
      <c r="B1139" t="s">
        <v>25</v>
      </c>
      <c r="C1139" s="1">
        <v>45400</v>
      </c>
      <c r="D1139" s="2">
        <f>YEAR(Table1[[#This Row],[PurchaseDate]])</f>
        <v>2024</v>
      </c>
      <c r="E1139" s="2" t="str">
        <f>"Q"&amp;ROUNDUP(MONTH(Table1[[#This Row],[PurchaseDate]])/3,0)</f>
        <v>Q2</v>
      </c>
      <c r="F1139" s="2">
        <f>MONTH(Table1[[#This Row],[PurchaseDate]])</f>
        <v>4</v>
      </c>
      <c r="G1139" s="2" t="str">
        <f>TEXT(Table1[[#This Row],[PurchaseDate]],"MMM")</f>
        <v>Apr</v>
      </c>
      <c r="H1139">
        <v>5</v>
      </c>
      <c r="I1139">
        <v>668.28</v>
      </c>
      <c r="J1139" t="s">
        <v>2162</v>
      </c>
      <c r="K1139" t="s">
        <v>18</v>
      </c>
      <c r="L1139" t="s">
        <v>23</v>
      </c>
      <c r="M1139">
        <v>1</v>
      </c>
      <c r="N1139">
        <v>3341.4</v>
      </c>
    </row>
    <row r="1140" spans="1:14" x14ac:dyDescent="0.3">
      <c r="A1140" t="s">
        <v>2163</v>
      </c>
      <c r="B1140" t="s">
        <v>11</v>
      </c>
      <c r="C1140" s="1">
        <v>45280</v>
      </c>
      <c r="D1140" s="2">
        <f>YEAR(Table1[[#This Row],[PurchaseDate]])</f>
        <v>2023</v>
      </c>
      <c r="E1140" s="2" t="str">
        <f>"Q"&amp;ROUNDUP(MONTH(Table1[[#This Row],[PurchaseDate]])/3,0)</f>
        <v>Q4</v>
      </c>
      <c r="F1140" s="2">
        <f>MONTH(Table1[[#This Row],[PurchaseDate]])</f>
        <v>12</v>
      </c>
      <c r="G1140" s="2" t="str">
        <f>TEXT(Table1[[#This Row],[PurchaseDate]],"MMM")</f>
        <v>Dec</v>
      </c>
      <c r="H1140">
        <v>5</v>
      </c>
      <c r="I1140">
        <v>300.8</v>
      </c>
      <c r="J1140" t="s">
        <v>2164</v>
      </c>
      <c r="K1140" t="s">
        <v>38</v>
      </c>
      <c r="L1140" t="s">
        <v>27</v>
      </c>
      <c r="M1140">
        <v>3</v>
      </c>
      <c r="N1140">
        <v>1504</v>
      </c>
    </row>
    <row r="1141" spans="1:14" x14ac:dyDescent="0.3">
      <c r="A1141" t="s">
        <v>2165</v>
      </c>
      <c r="B1141" t="s">
        <v>34</v>
      </c>
      <c r="C1141" s="1">
        <v>45407</v>
      </c>
      <c r="D1141" s="2">
        <f>YEAR(Table1[[#This Row],[PurchaseDate]])</f>
        <v>2024</v>
      </c>
      <c r="E1141" s="2" t="str">
        <f>"Q"&amp;ROUNDUP(MONTH(Table1[[#This Row],[PurchaseDate]])/3,0)</f>
        <v>Q2</v>
      </c>
      <c r="F1141" s="2">
        <f>MONTH(Table1[[#This Row],[PurchaseDate]])</f>
        <v>4</v>
      </c>
      <c r="G1141" s="2" t="str">
        <f>TEXT(Table1[[#This Row],[PurchaseDate]],"MMM")</f>
        <v>Apr</v>
      </c>
      <c r="H1141">
        <v>1</v>
      </c>
      <c r="I1141">
        <v>256.49</v>
      </c>
      <c r="J1141" t="s">
        <v>2166</v>
      </c>
      <c r="K1141" t="s">
        <v>18</v>
      </c>
      <c r="L1141" t="s">
        <v>14</v>
      </c>
      <c r="M1141">
        <v>1</v>
      </c>
      <c r="N1141">
        <v>256.49</v>
      </c>
    </row>
    <row r="1142" spans="1:14" x14ac:dyDescent="0.3">
      <c r="A1142" t="s">
        <v>2167</v>
      </c>
      <c r="B1142" t="s">
        <v>16</v>
      </c>
      <c r="C1142" s="1">
        <v>45836</v>
      </c>
      <c r="D1142" s="2">
        <f>YEAR(Table1[[#This Row],[PurchaseDate]])</f>
        <v>2025</v>
      </c>
      <c r="E1142" s="2" t="str">
        <f>"Q"&amp;ROUNDUP(MONTH(Table1[[#This Row],[PurchaseDate]])/3,0)</f>
        <v>Q2</v>
      </c>
      <c r="F1142" s="2">
        <f>MONTH(Table1[[#This Row],[PurchaseDate]])</f>
        <v>6</v>
      </c>
      <c r="G1142" s="2" t="str">
        <f>TEXT(Table1[[#This Row],[PurchaseDate]],"MMM")</f>
        <v>Jun</v>
      </c>
      <c r="H1142">
        <v>5</v>
      </c>
      <c r="I1142">
        <v>748.08</v>
      </c>
      <c r="J1142" t="s">
        <v>2168</v>
      </c>
      <c r="K1142" t="s">
        <v>18</v>
      </c>
      <c r="L1142" t="s">
        <v>27</v>
      </c>
      <c r="M1142">
        <v>5</v>
      </c>
      <c r="N1142">
        <v>3740.4</v>
      </c>
    </row>
    <row r="1143" spans="1:14" x14ac:dyDescent="0.3">
      <c r="A1143" t="s">
        <v>2169</v>
      </c>
      <c r="B1143" t="s">
        <v>11</v>
      </c>
      <c r="C1143" s="1">
        <v>45206</v>
      </c>
      <c r="D1143" s="2">
        <f>YEAR(Table1[[#This Row],[PurchaseDate]])</f>
        <v>2023</v>
      </c>
      <c r="E1143" s="2" t="str">
        <f>"Q"&amp;ROUNDUP(MONTH(Table1[[#This Row],[PurchaseDate]])/3,0)</f>
        <v>Q4</v>
      </c>
      <c r="F1143" s="2">
        <f>MONTH(Table1[[#This Row],[PurchaseDate]])</f>
        <v>10</v>
      </c>
      <c r="G1143" s="2" t="str">
        <f>TEXT(Table1[[#This Row],[PurchaseDate]],"MMM")</f>
        <v>Oct</v>
      </c>
      <c r="H1143">
        <v>1</v>
      </c>
      <c r="I1143">
        <v>86.51</v>
      </c>
      <c r="J1143" t="s">
        <v>2170</v>
      </c>
      <c r="K1143" t="s">
        <v>38</v>
      </c>
      <c r="L1143" t="s">
        <v>27</v>
      </c>
      <c r="M1143">
        <v>2</v>
      </c>
      <c r="N1143">
        <v>86.51</v>
      </c>
    </row>
    <row r="1144" spans="1:14" x14ac:dyDescent="0.3">
      <c r="A1144" t="s">
        <v>2171</v>
      </c>
      <c r="B1144" t="s">
        <v>11</v>
      </c>
      <c r="C1144" s="1">
        <v>45047</v>
      </c>
      <c r="D1144" s="2">
        <f>YEAR(Table1[[#This Row],[PurchaseDate]])</f>
        <v>2023</v>
      </c>
      <c r="E1144" s="2" t="str">
        <f>"Q"&amp;ROUNDUP(MONTH(Table1[[#This Row],[PurchaseDate]])/3,0)</f>
        <v>Q2</v>
      </c>
      <c r="F1144" s="2">
        <f>MONTH(Table1[[#This Row],[PurchaseDate]])</f>
        <v>5</v>
      </c>
      <c r="G1144" s="2" t="str">
        <f>TEXT(Table1[[#This Row],[PurchaseDate]],"MMM")</f>
        <v>May</v>
      </c>
      <c r="H1144">
        <v>6</v>
      </c>
      <c r="I1144">
        <v>583.1</v>
      </c>
      <c r="J1144" t="s">
        <v>2172</v>
      </c>
      <c r="K1144" t="s">
        <v>38</v>
      </c>
      <c r="L1144" t="s">
        <v>27</v>
      </c>
      <c r="M1144">
        <v>1</v>
      </c>
      <c r="N1144">
        <v>3498.6</v>
      </c>
    </row>
    <row r="1145" spans="1:14" x14ac:dyDescent="0.3">
      <c r="A1145" t="s">
        <v>2173</v>
      </c>
      <c r="B1145" t="s">
        <v>25</v>
      </c>
      <c r="C1145" s="1">
        <v>45819</v>
      </c>
      <c r="D1145" s="2">
        <f>YEAR(Table1[[#This Row],[PurchaseDate]])</f>
        <v>2025</v>
      </c>
      <c r="E1145" s="2" t="str">
        <f>"Q"&amp;ROUNDUP(MONTH(Table1[[#This Row],[PurchaseDate]])/3,0)</f>
        <v>Q2</v>
      </c>
      <c r="F1145" s="2">
        <f>MONTH(Table1[[#This Row],[PurchaseDate]])</f>
        <v>6</v>
      </c>
      <c r="G1145" s="2" t="str">
        <f>TEXT(Table1[[#This Row],[PurchaseDate]],"MMM")</f>
        <v>Jun</v>
      </c>
      <c r="H1145">
        <v>6</v>
      </c>
      <c r="I1145">
        <v>575.12</v>
      </c>
      <c r="J1145" t="s">
        <v>2174</v>
      </c>
      <c r="K1145" t="s">
        <v>18</v>
      </c>
      <c r="L1145" t="s">
        <v>27</v>
      </c>
      <c r="M1145">
        <v>5</v>
      </c>
      <c r="N1145">
        <v>3450.72</v>
      </c>
    </row>
    <row r="1146" spans="1:14" x14ac:dyDescent="0.3">
      <c r="A1146" t="s">
        <v>2175</v>
      </c>
      <c r="B1146" t="s">
        <v>16</v>
      </c>
      <c r="C1146" s="1">
        <v>45098</v>
      </c>
      <c r="D1146" s="2">
        <f>YEAR(Table1[[#This Row],[PurchaseDate]])</f>
        <v>2023</v>
      </c>
      <c r="E1146" s="2" t="str">
        <f>"Q"&amp;ROUNDUP(MONTH(Table1[[#This Row],[PurchaseDate]])/3,0)</f>
        <v>Q2</v>
      </c>
      <c r="F1146" s="2">
        <f>MONTH(Table1[[#This Row],[PurchaseDate]])</f>
        <v>6</v>
      </c>
      <c r="G1146" s="2" t="str">
        <f>TEXT(Table1[[#This Row],[PurchaseDate]],"MMM")</f>
        <v>Jun</v>
      </c>
      <c r="H1146">
        <v>2</v>
      </c>
      <c r="I1146">
        <v>729.99</v>
      </c>
      <c r="J1146" t="s">
        <v>2176</v>
      </c>
      <c r="K1146" t="s">
        <v>18</v>
      </c>
      <c r="L1146" t="s">
        <v>23</v>
      </c>
      <c r="M1146">
        <v>2</v>
      </c>
      <c r="N1146">
        <v>1459.98</v>
      </c>
    </row>
    <row r="1147" spans="1:14" x14ac:dyDescent="0.3">
      <c r="A1147" t="s">
        <v>2177</v>
      </c>
      <c r="B1147" t="s">
        <v>29</v>
      </c>
      <c r="C1147" s="1">
        <v>44961</v>
      </c>
      <c r="D1147" s="2">
        <f>YEAR(Table1[[#This Row],[PurchaseDate]])</f>
        <v>2023</v>
      </c>
      <c r="E1147" s="2" t="str">
        <f>"Q"&amp;ROUNDUP(MONTH(Table1[[#This Row],[PurchaseDate]])/3,0)</f>
        <v>Q1</v>
      </c>
      <c r="F1147" s="2">
        <f>MONTH(Table1[[#This Row],[PurchaseDate]])</f>
        <v>2</v>
      </c>
      <c r="G1147" s="2" t="str">
        <f>TEXT(Table1[[#This Row],[PurchaseDate]],"MMM")</f>
        <v>Feb</v>
      </c>
      <c r="H1147">
        <v>2</v>
      </c>
      <c r="I1147">
        <v>344.21</v>
      </c>
      <c r="J1147" t="s">
        <v>2178</v>
      </c>
      <c r="K1147" t="s">
        <v>38</v>
      </c>
      <c r="L1147" t="s">
        <v>23</v>
      </c>
      <c r="M1147">
        <v>4</v>
      </c>
      <c r="N1147">
        <v>688.42</v>
      </c>
    </row>
    <row r="1148" spans="1:14" x14ac:dyDescent="0.3">
      <c r="A1148" t="s">
        <v>2179</v>
      </c>
      <c r="B1148" t="s">
        <v>11</v>
      </c>
      <c r="C1148" s="1">
        <v>45793</v>
      </c>
      <c r="D1148" s="2">
        <f>YEAR(Table1[[#This Row],[PurchaseDate]])</f>
        <v>2025</v>
      </c>
      <c r="E1148" s="2" t="str">
        <f>"Q"&amp;ROUNDUP(MONTH(Table1[[#This Row],[PurchaseDate]])/3,0)</f>
        <v>Q2</v>
      </c>
      <c r="F1148" s="2">
        <f>MONTH(Table1[[#This Row],[PurchaseDate]])</f>
        <v>5</v>
      </c>
      <c r="G1148" s="2" t="str">
        <f>TEXT(Table1[[#This Row],[PurchaseDate]],"MMM")</f>
        <v>May</v>
      </c>
      <c r="H1148">
        <v>6</v>
      </c>
      <c r="I1148">
        <v>574.24</v>
      </c>
      <c r="J1148" t="s">
        <v>2180</v>
      </c>
      <c r="K1148" t="s">
        <v>13</v>
      </c>
      <c r="L1148" t="s">
        <v>58</v>
      </c>
      <c r="M1148">
        <v>3</v>
      </c>
      <c r="N1148">
        <v>3445.44</v>
      </c>
    </row>
    <row r="1149" spans="1:14" x14ac:dyDescent="0.3">
      <c r="A1149" t="s">
        <v>2181</v>
      </c>
      <c r="B1149" t="s">
        <v>16</v>
      </c>
      <c r="C1149" s="1">
        <v>44961</v>
      </c>
      <c r="D1149" s="2">
        <f>YEAR(Table1[[#This Row],[PurchaseDate]])</f>
        <v>2023</v>
      </c>
      <c r="E1149" s="2" t="str">
        <f>"Q"&amp;ROUNDUP(MONTH(Table1[[#This Row],[PurchaseDate]])/3,0)</f>
        <v>Q1</v>
      </c>
      <c r="F1149" s="2">
        <f>MONTH(Table1[[#This Row],[PurchaseDate]])</f>
        <v>2</v>
      </c>
      <c r="G1149" s="2" t="str">
        <f>TEXT(Table1[[#This Row],[PurchaseDate]],"MMM")</f>
        <v>Feb</v>
      </c>
      <c r="H1149">
        <v>4</v>
      </c>
      <c r="I1149">
        <v>749</v>
      </c>
      <c r="J1149" t="s">
        <v>2182</v>
      </c>
      <c r="K1149" t="s">
        <v>38</v>
      </c>
      <c r="L1149" t="s">
        <v>58</v>
      </c>
      <c r="M1149">
        <v>3</v>
      </c>
      <c r="N1149">
        <v>2996</v>
      </c>
    </row>
    <row r="1150" spans="1:14" x14ac:dyDescent="0.3">
      <c r="A1150" t="s">
        <v>2183</v>
      </c>
      <c r="B1150" t="s">
        <v>29</v>
      </c>
      <c r="C1150" s="1">
        <v>45680</v>
      </c>
      <c r="D1150" s="2">
        <f>YEAR(Table1[[#This Row],[PurchaseDate]])</f>
        <v>2025</v>
      </c>
      <c r="E1150" s="2" t="str">
        <f>"Q"&amp;ROUNDUP(MONTH(Table1[[#This Row],[PurchaseDate]])/3,0)</f>
        <v>Q1</v>
      </c>
      <c r="F1150" s="2">
        <f>MONTH(Table1[[#This Row],[PurchaseDate]])</f>
        <v>1</v>
      </c>
      <c r="G1150" s="2" t="str">
        <f>TEXT(Table1[[#This Row],[PurchaseDate]],"MMM")</f>
        <v>Jan</v>
      </c>
      <c r="H1150">
        <v>7</v>
      </c>
      <c r="I1150">
        <v>234.13</v>
      </c>
      <c r="J1150" t="s">
        <v>2184</v>
      </c>
      <c r="K1150" t="s">
        <v>13</v>
      </c>
      <c r="L1150" t="s">
        <v>14</v>
      </c>
      <c r="M1150">
        <v>3</v>
      </c>
      <c r="N1150">
        <v>1638.91</v>
      </c>
    </row>
    <row r="1151" spans="1:14" x14ac:dyDescent="0.3">
      <c r="A1151" t="s">
        <v>2185</v>
      </c>
      <c r="B1151" t="s">
        <v>21</v>
      </c>
      <c r="C1151" s="1">
        <v>45717</v>
      </c>
      <c r="D1151" s="2">
        <f>YEAR(Table1[[#This Row],[PurchaseDate]])</f>
        <v>2025</v>
      </c>
      <c r="E1151" s="2" t="str">
        <f>"Q"&amp;ROUNDUP(MONTH(Table1[[#This Row],[PurchaseDate]])/3,0)</f>
        <v>Q1</v>
      </c>
      <c r="F1151" s="2">
        <f>MONTH(Table1[[#This Row],[PurchaseDate]])</f>
        <v>3</v>
      </c>
      <c r="G1151" s="2" t="str">
        <f>TEXT(Table1[[#This Row],[PurchaseDate]],"MMM")</f>
        <v>Mar</v>
      </c>
      <c r="H1151">
        <v>6</v>
      </c>
      <c r="I1151">
        <v>439.69</v>
      </c>
      <c r="J1151" t="s">
        <v>2186</v>
      </c>
      <c r="K1151" t="s">
        <v>13</v>
      </c>
      <c r="L1151" t="s">
        <v>27</v>
      </c>
      <c r="M1151">
        <v>2</v>
      </c>
      <c r="N1151">
        <v>2638.14</v>
      </c>
    </row>
    <row r="1152" spans="1:14" x14ac:dyDescent="0.3">
      <c r="A1152" t="s">
        <v>1297</v>
      </c>
      <c r="B1152" t="s">
        <v>29</v>
      </c>
      <c r="C1152" s="1">
        <v>45342</v>
      </c>
      <c r="D1152" s="2">
        <f>YEAR(Table1[[#This Row],[PurchaseDate]])</f>
        <v>2024</v>
      </c>
      <c r="E1152" s="2" t="str">
        <f>"Q"&amp;ROUNDUP(MONTH(Table1[[#This Row],[PurchaseDate]])/3,0)</f>
        <v>Q1</v>
      </c>
      <c r="F1152" s="2">
        <f>MONTH(Table1[[#This Row],[PurchaseDate]])</f>
        <v>2</v>
      </c>
      <c r="G1152" s="2" t="str">
        <f>TEXT(Table1[[#This Row],[PurchaseDate]],"MMM")</f>
        <v>Feb</v>
      </c>
      <c r="H1152">
        <v>5</v>
      </c>
      <c r="I1152">
        <v>691.17</v>
      </c>
      <c r="J1152" t="s">
        <v>1298</v>
      </c>
      <c r="K1152" t="s">
        <v>38</v>
      </c>
      <c r="L1152" t="s">
        <v>19</v>
      </c>
      <c r="M1152">
        <v>4</v>
      </c>
      <c r="N1152">
        <v>3455.85</v>
      </c>
    </row>
    <row r="1153" spans="1:14" x14ac:dyDescent="0.3">
      <c r="A1153" t="s">
        <v>2187</v>
      </c>
      <c r="B1153" t="s">
        <v>34</v>
      </c>
      <c r="C1153" s="1">
        <v>45069</v>
      </c>
      <c r="D1153" s="2">
        <f>YEAR(Table1[[#This Row],[PurchaseDate]])</f>
        <v>2023</v>
      </c>
      <c r="E1153" s="2" t="str">
        <f>"Q"&amp;ROUNDUP(MONTH(Table1[[#This Row],[PurchaseDate]])/3,0)</f>
        <v>Q2</v>
      </c>
      <c r="F1153" s="2">
        <f>MONTH(Table1[[#This Row],[PurchaseDate]])</f>
        <v>5</v>
      </c>
      <c r="G1153" s="2" t="str">
        <f>TEXT(Table1[[#This Row],[PurchaseDate]],"MMM")</f>
        <v>May</v>
      </c>
      <c r="H1153">
        <v>6</v>
      </c>
      <c r="I1153">
        <v>639.59</v>
      </c>
      <c r="J1153" t="s">
        <v>2188</v>
      </c>
      <c r="K1153" t="s">
        <v>18</v>
      </c>
      <c r="L1153" t="s">
        <v>23</v>
      </c>
      <c r="M1153">
        <v>2</v>
      </c>
      <c r="N1153">
        <v>3837.54</v>
      </c>
    </row>
    <row r="1154" spans="1:14" x14ac:dyDescent="0.3">
      <c r="A1154" t="s">
        <v>2189</v>
      </c>
      <c r="B1154" t="s">
        <v>29</v>
      </c>
      <c r="C1154" s="1">
        <v>45428</v>
      </c>
      <c r="D1154" s="2">
        <f>YEAR(Table1[[#This Row],[PurchaseDate]])</f>
        <v>2024</v>
      </c>
      <c r="E1154" s="2" t="str">
        <f>"Q"&amp;ROUNDUP(MONTH(Table1[[#This Row],[PurchaseDate]])/3,0)</f>
        <v>Q2</v>
      </c>
      <c r="F1154" s="2">
        <f>MONTH(Table1[[#This Row],[PurchaseDate]])</f>
        <v>5</v>
      </c>
      <c r="G1154" s="2" t="str">
        <f>TEXT(Table1[[#This Row],[PurchaseDate]],"MMM")</f>
        <v>May</v>
      </c>
      <c r="H1154">
        <v>3</v>
      </c>
      <c r="I1154">
        <v>436.88</v>
      </c>
      <c r="J1154" t="s">
        <v>2190</v>
      </c>
      <c r="K1154" t="s">
        <v>13</v>
      </c>
      <c r="L1154" t="s">
        <v>58</v>
      </c>
      <c r="M1154">
        <v>4</v>
      </c>
      <c r="N1154">
        <v>1310.6400000000001</v>
      </c>
    </row>
    <row r="1155" spans="1:14" x14ac:dyDescent="0.3">
      <c r="A1155" t="s">
        <v>2191</v>
      </c>
      <c r="B1155" t="s">
        <v>42</v>
      </c>
      <c r="C1155" s="1">
        <v>45643</v>
      </c>
      <c r="D1155" s="2">
        <f>YEAR(Table1[[#This Row],[PurchaseDate]])</f>
        <v>2024</v>
      </c>
      <c r="E1155" s="2" t="str">
        <f>"Q"&amp;ROUNDUP(MONTH(Table1[[#This Row],[PurchaseDate]])/3,0)</f>
        <v>Q4</v>
      </c>
      <c r="F1155" s="2">
        <f>MONTH(Table1[[#This Row],[PurchaseDate]])</f>
        <v>12</v>
      </c>
      <c r="G1155" s="2" t="str">
        <f>TEXT(Table1[[#This Row],[PurchaseDate]],"MMM")</f>
        <v>Dec</v>
      </c>
      <c r="H1155">
        <v>4</v>
      </c>
      <c r="I1155">
        <v>360.14</v>
      </c>
      <c r="J1155" t="s">
        <v>2192</v>
      </c>
      <c r="K1155" t="s">
        <v>18</v>
      </c>
      <c r="L1155" t="s">
        <v>27</v>
      </c>
      <c r="M1155">
        <v>4</v>
      </c>
      <c r="N1155">
        <v>1440.56</v>
      </c>
    </row>
    <row r="1156" spans="1:14" x14ac:dyDescent="0.3">
      <c r="A1156" t="s">
        <v>2193</v>
      </c>
      <c r="B1156" t="s">
        <v>29</v>
      </c>
      <c r="C1156" s="1">
        <v>44995</v>
      </c>
      <c r="D1156" s="2">
        <f>YEAR(Table1[[#This Row],[PurchaseDate]])</f>
        <v>2023</v>
      </c>
      <c r="E1156" s="2" t="str">
        <f>"Q"&amp;ROUNDUP(MONTH(Table1[[#This Row],[PurchaseDate]])/3,0)</f>
        <v>Q1</v>
      </c>
      <c r="F1156" s="2">
        <f>MONTH(Table1[[#This Row],[PurchaseDate]])</f>
        <v>3</v>
      </c>
      <c r="G1156" s="2" t="str">
        <f>TEXT(Table1[[#This Row],[PurchaseDate]],"MMM")</f>
        <v>Mar</v>
      </c>
      <c r="H1156">
        <v>8</v>
      </c>
      <c r="I1156">
        <v>349.84</v>
      </c>
      <c r="J1156" t="s">
        <v>2194</v>
      </c>
      <c r="K1156" t="s">
        <v>18</v>
      </c>
      <c r="L1156" t="s">
        <v>58</v>
      </c>
      <c r="M1156">
        <v>4</v>
      </c>
      <c r="N1156">
        <v>2798.72</v>
      </c>
    </row>
    <row r="1157" spans="1:14" x14ac:dyDescent="0.3">
      <c r="A1157" t="s">
        <v>2195</v>
      </c>
      <c r="B1157" t="s">
        <v>25</v>
      </c>
      <c r="C1157" s="1">
        <v>44984</v>
      </c>
      <c r="D1157" s="2">
        <f>YEAR(Table1[[#This Row],[PurchaseDate]])</f>
        <v>2023</v>
      </c>
      <c r="E1157" s="2" t="str">
        <f>"Q"&amp;ROUNDUP(MONTH(Table1[[#This Row],[PurchaseDate]])/3,0)</f>
        <v>Q1</v>
      </c>
      <c r="F1157" s="2">
        <f>MONTH(Table1[[#This Row],[PurchaseDate]])</f>
        <v>2</v>
      </c>
      <c r="G1157" s="2" t="str">
        <f>TEXT(Table1[[#This Row],[PurchaseDate]],"MMM")</f>
        <v>Feb</v>
      </c>
      <c r="H1157">
        <v>6</v>
      </c>
      <c r="I1157">
        <v>485.46</v>
      </c>
      <c r="J1157" t="s">
        <v>2196</v>
      </c>
      <c r="K1157" t="s">
        <v>38</v>
      </c>
      <c r="L1157" t="s">
        <v>23</v>
      </c>
      <c r="M1157">
        <v>2</v>
      </c>
      <c r="N1157">
        <v>2912.76</v>
      </c>
    </row>
    <row r="1158" spans="1:14" x14ac:dyDescent="0.3">
      <c r="A1158" t="s">
        <v>2197</v>
      </c>
      <c r="B1158" t="s">
        <v>42</v>
      </c>
      <c r="C1158" s="1">
        <v>45424</v>
      </c>
      <c r="D1158" s="2">
        <f>YEAR(Table1[[#This Row],[PurchaseDate]])</f>
        <v>2024</v>
      </c>
      <c r="E1158" s="2" t="str">
        <f>"Q"&amp;ROUNDUP(MONTH(Table1[[#This Row],[PurchaseDate]])/3,0)</f>
        <v>Q2</v>
      </c>
      <c r="F1158" s="2">
        <f>MONTH(Table1[[#This Row],[PurchaseDate]])</f>
        <v>5</v>
      </c>
      <c r="G1158" s="2" t="str">
        <f>TEXT(Table1[[#This Row],[PurchaseDate]],"MMM")</f>
        <v>May</v>
      </c>
      <c r="H1158">
        <v>1</v>
      </c>
      <c r="I1158">
        <v>388.83</v>
      </c>
      <c r="J1158" t="s">
        <v>2198</v>
      </c>
      <c r="K1158" t="s">
        <v>38</v>
      </c>
      <c r="L1158" t="s">
        <v>58</v>
      </c>
      <c r="M1158">
        <v>1</v>
      </c>
      <c r="N1158">
        <v>388.83</v>
      </c>
    </row>
    <row r="1159" spans="1:14" x14ac:dyDescent="0.3">
      <c r="A1159" t="s">
        <v>2199</v>
      </c>
      <c r="B1159" t="s">
        <v>11</v>
      </c>
      <c r="C1159" s="1">
        <v>45415</v>
      </c>
      <c r="D1159" s="2">
        <f>YEAR(Table1[[#This Row],[PurchaseDate]])</f>
        <v>2024</v>
      </c>
      <c r="E1159" s="2" t="str">
        <f>"Q"&amp;ROUNDUP(MONTH(Table1[[#This Row],[PurchaseDate]])/3,0)</f>
        <v>Q2</v>
      </c>
      <c r="F1159" s="2">
        <f>MONTH(Table1[[#This Row],[PurchaseDate]])</f>
        <v>5</v>
      </c>
      <c r="G1159" s="2" t="str">
        <f>TEXT(Table1[[#This Row],[PurchaseDate]],"MMM")</f>
        <v>May</v>
      </c>
      <c r="H1159">
        <v>7</v>
      </c>
      <c r="I1159">
        <v>337.95</v>
      </c>
      <c r="J1159" t="s">
        <v>2200</v>
      </c>
      <c r="K1159" t="s">
        <v>13</v>
      </c>
      <c r="L1159" t="s">
        <v>58</v>
      </c>
      <c r="M1159">
        <v>2</v>
      </c>
      <c r="N1159">
        <v>2365.65</v>
      </c>
    </row>
    <row r="1160" spans="1:14" x14ac:dyDescent="0.3">
      <c r="A1160" t="s">
        <v>1829</v>
      </c>
      <c r="B1160" t="s">
        <v>42</v>
      </c>
      <c r="C1160" s="1">
        <v>45406</v>
      </c>
      <c r="D1160" s="2">
        <f>YEAR(Table1[[#This Row],[PurchaseDate]])</f>
        <v>2024</v>
      </c>
      <c r="E1160" s="2" t="str">
        <f>"Q"&amp;ROUNDUP(MONTH(Table1[[#This Row],[PurchaseDate]])/3,0)</f>
        <v>Q2</v>
      </c>
      <c r="F1160" s="2">
        <f>MONTH(Table1[[#This Row],[PurchaseDate]])</f>
        <v>4</v>
      </c>
      <c r="G1160" s="2" t="str">
        <f>TEXT(Table1[[#This Row],[PurchaseDate]],"MMM")</f>
        <v>Apr</v>
      </c>
      <c r="H1160">
        <v>3</v>
      </c>
      <c r="I1160">
        <v>560.63</v>
      </c>
      <c r="J1160" t="s">
        <v>1830</v>
      </c>
      <c r="K1160" t="s">
        <v>13</v>
      </c>
      <c r="L1160" t="s">
        <v>19</v>
      </c>
      <c r="M1160">
        <v>3</v>
      </c>
      <c r="N1160">
        <v>1681.89</v>
      </c>
    </row>
    <row r="1161" spans="1:14" x14ac:dyDescent="0.3">
      <c r="A1161" t="s">
        <v>2201</v>
      </c>
      <c r="B1161" t="s">
        <v>25</v>
      </c>
      <c r="C1161" s="1">
        <v>44941</v>
      </c>
      <c r="D1161" s="2">
        <f>YEAR(Table1[[#This Row],[PurchaseDate]])</f>
        <v>2023</v>
      </c>
      <c r="E1161" s="2" t="str">
        <f>"Q"&amp;ROUNDUP(MONTH(Table1[[#This Row],[PurchaseDate]])/3,0)</f>
        <v>Q1</v>
      </c>
      <c r="F1161" s="2">
        <f>MONTH(Table1[[#This Row],[PurchaseDate]])</f>
        <v>1</v>
      </c>
      <c r="G1161" s="2" t="str">
        <f>TEXT(Table1[[#This Row],[PurchaseDate]],"MMM")</f>
        <v>Jan</v>
      </c>
      <c r="H1161">
        <v>1</v>
      </c>
      <c r="I1161">
        <v>458.55</v>
      </c>
      <c r="J1161" t="s">
        <v>2202</v>
      </c>
      <c r="K1161" t="s">
        <v>13</v>
      </c>
      <c r="L1161" t="s">
        <v>19</v>
      </c>
      <c r="M1161">
        <v>4</v>
      </c>
      <c r="N1161">
        <v>458.55</v>
      </c>
    </row>
    <row r="1162" spans="1:14" x14ac:dyDescent="0.3">
      <c r="A1162" t="s">
        <v>1345</v>
      </c>
      <c r="B1162" t="s">
        <v>16</v>
      </c>
      <c r="C1162" s="1">
        <v>45639</v>
      </c>
      <c r="D1162" s="2">
        <f>YEAR(Table1[[#This Row],[PurchaseDate]])</f>
        <v>2024</v>
      </c>
      <c r="E1162" s="2" t="str">
        <f>"Q"&amp;ROUNDUP(MONTH(Table1[[#This Row],[PurchaseDate]])/3,0)</f>
        <v>Q4</v>
      </c>
      <c r="F1162" s="2">
        <f>MONTH(Table1[[#This Row],[PurchaseDate]])</f>
        <v>12</v>
      </c>
      <c r="G1162" s="2" t="str">
        <f>TEXT(Table1[[#This Row],[PurchaseDate]],"MMM")</f>
        <v>Dec</v>
      </c>
      <c r="H1162">
        <v>2</v>
      </c>
      <c r="I1162">
        <v>155.1</v>
      </c>
      <c r="J1162" t="s">
        <v>1346</v>
      </c>
      <c r="K1162" t="s">
        <v>13</v>
      </c>
      <c r="L1162" t="s">
        <v>19</v>
      </c>
      <c r="M1162">
        <v>1</v>
      </c>
      <c r="N1162">
        <v>310.2</v>
      </c>
    </row>
    <row r="1163" spans="1:14" x14ac:dyDescent="0.3">
      <c r="A1163" t="s">
        <v>2203</v>
      </c>
      <c r="B1163" t="s">
        <v>11</v>
      </c>
      <c r="C1163" s="1">
        <v>45214</v>
      </c>
      <c r="D1163" s="2">
        <f>YEAR(Table1[[#This Row],[PurchaseDate]])</f>
        <v>2023</v>
      </c>
      <c r="E1163" s="2" t="str">
        <f>"Q"&amp;ROUNDUP(MONTH(Table1[[#This Row],[PurchaseDate]])/3,0)</f>
        <v>Q4</v>
      </c>
      <c r="F1163" s="2">
        <f>MONTH(Table1[[#This Row],[PurchaseDate]])</f>
        <v>10</v>
      </c>
      <c r="G1163" s="2" t="str">
        <f>TEXT(Table1[[#This Row],[PurchaseDate]],"MMM")</f>
        <v>Oct</v>
      </c>
      <c r="H1163">
        <v>2</v>
      </c>
      <c r="I1163">
        <v>204.21</v>
      </c>
      <c r="J1163" t="s">
        <v>2204</v>
      </c>
      <c r="K1163" t="s">
        <v>13</v>
      </c>
      <c r="L1163" t="s">
        <v>19</v>
      </c>
      <c r="M1163">
        <v>3</v>
      </c>
      <c r="N1163">
        <v>408.42</v>
      </c>
    </row>
    <row r="1164" spans="1:14" x14ac:dyDescent="0.3">
      <c r="A1164" t="s">
        <v>2205</v>
      </c>
      <c r="B1164" t="s">
        <v>42</v>
      </c>
      <c r="C1164" s="1">
        <v>45282</v>
      </c>
      <c r="D1164" s="2">
        <f>YEAR(Table1[[#This Row],[PurchaseDate]])</f>
        <v>2023</v>
      </c>
      <c r="E1164" s="2" t="str">
        <f>"Q"&amp;ROUNDUP(MONTH(Table1[[#This Row],[PurchaseDate]])/3,0)</f>
        <v>Q4</v>
      </c>
      <c r="F1164" s="2">
        <f>MONTH(Table1[[#This Row],[PurchaseDate]])</f>
        <v>12</v>
      </c>
      <c r="G1164" s="2" t="str">
        <f>TEXT(Table1[[#This Row],[PurchaseDate]],"MMM")</f>
        <v>Dec</v>
      </c>
      <c r="H1164">
        <v>4</v>
      </c>
      <c r="I1164">
        <v>710.91</v>
      </c>
      <c r="J1164" t="s">
        <v>2206</v>
      </c>
      <c r="K1164" t="s">
        <v>18</v>
      </c>
      <c r="L1164" t="s">
        <v>58</v>
      </c>
      <c r="M1164">
        <v>5</v>
      </c>
      <c r="N1164">
        <v>2843.64</v>
      </c>
    </row>
    <row r="1165" spans="1:14" x14ac:dyDescent="0.3">
      <c r="A1165" t="s">
        <v>2207</v>
      </c>
      <c r="B1165" t="s">
        <v>25</v>
      </c>
      <c r="C1165" s="1">
        <v>45473</v>
      </c>
      <c r="D1165" s="2">
        <f>YEAR(Table1[[#This Row],[PurchaseDate]])</f>
        <v>2024</v>
      </c>
      <c r="E1165" s="2" t="str">
        <f>"Q"&amp;ROUNDUP(MONTH(Table1[[#This Row],[PurchaseDate]])/3,0)</f>
        <v>Q2</v>
      </c>
      <c r="F1165" s="2">
        <f>MONTH(Table1[[#This Row],[PurchaseDate]])</f>
        <v>6</v>
      </c>
      <c r="G1165" s="2" t="str">
        <f>TEXT(Table1[[#This Row],[PurchaseDate]],"MMM")</f>
        <v>Jun</v>
      </c>
      <c r="H1165">
        <v>5</v>
      </c>
      <c r="I1165">
        <v>796.69</v>
      </c>
      <c r="J1165" t="s">
        <v>2208</v>
      </c>
      <c r="K1165" t="s">
        <v>13</v>
      </c>
      <c r="L1165" t="s">
        <v>14</v>
      </c>
      <c r="M1165">
        <v>5</v>
      </c>
      <c r="N1165">
        <v>3983.45</v>
      </c>
    </row>
    <row r="1166" spans="1:14" x14ac:dyDescent="0.3">
      <c r="A1166" t="s">
        <v>2209</v>
      </c>
      <c r="B1166" t="s">
        <v>11</v>
      </c>
      <c r="C1166" s="1">
        <v>45383</v>
      </c>
      <c r="D1166" s="2">
        <f>YEAR(Table1[[#This Row],[PurchaseDate]])</f>
        <v>2024</v>
      </c>
      <c r="E1166" s="2" t="str">
        <f>"Q"&amp;ROUNDUP(MONTH(Table1[[#This Row],[PurchaseDate]])/3,0)</f>
        <v>Q2</v>
      </c>
      <c r="F1166" s="2">
        <f>MONTH(Table1[[#This Row],[PurchaseDate]])</f>
        <v>4</v>
      </c>
      <c r="G1166" s="2" t="str">
        <f>TEXT(Table1[[#This Row],[PurchaseDate]],"MMM")</f>
        <v>Apr</v>
      </c>
      <c r="H1166">
        <v>6</v>
      </c>
      <c r="I1166">
        <v>399.93</v>
      </c>
      <c r="J1166" t="s">
        <v>2210</v>
      </c>
      <c r="K1166" t="s">
        <v>18</v>
      </c>
      <c r="L1166" t="s">
        <v>27</v>
      </c>
      <c r="M1166">
        <v>1</v>
      </c>
      <c r="N1166">
        <v>2399.58</v>
      </c>
    </row>
    <row r="1167" spans="1:14" x14ac:dyDescent="0.3">
      <c r="A1167" t="s">
        <v>2211</v>
      </c>
      <c r="B1167" t="s">
        <v>34</v>
      </c>
      <c r="C1167" s="1">
        <v>45387</v>
      </c>
      <c r="D1167" s="2">
        <f>YEAR(Table1[[#This Row],[PurchaseDate]])</f>
        <v>2024</v>
      </c>
      <c r="E1167" s="2" t="str">
        <f>"Q"&amp;ROUNDUP(MONTH(Table1[[#This Row],[PurchaseDate]])/3,0)</f>
        <v>Q2</v>
      </c>
      <c r="F1167" s="2">
        <f>MONTH(Table1[[#This Row],[PurchaseDate]])</f>
        <v>4</v>
      </c>
      <c r="G1167" s="2" t="str">
        <f>TEXT(Table1[[#This Row],[PurchaseDate]],"MMM")</f>
        <v>Apr</v>
      </c>
      <c r="H1167">
        <v>7</v>
      </c>
      <c r="I1167">
        <v>27.49</v>
      </c>
      <c r="J1167" t="s">
        <v>2212</v>
      </c>
      <c r="K1167" t="s">
        <v>13</v>
      </c>
      <c r="L1167" t="s">
        <v>19</v>
      </c>
      <c r="M1167">
        <v>1</v>
      </c>
      <c r="N1167">
        <v>192.43</v>
      </c>
    </row>
    <row r="1168" spans="1:14" x14ac:dyDescent="0.3">
      <c r="A1168" t="s">
        <v>2213</v>
      </c>
      <c r="B1168" t="s">
        <v>42</v>
      </c>
      <c r="C1168" s="1">
        <v>45016</v>
      </c>
      <c r="D1168" s="2">
        <f>YEAR(Table1[[#This Row],[PurchaseDate]])</f>
        <v>2023</v>
      </c>
      <c r="E1168" s="2" t="str">
        <f>"Q"&amp;ROUNDUP(MONTH(Table1[[#This Row],[PurchaseDate]])/3,0)</f>
        <v>Q1</v>
      </c>
      <c r="F1168" s="2">
        <f>MONTH(Table1[[#This Row],[PurchaseDate]])</f>
        <v>3</v>
      </c>
      <c r="G1168" s="2" t="str">
        <f>TEXT(Table1[[#This Row],[PurchaseDate]],"MMM")</f>
        <v>Mar</v>
      </c>
      <c r="H1168">
        <v>3</v>
      </c>
      <c r="I1168">
        <v>33.21</v>
      </c>
      <c r="J1168" t="s">
        <v>2214</v>
      </c>
      <c r="K1168" t="s">
        <v>38</v>
      </c>
      <c r="L1168" t="s">
        <v>58</v>
      </c>
      <c r="M1168">
        <v>1</v>
      </c>
      <c r="N1168">
        <v>99.63</v>
      </c>
    </row>
    <row r="1169" spans="1:14" x14ac:dyDescent="0.3">
      <c r="A1169" t="s">
        <v>2215</v>
      </c>
      <c r="B1169" t="s">
        <v>16</v>
      </c>
      <c r="C1169" s="1">
        <v>45052</v>
      </c>
      <c r="D1169" s="2">
        <f>YEAR(Table1[[#This Row],[PurchaseDate]])</f>
        <v>2023</v>
      </c>
      <c r="E1169" s="2" t="str">
        <f>"Q"&amp;ROUNDUP(MONTH(Table1[[#This Row],[PurchaseDate]])/3,0)</f>
        <v>Q2</v>
      </c>
      <c r="F1169" s="2">
        <f>MONTH(Table1[[#This Row],[PurchaseDate]])</f>
        <v>5</v>
      </c>
      <c r="G1169" s="2" t="str">
        <f>TEXT(Table1[[#This Row],[PurchaseDate]],"MMM")</f>
        <v>May</v>
      </c>
      <c r="H1169">
        <v>7</v>
      </c>
      <c r="I1169">
        <v>763.93</v>
      </c>
      <c r="J1169" t="s">
        <v>2216</v>
      </c>
      <c r="K1169" t="s">
        <v>13</v>
      </c>
      <c r="L1169" t="s">
        <v>27</v>
      </c>
      <c r="M1169">
        <v>3</v>
      </c>
      <c r="N1169">
        <v>5347.51</v>
      </c>
    </row>
    <row r="1170" spans="1:14" x14ac:dyDescent="0.3">
      <c r="A1170" t="s">
        <v>2217</v>
      </c>
      <c r="B1170" t="s">
        <v>42</v>
      </c>
      <c r="C1170" s="1">
        <v>45635</v>
      </c>
      <c r="D1170" s="2">
        <f>YEAR(Table1[[#This Row],[PurchaseDate]])</f>
        <v>2024</v>
      </c>
      <c r="E1170" s="2" t="str">
        <f>"Q"&amp;ROUNDUP(MONTH(Table1[[#This Row],[PurchaseDate]])/3,0)</f>
        <v>Q4</v>
      </c>
      <c r="F1170" s="2">
        <f>MONTH(Table1[[#This Row],[PurchaseDate]])</f>
        <v>12</v>
      </c>
      <c r="G1170" s="2" t="str">
        <f>TEXT(Table1[[#This Row],[PurchaseDate]],"MMM")</f>
        <v>Dec</v>
      </c>
      <c r="H1170">
        <v>7</v>
      </c>
      <c r="I1170">
        <v>733.48</v>
      </c>
      <c r="J1170" t="s">
        <v>2218</v>
      </c>
      <c r="K1170" t="s">
        <v>13</v>
      </c>
      <c r="L1170" t="s">
        <v>27</v>
      </c>
      <c r="M1170">
        <v>3</v>
      </c>
      <c r="N1170">
        <v>5134.3599999999997</v>
      </c>
    </row>
    <row r="1171" spans="1:14" x14ac:dyDescent="0.3">
      <c r="A1171" t="s">
        <v>2219</v>
      </c>
      <c r="B1171" t="s">
        <v>34</v>
      </c>
      <c r="C1171" s="1">
        <v>45529</v>
      </c>
      <c r="D1171" s="2">
        <f>YEAR(Table1[[#This Row],[PurchaseDate]])</f>
        <v>2024</v>
      </c>
      <c r="E1171" s="2" t="str">
        <f>"Q"&amp;ROUNDUP(MONTH(Table1[[#This Row],[PurchaseDate]])/3,0)</f>
        <v>Q3</v>
      </c>
      <c r="F1171" s="2">
        <f>MONTH(Table1[[#This Row],[PurchaseDate]])</f>
        <v>8</v>
      </c>
      <c r="G1171" s="2" t="str">
        <f>TEXT(Table1[[#This Row],[PurchaseDate]],"MMM")</f>
        <v>Aug</v>
      </c>
      <c r="H1171">
        <v>5</v>
      </c>
      <c r="I1171">
        <v>773.35</v>
      </c>
      <c r="J1171" t="s">
        <v>2220</v>
      </c>
      <c r="K1171" t="s">
        <v>13</v>
      </c>
      <c r="L1171" t="s">
        <v>27</v>
      </c>
      <c r="M1171">
        <v>4</v>
      </c>
      <c r="N1171">
        <v>3866.75</v>
      </c>
    </row>
    <row r="1172" spans="1:14" x14ac:dyDescent="0.3">
      <c r="A1172" t="s">
        <v>2221</v>
      </c>
      <c r="B1172" t="s">
        <v>42</v>
      </c>
      <c r="C1172" s="1">
        <v>45383</v>
      </c>
      <c r="D1172" s="2">
        <f>YEAR(Table1[[#This Row],[PurchaseDate]])</f>
        <v>2024</v>
      </c>
      <c r="E1172" s="2" t="str">
        <f>"Q"&amp;ROUNDUP(MONTH(Table1[[#This Row],[PurchaseDate]])/3,0)</f>
        <v>Q2</v>
      </c>
      <c r="F1172" s="2">
        <f>MONTH(Table1[[#This Row],[PurchaseDate]])</f>
        <v>4</v>
      </c>
      <c r="G1172" s="2" t="str">
        <f>TEXT(Table1[[#This Row],[PurchaseDate]],"MMM")</f>
        <v>Apr</v>
      </c>
      <c r="H1172">
        <v>7</v>
      </c>
      <c r="I1172">
        <v>566.09</v>
      </c>
      <c r="J1172" t="s">
        <v>2222</v>
      </c>
      <c r="K1172" t="s">
        <v>18</v>
      </c>
      <c r="L1172" t="s">
        <v>14</v>
      </c>
      <c r="M1172">
        <v>3</v>
      </c>
      <c r="N1172">
        <v>3962.63</v>
      </c>
    </row>
    <row r="1173" spans="1:14" x14ac:dyDescent="0.3">
      <c r="A1173" t="s">
        <v>2223</v>
      </c>
      <c r="B1173" t="s">
        <v>16</v>
      </c>
      <c r="C1173" s="1">
        <v>45681</v>
      </c>
      <c r="D1173" s="2">
        <f>YEAR(Table1[[#This Row],[PurchaseDate]])</f>
        <v>2025</v>
      </c>
      <c r="E1173" s="2" t="str">
        <f>"Q"&amp;ROUNDUP(MONTH(Table1[[#This Row],[PurchaseDate]])/3,0)</f>
        <v>Q1</v>
      </c>
      <c r="F1173" s="2">
        <f>MONTH(Table1[[#This Row],[PurchaseDate]])</f>
        <v>1</v>
      </c>
      <c r="G1173" s="2" t="str">
        <f>TEXT(Table1[[#This Row],[PurchaseDate]],"MMM")</f>
        <v>Jan</v>
      </c>
      <c r="H1173">
        <v>2</v>
      </c>
      <c r="I1173">
        <v>524</v>
      </c>
      <c r="J1173" t="s">
        <v>2224</v>
      </c>
      <c r="K1173" t="s">
        <v>38</v>
      </c>
      <c r="L1173" t="s">
        <v>14</v>
      </c>
      <c r="M1173">
        <v>1</v>
      </c>
      <c r="N1173">
        <v>1048</v>
      </c>
    </row>
    <row r="1174" spans="1:14" x14ac:dyDescent="0.3">
      <c r="A1174" t="s">
        <v>2225</v>
      </c>
      <c r="B1174" t="s">
        <v>21</v>
      </c>
      <c r="C1174" s="1">
        <v>45577</v>
      </c>
      <c r="D1174" s="2">
        <f>YEAR(Table1[[#This Row],[PurchaseDate]])</f>
        <v>2024</v>
      </c>
      <c r="E1174" s="2" t="str">
        <f>"Q"&amp;ROUNDUP(MONTH(Table1[[#This Row],[PurchaseDate]])/3,0)</f>
        <v>Q4</v>
      </c>
      <c r="F1174" s="2">
        <f>MONTH(Table1[[#This Row],[PurchaseDate]])</f>
        <v>10</v>
      </c>
      <c r="G1174" s="2" t="str">
        <f>TEXT(Table1[[#This Row],[PurchaseDate]],"MMM")</f>
        <v>Oct</v>
      </c>
      <c r="H1174">
        <v>1</v>
      </c>
      <c r="I1174">
        <v>102.17</v>
      </c>
      <c r="J1174" t="s">
        <v>2226</v>
      </c>
      <c r="K1174" t="s">
        <v>38</v>
      </c>
      <c r="L1174" t="s">
        <v>14</v>
      </c>
      <c r="M1174">
        <v>5</v>
      </c>
      <c r="N1174">
        <v>102.17</v>
      </c>
    </row>
    <row r="1175" spans="1:14" x14ac:dyDescent="0.3">
      <c r="A1175" t="s">
        <v>2227</v>
      </c>
      <c r="B1175" t="s">
        <v>16</v>
      </c>
      <c r="C1175" s="1">
        <v>45619</v>
      </c>
      <c r="D1175" s="2">
        <f>YEAR(Table1[[#This Row],[PurchaseDate]])</f>
        <v>2024</v>
      </c>
      <c r="E1175" s="2" t="str">
        <f>"Q"&amp;ROUNDUP(MONTH(Table1[[#This Row],[PurchaseDate]])/3,0)</f>
        <v>Q4</v>
      </c>
      <c r="F1175" s="2">
        <f>MONTH(Table1[[#This Row],[PurchaseDate]])</f>
        <v>11</v>
      </c>
      <c r="G1175" s="2" t="str">
        <f>TEXT(Table1[[#This Row],[PurchaseDate]],"MMM")</f>
        <v>Nov</v>
      </c>
      <c r="H1175">
        <v>1</v>
      </c>
      <c r="I1175">
        <v>47.97</v>
      </c>
      <c r="J1175" t="s">
        <v>2228</v>
      </c>
      <c r="K1175" t="s">
        <v>13</v>
      </c>
      <c r="L1175" t="s">
        <v>14</v>
      </c>
      <c r="M1175">
        <v>4</v>
      </c>
      <c r="N1175">
        <v>47.97</v>
      </c>
    </row>
    <row r="1176" spans="1:14" x14ac:dyDescent="0.3">
      <c r="A1176" t="s">
        <v>2229</v>
      </c>
      <c r="B1176" t="s">
        <v>42</v>
      </c>
      <c r="C1176" s="1">
        <v>45108</v>
      </c>
      <c r="D1176" s="2">
        <f>YEAR(Table1[[#This Row],[PurchaseDate]])</f>
        <v>2023</v>
      </c>
      <c r="E1176" s="2" t="str">
        <f>"Q"&amp;ROUNDUP(MONTH(Table1[[#This Row],[PurchaseDate]])/3,0)</f>
        <v>Q3</v>
      </c>
      <c r="F1176" s="2">
        <f>MONTH(Table1[[#This Row],[PurchaseDate]])</f>
        <v>7</v>
      </c>
      <c r="G1176" s="2" t="str">
        <f>TEXT(Table1[[#This Row],[PurchaseDate]],"MMM")</f>
        <v>Jul</v>
      </c>
      <c r="H1176">
        <v>6</v>
      </c>
      <c r="I1176">
        <v>394.83</v>
      </c>
      <c r="J1176" t="s">
        <v>2230</v>
      </c>
      <c r="K1176" t="s">
        <v>38</v>
      </c>
      <c r="L1176" t="s">
        <v>23</v>
      </c>
      <c r="M1176">
        <v>3</v>
      </c>
      <c r="N1176">
        <v>2368.98</v>
      </c>
    </row>
    <row r="1177" spans="1:14" x14ac:dyDescent="0.3">
      <c r="A1177" t="s">
        <v>2231</v>
      </c>
      <c r="B1177" t="s">
        <v>16</v>
      </c>
      <c r="C1177" s="1">
        <v>45248</v>
      </c>
      <c r="D1177" s="2">
        <f>YEAR(Table1[[#This Row],[PurchaseDate]])</f>
        <v>2023</v>
      </c>
      <c r="E1177" s="2" t="str">
        <f>"Q"&amp;ROUNDUP(MONTH(Table1[[#This Row],[PurchaseDate]])/3,0)</f>
        <v>Q4</v>
      </c>
      <c r="F1177" s="2">
        <f>MONTH(Table1[[#This Row],[PurchaseDate]])</f>
        <v>11</v>
      </c>
      <c r="G1177" s="2" t="str">
        <f>TEXT(Table1[[#This Row],[PurchaseDate]],"MMM")</f>
        <v>Nov</v>
      </c>
      <c r="H1177">
        <v>8</v>
      </c>
      <c r="I1177">
        <v>427.09</v>
      </c>
      <c r="J1177" t="s">
        <v>2232</v>
      </c>
      <c r="K1177" t="s">
        <v>13</v>
      </c>
      <c r="L1177" t="s">
        <v>23</v>
      </c>
      <c r="M1177">
        <v>1</v>
      </c>
      <c r="N1177">
        <v>3416.72</v>
      </c>
    </row>
    <row r="1178" spans="1:14" x14ac:dyDescent="0.3">
      <c r="A1178" t="s">
        <v>2233</v>
      </c>
      <c r="B1178" t="s">
        <v>21</v>
      </c>
      <c r="C1178" s="1">
        <v>44984</v>
      </c>
      <c r="D1178" s="2">
        <f>YEAR(Table1[[#This Row],[PurchaseDate]])</f>
        <v>2023</v>
      </c>
      <c r="E1178" s="2" t="str">
        <f>"Q"&amp;ROUNDUP(MONTH(Table1[[#This Row],[PurchaseDate]])/3,0)</f>
        <v>Q1</v>
      </c>
      <c r="F1178" s="2">
        <f>MONTH(Table1[[#This Row],[PurchaseDate]])</f>
        <v>2</v>
      </c>
      <c r="G1178" s="2" t="str">
        <f>TEXT(Table1[[#This Row],[PurchaseDate]],"MMM")</f>
        <v>Feb</v>
      </c>
      <c r="H1178">
        <v>5</v>
      </c>
      <c r="I1178">
        <v>127.45</v>
      </c>
      <c r="J1178" t="s">
        <v>2234</v>
      </c>
      <c r="K1178" t="s">
        <v>13</v>
      </c>
      <c r="L1178" t="s">
        <v>23</v>
      </c>
      <c r="M1178">
        <v>4</v>
      </c>
      <c r="N1178">
        <v>637.25</v>
      </c>
    </row>
    <row r="1179" spans="1:14" x14ac:dyDescent="0.3">
      <c r="A1179" t="s">
        <v>2235</v>
      </c>
      <c r="B1179" t="s">
        <v>42</v>
      </c>
      <c r="C1179" s="1">
        <v>45652</v>
      </c>
      <c r="D1179" s="2">
        <f>YEAR(Table1[[#This Row],[PurchaseDate]])</f>
        <v>2024</v>
      </c>
      <c r="E1179" s="2" t="str">
        <f>"Q"&amp;ROUNDUP(MONTH(Table1[[#This Row],[PurchaseDate]])/3,0)</f>
        <v>Q4</v>
      </c>
      <c r="F1179" s="2">
        <f>MONTH(Table1[[#This Row],[PurchaseDate]])</f>
        <v>12</v>
      </c>
      <c r="G1179" s="2" t="str">
        <f>TEXT(Table1[[#This Row],[PurchaseDate]],"MMM")</f>
        <v>Dec</v>
      </c>
      <c r="H1179">
        <v>4</v>
      </c>
      <c r="I1179">
        <v>653.41</v>
      </c>
      <c r="J1179" t="s">
        <v>2236</v>
      </c>
      <c r="K1179" t="s">
        <v>18</v>
      </c>
      <c r="L1179" t="s">
        <v>58</v>
      </c>
      <c r="M1179">
        <v>1</v>
      </c>
      <c r="N1179">
        <v>2613.64</v>
      </c>
    </row>
    <row r="1180" spans="1:14" x14ac:dyDescent="0.3">
      <c r="A1180" t="s">
        <v>2237</v>
      </c>
      <c r="B1180" t="s">
        <v>11</v>
      </c>
      <c r="C1180" s="1">
        <v>45233</v>
      </c>
      <c r="D1180" s="2">
        <f>YEAR(Table1[[#This Row],[PurchaseDate]])</f>
        <v>2023</v>
      </c>
      <c r="E1180" s="2" t="str">
        <f>"Q"&amp;ROUNDUP(MONTH(Table1[[#This Row],[PurchaseDate]])/3,0)</f>
        <v>Q4</v>
      </c>
      <c r="F1180" s="2">
        <f>MONTH(Table1[[#This Row],[PurchaseDate]])</f>
        <v>11</v>
      </c>
      <c r="G1180" s="2" t="str">
        <f>TEXT(Table1[[#This Row],[PurchaseDate]],"MMM")</f>
        <v>Nov</v>
      </c>
      <c r="H1180">
        <v>4</v>
      </c>
      <c r="I1180">
        <v>562.28</v>
      </c>
      <c r="J1180" t="s">
        <v>2238</v>
      </c>
      <c r="K1180" t="s">
        <v>18</v>
      </c>
      <c r="L1180" t="s">
        <v>14</v>
      </c>
      <c r="M1180">
        <v>3</v>
      </c>
      <c r="N1180">
        <v>2249.12</v>
      </c>
    </row>
    <row r="1181" spans="1:14" x14ac:dyDescent="0.3">
      <c r="A1181" t="s">
        <v>1361</v>
      </c>
      <c r="B1181" t="s">
        <v>42</v>
      </c>
      <c r="C1181" s="1">
        <v>45742</v>
      </c>
      <c r="D1181" s="2">
        <f>YEAR(Table1[[#This Row],[PurchaseDate]])</f>
        <v>2025</v>
      </c>
      <c r="E1181" s="2" t="str">
        <f>"Q"&amp;ROUNDUP(MONTH(Table1[[#This Row],[PurchaseDate]])/3,0)</f>
        <v>Q1</v>
      </c>
      <c r="F1181" s="2">
        <f>MONTH(Table1[[#This Row],[PurchaseDate]])</f>
        <v>3</v>
      </c>
      <c r="G1181" s="2" t="str">
        <f>TEXT(Table1[[#This Row],[PurchaseDate]],"MMM")</f>
        <v>Mar</v>
      </c>
      <c r="H1181">
        <v>4</v>
      </c>
      <c r="I1181">
        <v>464.74</v>
      </c>
      <c r="J1181" t="s">
        <v>1362</v>
      </c>
      <c r="K1181" t="s">
        <v>38</v>
      </c>
      <c r="L1181" t="s">
        <v>27</v>
      </c>
      <c r="M1181">
        <v>4</v>
      </c>
      <c r="N1181">
        <v>1858.96</v>
      </c>
    </row>
    <row r="1182" spans="1:14" x14ac:dyDescent="0.3">
      <c r="A1182" t="s">
        <v>2239</v>
      </c>
      <c r="B1182" t="s">
        <v>42</v>
      </c>
      <c r="C1182" s="1">
        <v>45092</v>
      </c>
      <c r="D1182" s="2">
        <f>YEAR(Table1[[#This Row],[PurchaseDate]])</f>
        <v>2023</v>
      </c>
      <c r="E1182" s="2" t="str">
        <f>"Q"&amp;ROUNDUP(MONTH(Table1[[#This Row],[PurchaseDate]])/3,0)</f>
        <v>Q2</v>
      </c>
      <c r="F1182" s="2">
        <f>MONTH(Table1[[#This Row],[PurchaseDate]])</f>
        <v>6</v>
      </c>
      <c r="G1182" s="2" t="str">
        <f>TEXT(Table1[[#This Row],[PurchaseDate]],"MMM")</f>
        <v>Jun</v>
      </c>
      <c r="H1182">
        <v>6</v>
      </c>
      <c r="I1182">
        <v>477.93</v>
      </c>
      <c r="J1182" t="s">
        <v>2240</v>
      </c>
      <c r="K1182" t="s">
        <v>38</v>
      </c>
      <c r="L1182" t="s">
        <v>14</v>
      </c>
      <c r="M1182">
        <v>3</v>
      </c>
      <c r="N1182">
        <v>2867.58</v>
      </c>
    </row>
    <row r="1183" spans="1:14" x14ac:dyDescent="0.3">
      <c r="A1183" t="s">
        <v>2241</v>
      </c>
      <c r="B1183" t="s">
        <v>29</v>
      </c>
      <c r="C1183" s="1">
        <v>45162</v>
      </c>
      <c r="D1183" s="2">
        <f>YEAR(Table1[[#This Row],[PurchaseDate]])</f>
        <v>2023</v>
      </c>
      <c r="E1183" s="2" t="str">
        <f>"Q"&amp;ROUNDUP(MONTH(Table1[[#This Row],[PurchaseDate]])/3,0)</f>
        <v>Q3</v>
      </c>
      <c r="F1183" s="2">
        <f>MONTH(Table1[[#This Row],[PurchaseDate]])</f>
        <v>8</v>
      </c>
      <c r="G1183" s="2" t="str">
        <f>TEXT(Table1[[#This Row],[PurchaseDate]],"MMM")</f>
        <v>Aug</v>
      </c>
      <c r="H1183">
        <v>2</v>
      </c>
      <c r="I1183">
        <v>771.13</v>
      </c>
      <c r="J1183" t="s">
        <v>2242</v>
      </c>
      <c r="K1183" t="s">
        <v>13</v>
      </c>
      <c r="L1183" t="s">
        <v>19</v>
      </c>
      <c r="M1183">
        <v>2</v>
      </c>
      <c r="N1183">
        <v>1542.26</v>
      </c>
    </row>
    <row r="1184" spans="1:14" x14ac:dyDescent="0.3">
      <c r="A1184" t="s">
        <v>2243</v>
      </c>
      <c r="B1184" t="s">
        <v>16</v>
      </c>
      <c r="C1184" s="1">
        <v>45432</v>
      </c>
      <c r="D1184" s="2">
        <f>YEAR(Table1[[#This Row],[PurchaseDate]])</f>
        <v>2024</v>
      </c>
      <c r="E1184" s="2" t="str">
        <f>"Q"&amp;ROUNDUP(MONTH(Table1[[#This Row],[PurchaseDate]])/3,0)</f>
        <v>Q2</v>
      </c>
      <c r="F1184" s="2">
        <f>MONTH(Table1[[#This Row],[PurchaseDate]])</f>
        <v>5</v>
      </c>
      <c r="G1184" s="2" t="str">
        <f>TEXT(Table1[[#This Row],[PurchaseDate]],"MMM")</f>
        <v>May</v>
      </c>
      <c r="H1184">
        <v>4</v>
      </c>
      <c r="I1184">
        <v>492.34</v>
      </c>
      <c r="J1184" t="s">
        <v>2244</v>
      </c>
      <c r="K1184" t="s">
        <v>18</v>
      </c>
      <c r="L1184" t="s">
        <v>19</v>
      </c>
      <c r="M1184">
        <v>5</v>
      </c>
      <c r="N1184">
        <v>1969.36</v>
      </c>
    </row>
    <row r="1185" spans="1:14" x14ac:dyDescent="0.3">
      <c r="A1185" t="s">
        <v>2245</v>
      </c>
      <c r="B1185" t="s">
        <v>25</v>
      </c>
      <c r="C1185" s="1">
        <v>45815</v>
      </c>
      <c r="D1185" s="2">
        <f>YEAR(Table1[[#This Row],[PurchaseDate]])</f>
        <v>2025</v>
      </c>
      <c r="E1185" s="2" t="str">
        <f>"Q"&amp;ROUNDUP(MONTH(Table1[[#This Row],[PurchaseDate]])/3,0)</f>
        <v>Q2</v>
      </c>
      <c r="F1185" s="2">
        <f>MONTH(Table1[[#This Row],[PurchaseDate]])</f>
        <v>6</v>
      </c>
      <c r="G1185" s="2" t="str">
        <f>TEXT(Table1[[#This Row],[PurchaseDate]],"MMM")</f>
        <v>Jun</v>
      </c>
      <c r="H1185">
        <v>6</v>
      </c>
      <c r="I1185">
        <v>494.34</v>
      </c>
      <c r="J1185" t="s">
        <v>2246</v>
      </c>
      <c r="K1185" t="s">
        <v>18</v>
      </c>
      <c r="L1185" t="s">
        <v>14</v>
      </c>
      <c r="M1185">
        <v>2</v>
      </c>
      <c r="N1185">
        <v>2966.04</v>
      </c>
    </row>
    <row r="1186" spans="1:14" x14ac:dyDescent="0.3">
      <c r="A1186" t="s">
        <v>2247</v>
      </c>
      <c r="B1186" t="s">
        <v>21</v>
      </c>
      <c r="C1186" s="1">
        <v>45822</v>
      </c>
      <c r="D1186" s="2">
        <f>YEAR(Table1[[#This Row],[PurchaseDate]])</f>
        <v>2025</v>
      </c>
      <c r="E1186" s="2" t="str">
        <f>"Q"&amp;ROUNDUP(MONTH(Table1[[#This Row],[PurchaseDate]])/3,0)</f>
        <v>Q2</v>
      </c>
      <c r="F1186" s="2">
        <f>MONTH(Table1[[#This Row],[PurchaseDate]])</f>
        <v>6</v>
      </c>
      <c r="G1186" s="2" t="str">
        <f>TEXT(Table1[[#This Row],[PurchaseDate]],"MMM")</f>
        <v>Jun</v>
      </c>
      <c r="H1186">
        <v>6</v>
      </c>
      <c r="I1186">
        <v>522.14</v>
      </c>
      <c r="J1186" t="s">
        <v>2248</v>
      </c>
      <c r="K1186" t="s">
        <v>38</v>
      </c>
      <c r="L1186" t="s">
        <v>58</v>
      </c>
      <c r="M1186">
        <v>5</v>
      </c>
      <c r="N1186">
        <v>3132.84</v>
      </c>
    </row>
    <row r="1187" spans="1:14" x14ac:dyDescent="0.3">
      <c r="A1187" t="s">
        <v>295</v>
      </c>
      <c r="B1187" t="s">
        <v>34</v>
      </c>
      <c r="C1187" s="1">
        <v>45147</v>
      </c>
      <c r="D1187" s="2">
        <f>YEAR(Table1[[#This Row],[PurchaseDate]])</f>
        <v>2023</v>
      </c>
      <c r="E1187" s="2" t="str">
        <f>"Q"&amp;ROUNDUP(MONTH(Table1[[#This Row],[PurchaseDate]])/3,0)</f>
        <v>Q3</v>
      </c>
      <c r="F1187" s="2">
        <f>MONTH(Table1[[#This Row],[PurchaseDate]])</f>
        <v>8</v>
      </c>
      <c r="G1187" s="2" t="str">
        <f>TEXT(Table1[[#This Row],[PurchaseDate]],"MMM")</f>
        <v>Aug</v>
      </c>
      <c r="H1187">
        <v>1</v>
      </c>
      <c r="I1187">
        <v>552.91999999999996</v>
      </c>
      <c r="J1187" t="s">
        <v>296</v>
      </c>
      <c r="K1187" t="s">
        <v>13</v>
      </c>
      <c r="L1187" t="s">
        <v>23</v>
      </c>
      <c r="M1187">
        <v>4</v>
      </c>
      <c r="N1187">
        <v>552.91999999999996</v>
      </c>
    </row>
    <row r="1188" spans="1:14" x14ac:dyDescent="0.3">
      <c r="A1188" t="s">
        <v>2249</v>
      </c>
      <c r="B1188" t="s">
        <v>21</v>
      </c>
      <c r="C1188" s="1">
        <v>45004</v>
      </c>
      <c r="D1188" s="2">
        <f>YEAR(Table1[[#This Row],[PurchaseDate]])</f>
        <v>2023</v>
      </c>
      <c r="E1188" s="2" t="str">
        <f>"Q"&amp;ROUNDUP(MONTH(Table1[[#This Row],[PurchaseDate]])/3,0)</f>
        <v>Q1</v>
      </c>
      <c r="F1188" s="2">
        <f>MONTH(Table1[[#This Row],[PurchaseDate]])</f>
        <v>3</v>
      </c>
      <c r="G1188" s="2" t="str">
        <f>TEXT(Table1[[#This Row],[PurchaseDate]],"MMM")</f>
        <v>Mar</v>
      </c>
      <c r="H1188">
        <v>6</v>
      </c>
      <c r="I1188">
        <v>427.99</v>
      </c>
      <c r="J1188" t="s">
        <v>2250</v>
      </c>
      <c r="K1188" t="s">
        <v>18</v>
      </c>
      <c r="L1188" t="s">
        <v>19</v>
      </c>
      <c r="M1188">
        <v>1</v>
      </c>
      <c r="N1188">
        <v>2567.94</v>
      </c>
    </row>
    <row r="1189" spans="1:14" x14ac:dyDescent="0.3">
      <c r="A1189" t="s">
        <v>2251</v>
      </c>
      <c r="B1189" t="s">
        <v>11</v>
      </c>
      <c r="C1189" s="1">
        <v>45760</v>
      </c>
      <c r="D1189" s="2">
        <f>YEAR(Table1[[#This Row],[PurchaseDate]])</f>
        <v>2025</v>
      </c>
      <c r="E1189" s="2" t="str">
        <f>"Q"&amp;ROUNDUP(MONTH(Table1[[#This Row],[PurchaseDate]])/3,0)</f>
        <v>Q2</v>
      </c>
      <c r="F1189" s="2">
        <f>MONTH(Table1[[#This Row],[PurchaseDate]])</f>
        <v>4</v>
      </c>
      <c r="G1189" s="2" t="str">
        <f>TEXT(Table1[[#This Row],[PurchaseDate]],"MMM")</f>
        <v>Apr</v>
      </c>
      <c r="H1189">
        <v>8</v>
      </c>
      <c r="I1189">
        <v>191.88</v>
      </c>
      <c r="J1189" t="s">
        <v>2252</v>
      </c>
      <c r="K1189" t="s">
        <v>18</v>
      </c>
      <c r="L1189" t="s">
        <v>19</v>
      </c>
      <c r="M1189">
        <v>5</v>
      </c>
      <c r="N1189">
        <v>1535.04</v>
      </c>
    </row>
    <row r="1190" spans="1:14" x14ac:dyDescent="0.3">
      <c r="A1190" t="s">
        <v>2253</v>
      </c>
      <c r="B1190" t="s">
        <v>11</v>
      </c>
      <c r="C1190" s="1">
        <v>45413</v>
      </c>
      <c r="D1190" s="2">
        <f>YEAR(Table1[[#This Row],[PurchaseDate]])</f>
        <v>2024</v>
      </c>
      <c r="E1190" s="2" t="str">
        <f>"Q"&amp;ROUNDUP(MONTH(Table1[[#This Row],[PurchaseDate]])/3,0)</f>
        <v>Q2</v>
      </c>
      <c r="F1190" s="2">
        <f>MONTH(Table1[[#This Row],[PurchaseDate]])</f>
        <v>5</v>
      </c>
      <c r="G1190" s="2" t="str">
        <f>TEXT(Table1[[#This Row],[PurchaseDate]],"MMM")</f>
        <v>May</v>
      </c>
      <c r="H1190">
        <v>2</v>
      </c>
      <c r="I1190">
        <v>152.69999999999999</v>
      </c>
      <c r="J1190" t="s">
        <v>2254</v>
      </c>
      <c r="K1190" t="s">
        <v>13</v>
      </c>
      <c r="L1190" t="s">
        <v>14</v>
      </c>
      <c r="M1190">
        <v>4</v>
      </c>
      <c r="N1190">
        <v>305.39999999999998</v>
      </c>
    </row>
    <row r="1191" spans="1:14" x14ac:dyDescent="0.3">
      <c r="A1191" t="s">
        <v>2255</v>
      </c>
      <c r="B1191" t="s">
        <v>25</v>
      </c>
      <c r="C1191" s="1">
        <v>45443</v>
      </c>
      <c r="D1191" s="2">
        <f>YEAR(Table1[[#This Row],[PurchaseDate]])</f>
        <v>2024</v>
      </c>
      <c r="E1191" s="2" t="str">
        <f>"Q"&amp;ROUNDUP(MONTH(Table1[[#This Row],[PurchaseDate]])/3,0)</f>
        <v>Q2</v>
      </c>
      <c r="F1191" s="2">
        <f>MONTH(Table1[[#This Row],[PurchaseDate]])</f>
        <v>5</v>
      </c>
      <c r="G1191" s="2" t="str">
        <f>TEXT(Table1[[#This Row],[PurchaseDate]],"MMM")</f>
        <v>May</v>
      </c>
      <c r="H1191">
        <v>5</v>
      </c>
      <c r="I1191">
        <v>521.72</v>
      </c>
      <c r="J1191" t="s">
        <v>2256</v>
      </c>
      <c r="K1191" t="s">
        <v>18</v>
      </c>
      <c r="L1191" t="s">
        <v>19</v>
      </c>
      <c r="M1191">
        <v>2</v>
      </c>
      <c r="N1191">
        <v>2608.6</v>
      </c>
    </row>
    <row r="1192" spans="1:14" x14ac:dyDescent="0.3">
      <c r="A1192" t="s">
        <v>2257</v>
      </c>
      <c r="B1192" t="s">
        <v>34</v>
      </c>
      <c r="C1192" s="1">
        <v>45750</v>
      </c>
      <c r="D1192" s="2">
        <f>YEAR(Table1[[#This Row],[PurchaseDate]])</f>
        <v>2025</v>
      </c>
      <c r="E1192" s="2" t="str">
        <f>"Q"&amp;ROUNDUP(MONTH(Table1[[#This Row],[PurchaseDate]])/3,0)</f>
        <v>Q2</v>
      </c>
      <c r="F1192" s="2">
        <f>MONTH(Table1[[#This Row],[PurchaseDate]])</f>
        <v>4</v>
      </c>
      <c r="G1192" s="2" t="str">
        <f>TEXT(Table1[[#This Row],[PurchaseDate]],"MMM")</f>
        <v>Apr</v>
      </c>
      <c r="H1192">
        <v>2</v>
      </c>
      <c r="I1192">
        <v>618.34</v>
      </c>
      <c r="J1192" t="s">
        <v>2258</v>
      </c>
      <c r="K1192" t="s">
        <v>18</v>
      </c>
      <c r="L1192" t="s">
        <v>23</v>
      </c>
      <c r="M1192">
        <v>3</v>
      </c>
      <c r="N1192">
        <v>1236.68</v>
      </c>
    </row>
    <row r="1193" spans="1:14" x14ac:dyDescent="0.3">
      <c r="A1193" t="s">
        <v>2259</v>
      </c>
      <c r="B1193" t="s">
        <v>34</v>
      </c>
      <c r="C1193" s="1">
        <v>45045</v>
      </c>
      <c r="D1193" s="2">
        <f>YEAR(Table1[[#This Row],[PurchaseDate]])</f>
        <v>2023</v>
      </c>
      <c r="E1193" s="2" t="str">
        <f>"Q"&amp;ROUNDUP(MONTH(Table1[[#This Row],[PurchaseDate]])/3,0)</f>
        <v>Q2</v>
      </c>
      <c r="F1193" s="2">
        <f>MONTH(Table1[[#This Row],[PurchaseDate]])</f>
        <v>4</v>
      </c>
      <c r="G1193" s="2" t="str">
        <f>TEXT(Table1[[#This Row],[PurchaseDate]],"MMM")</f>
        <v>Apr</v>
      </c>
      <c r="H1193">
        <v>8</v>
      </c>
      <c r="I1193">
        <v>55.62</v>
      </c>
      <c r="J1193" t="s">
        <v>2260</v>
      </c>
      <c r="K1193" t="s">
        <v>13</v>
      </c>
      <c r="L1193" t="s">
        <v>14</v>
      </c>
      <c r="M1193">
        <v>5</v>
      </c>
      <c r="N1193">
        <v>444.96</v>
      </c>
    </row>
    <row r="1194" spans="1:14" x14ac:dyDescent="0.3">
      <c r="A1194" t="s">
        <v>2261</v>
      </c>
      <c r="B1194" t="s">
        <v>34</v>
      </c>
      <c r="C1194" s="1">
        <v>45355</v>
      </c>
      <c r="D1194" s="2">
        <f>YEAR(Table1[[#This Row],[PurchaseDate]])</f>
        <v>2024</v>
      </c>
      <c r="E1194" s="2" t="str">
        <f>"Q"&amp;ROUNDUP(MONTH(Table1[[#This Row],[PurchaseDate]])/3,0)</f>
        <v>Q1</v>
      </c>
      <c r="F1194" s="2">
        <f>MONTH(Table1[[#This Row],[PurchaseDate]])</f>
        <v>3</v>
      </c>
      <c r="G1194" s="2" t="str">
        <f>TEXT(Table1[[#This Row],[PurchaseDate]],"MMM")</f>
        <v>Mar</v>
      </c>
      <c r="H1194">
        <v>3</v>
      </c>
      <c r="I1194">
        <v>460.15</v>
      </c>
      <c r="J1194" t="s">
        <v>2262</v>
      </c>
      <c r="K1194" t="s">
        <v>38</v>
      </c>
      <c r="L1194" t="s">
        <v>14</v>
      </c>
      <c r="M1194">
        <v>2</v>
      </c>
      <c r="N1194">
        <v>1380.45</v>
      </c>
    </row>
    <row r="1195" spans="1:14" x14ac:dyDescent="0.3">
      <c r="A1195" t="s">
        <v>2263</v>
      </c>
      <c r="B1195" t="s">
        <v>16</v>
      </c>
      <c r="C1195" s="1">
        <v>45457</v>
      </c>
      <c r="D1195" s="2">
        <f>YEAR(Table1[[#This Row],[PurchaseDate]])</f>
        <v>2024</v>
      </c>
      <c r="E1195" s="2" t="str">
        <f>"Q"&amp;ROUNDUP(MONTH(Table1[[#This Row],[PurchaseDate]])/3,0)</f>
        <v>Q2</v>
      </c>
      <c r="F1195" s="2">
        <f>MONTH(Table1[[#This Row],[PurchaseDate]])</f>
        <v>6</v>
      </c>
      <c r="G1195" s="2" t="str">
        <f>TEXT(Table1[[#This Row],[PurchaseDate]],"MMM")</f>
        <v>Jun</v>
      </c>
      <c r="H1195">
        <v>1</v>
      </c>
      <c r="I1195">
        <v>391.49</v>
      </c>
      <c r="J1195" t="s">
        <v>2264</v>
      </c>
      <c r="K1195" t="s">
        <v>13</v>
      </c>
      <c r="L1195" t="s">
        <v>27</v>
      </c>
      <c r="M1195">
        <v>4</v>
      </c>
      <c r="N1195">
        <v>391.49</v>
      </c>
    </row>
    <row r="1196" spans="1:14" x14ac:dyDescent="0.3">
      <c r="A1196" t="s">
        <v>2265</v>
      </c>
      <c r="B1196" t="s">
        <v>21</v>
      </c>
      <c r="C1196" s="1">
        <v>45093</v>
      </c>
      <c r="D1196" s="2">
        <f>YEAR(Table1[[#This Row],[PurchaseDate]])</f>
        <v>2023</v>
      </c>
      <c r="E1196" s="2" t="str">
        <f>"Q"&amp;ROUNDUP(MONTH(Table1[[#This Row],[PurchaseDate]])/3,0)</f>
        <v>Q2</v>
      </c>
      <c r="F1196" s="2">
        <f>MONTH(Table1[[#This Row],[PurchaseDate]])</f>
        <v>6</v>
      </c>
      <c r="G1196" s="2" t="str">
        <f>TEXT(Table1[[#This Row],[PurchaseDate]],"MMM")</f>
        <v>Jun</v>
      </c>
      <c r="H1196">
        <v>4</v>
      </c>
      <c r="I1196">
        <v>412.28</v>
      </c>
      <c r="J1196" t="s">
        <v>2266</v>
      </c>
      <c r="K1196" t="s">
        <v>18</v>
      </c>
      <c r="L1196" t="s">
        <v>19</v>
      </c>
      <c r="M1196">
        <v>4</v>
      </c>
      <c r="N1196">
        <v>1649.12</v>
      </c>
    </row>
    <row r="1197" spans="1:14" x14ac:dyDescent="0.3">
      <c r="A1197" t="s">
        <v>2267</v>
      </c>
      <c r="B1197" t="s">
        <v>34</v>
      </c>
      <c r="C1197" s="1">
        <v>45441</v>
      </c>
      <c r="D1197" s="2">
        <f>YEAR(Table1[[#This Row],[PurchaseDate]])</f>
        <v>2024</v>
      </c>
      <c r="E1197" s="2" t="str">
        <f>"Q"&amp;ROUNDUP(MONTH(Table1[[#This Row],[PurchaseDate]])/3,0)</f>
        <v>Q2</v>
      </c>
      <c r="F1197" s="2">
        <f>MONTH(Table1[[#This Row],[PurchaseDate]])</f>
        <v>5</v>
      </c>
      <c r="G1197" s="2" t="str">
        <f>TEXT(Table1[[#This Row],[PurchaseDate]],"MMM")</f>
        <v>May</v>
      </c>
      <c r="H1197">
        <v>2</v>
      </c>
      <c r="I1197">
        <v>380.34</v>
      </c>
      <c r="J1197" t="s">
        <v>2268</v>
      </c>
      <c r="K1197" t="s">
        <v>13</v>
      </c>
      <c r="L1197" t="s">
        <v>58</v>
      </c>
      <c r="M1197">
        <v>5</v>
      </c>
      <c r="N1197">
        <v>760.68</v>
      </c>
    </row>
    <row r="1198" spans="1:14" x14ac:dyDescent="0.3">
      <c r="A1198" t="s">
        <v>91</v>
      </c>
      <c r="B1198" t="s">
        <v>42</v>
      </c>
      <c r="C1198" s="1">
        <v>45522</v>
      </c>
      <c r="D1198" s="2">
        <f>YEAR(Table1[[#This Row],[PurchaseDate]])</f>
        <v>2024</v>
      </c>
      <c r="E1198" s="2" t="str">
        <f>"Q"&amp;ROUNDUP(MONTH(Table1[[#This Row],[PurchaseDate]])/3,0)</f>
        <v>Q3</v>
      </c>
      <c r="F1198" s="2">
        <f>MONTH(Table1[[#This Row],[PurchaseDate]])</f>
        <v>8</v>
      </c>
      <c r="G1198" s="2" t="str">
        <f>TEXT(Table1[[#This Row],[PurchaseDate]],"MMM")</f>
        <v>Aug</v>
      </c>
      <c r="H1198">
        <v>3</v>
      </c>
      <c r="I1198">
        <v>728.86</v>
      </c>
      <c r="J1198" t="s">
        <v>92</v>
      </c>
      <c r="K1198" t="s">
        <v>18</v>
      </c>
      <c r="L1198" t="s">
        <v>27</v>
      </c>
      <c r="M1198">
        <v>5</v>
      </c>
      <c r="N1198">
        <v>2186.58</v>
      </c>
    </row>
    <row r="1199" spans="1:14" x14ac:dyDescent="0.3">
      <c r="A1199" t="s">
        <v>2269</v>
      </c>
      <c r="B1199" t="s">
        <v>34</v>
      </c>
      <c r="C1199" s="1">
        <v>45527</v>
      </c>
      <c r="D1199" s="2">
        <f>YEAR(Table1[[#This Row],[PurchaseDate]])</f>
        <v>2024</v>
      </c>
      <c r="E1199" s="2" t="str">
        <f>"Q"&amp;ROUNDUP(MONTH(Table1[[#This Row],[PurchaseDate]])/3,0)</f>
        <v>Q3</v>
      </c>
      <c r="F1199" s="2">
        <f>MONTH(Table1[[#This Row],[PurchaseDate]])</f>
        <v>8</v>
      </c>
      <c r="G1199" s="2" t="str">
        <f>TEXT(Table1[[#This Row],[PurchaseDate]],"MMM")</f>
        <v>Aug</v>
      </c>
      <c r="H1199">
        <v>5</v>
      </c>
      <c r="I1199">
        <v>324.42</v>
      </c>
      <c r="J1199" t="s">
        <v>2270</v>
      </c>
      <c r="K1199" t="s">
        <v>18</v>
      </c>
      <c r="L1199" t="s">
        <v>19</v>
      </c>
      <c r="M1199">
        <v>1</v>
      </c>
      <c r="N1199">
        <v>1622.1</v>
      </c>
    </row>
    <row r="1200" spans="1:14" x14ac:dyDescent="0.3">
      <c r="A1200" t="s">
        <v>2271</v>
      </c>
      <c r="B1200" t="s">
        <v>25</v>
      </c>
      <c r="C1200" s="1">
        <v>45211</v>
      </c>
      <c r="D1200" s="2">
        <f>YEAR(Table1[[#This Row],[PurchaseDate]])</f>
        <v>2023</v>
      </c>
      <c r="E1200" s="2" t="str">
        <f>"Q"&amp;ROUNDUP(MONTH(Table1[[#This Row],[PurchaseDate]])/3,0)</f>
        <v>Q4</v>
      </c>
      <c r="F1200" s="2">
        <f>MONTH(Table1[[#This Row],[PurchaseDate]])</f>
        <v>10</v>
      </c>
      <c r="G1200" s="2" t="str">
        <f>TEXT(Table1[[#This Row],[PurchaseDate]],"MMM")</f>
        <v>Oct</v>
      </c>
      <c r="H1200">
        <v>4</v>
      </c>
      <c r="I1200">
        <v>107.13</v>
      </c>
      <c r="J1200" t="s">
        <v>2272</v>
      </c>
      <c r="K1200" t="s">
        <v>18</v>
      </c>
      <c r="L1200" t="s">
        <v>19</v>
      </c>
      <c r="M1200">
        <v>4</v>
      </c>
      <c r="N1200">
        <v>428.52</v>
      </c>
    </row>
    <row r="1201" spans="1:14" x14ac:dyDescent="0.3">
      <c r="A1201" t="s">
        <v>191</v>
      </c>
      <c r="B1201" t="s">
        <v>42</v>
      </c>
      <c r="C1201" s="1">
        <v>45102</v>
      </c>
      <c r="D1201" s="2">
        <f>YEAR(Table1[[#This Row],[PurchaseDate]])</f>
        <v>2023</v>
      </c>
      <c r="E1201" s="2" t="str">
        <f>"Q"&amp;ROUNDUP(MONTH(Table1[[#This Row],[PurchaseDate]])/3,0)</f>
        <v>Q2</v>
      </c>
      <c r="F1201" s="2">
        <f>MONTH(Table1[[#This Row],[PurchaseDate]])</f>
        <v>6</v>
      </c>
      <c r="G1201" s="2" t="str">
        <f>TEXT(Table1[[#This Row],[PurchaseDate]],"MMM")</f>
        <v>Jun</v>
      </c>
      <c r="H1201">
        <v>7</v>
      </c>
      <c r="I1201">
        <v>440.79</v>
      </c>
      <c r="J1201" t="s">
        <v>192</v>
      </c>
      <c r="K1201" t="s">
        <v>18</v>
      </c>
      <c r="L1201" t="s">
        <v>23</v>
      </c>
      <c r="M1201">
        <v>5</v>
      </c>
      <c r="N1201">
        <v>3085.53</v>
      </c>
    </row>
    <row r="1202" spans="1:14" x14ac:dyDescent="0.3">
      <c r="A1202" t="s">
        <v>2273</v>
      </c>
      <c r="B1202" t="s">
        <v>34</v>
      </c>
      <c r="C1202" s="1">
        <v>45397</v>
      </c>
      <c r="D1202" s="2">
        <f>YEAR(Table1[[#This Row],[PurchaseDate]])</f>
        <v>2024</v>
      </c>
      <c r="E1202" s="2" t="str">
        <f>"Q"&amp;ROUNDUP(MONTH(Table1[[#This Row],[PurchaseDate]])/3,0)</f>
        <v>Q2</v>
      </c>
      <c r="F1202" s="2">
        <f>MONTH(Table1[[#This Row],[PurchaseDate]])</f>
        <v>4</v>
      </c>
      <c r="G1202" s="2" t="str">
        <f>TEXT(Table1[[#This Row],[PurchaseDate]],"MMM")</f>
        <v>Apr</v>
      </c>
      <c r="H1202">
        <v>4</v>
      </c>
      <c r="I1202">
        <v>16.100000000000001</v>
      </c>
      <c r="J1202" t="s">
        <v>2274</v>
      </c>
      <c r="K1202" t="s">
        <v>38</v>
      </c>
      <c r="L1202" t="s">
        <v>14</v>
      </c>
      <c r="M1202">
        <v>3</v>
      </c>
      <c r="N1202">
        <v>64.400000000000006</v>
      </c>
    </row>
    <row r="1203" spans="1:14" x14ac:dyDescent="0.3">
      <c r="A1203" t="s">
        <v>2275</v>
      </c>
      <c r="B1203" t="s">
        <v>34</v>
      </c>
      <c r="C1203" s="1">
        <v>45714</v>
      </c>
      <c r="D1203" s="2">
        <f>YEAR(Table1[[#This Row],[PurchaseDate]])</f>
        <v>2025</v>
      </c>
      <c r="E1203" s="2" t="str">
        <f>"Q"&amp;ROUNDUP(MONTH(Table1[[#This Row],[PurchaseDate]])/3,0)</f>
        <v>Q1</v>
      </c>
      <c r="F1203" s="2">
        <f>MONTH(Table1[[#This Row],[PurchaseDate]])</f>
        <v>2</v>
      </c>
      <c r="G1203" s="2" t="str">
        <f>TEXT(Table1[[#This Row],[PurchaseDate]],"MMM")</f>
        <v>Feb</v>
      </c>
      <c r="H1203">
        <v>4</v>
      </c>
      <c r="I1203">
        <v>420.9</v>
      </c>
      <c r="J1203" t="s">
        <v>2276</v>
      </c>
      <c r="K1203" t="s">
        <v>13</v>
      </c>
      <c r="L1203" t="s">
        <v>19</v>
      </c>
      <c r="M1203">
        <v>3</v>
      </c>
      <c r="N1203">
        <v>1683.6</v>
      </c>
    </row>
    <row r="1204" spans="1:14" x14ac:dyDescent="0.3">
      <c r="A1204" t="s">
        <v>2277</v>
      </c>
      <c r="B1204" t="s">
        <v>34</v>
      </c>
      <c r="C1204" s="1">
        <v>45619</v>
      </c>
      <c r="D1204" s="2">
        <f>YEAR(Table1[[#This Row],[PurchaseDate]])</f>
        <v>2024</v>
      </c>
      <c r="E1204" s="2" t="str">
        <f>"Q"&amp;ROUNDUP(MONTH(Table1[[#This Row],[PurchaseDate]])/3,0)</f>
        <v>Q4</v>
      </c>
      <c r="F1204" s="2">
        <f>MONTH(Table1[[#This Row],[PurchaseDate]])</f>
        <v>11</v>
      </c>
      <c r="G1204" s="2" t="str">
        <f>TEXT(Table1[[#This Row],[PurchaseDate]],"MMM")</f>
        <v>Nov</v>
      </c>
      <c r="H1204">
        <v>7</v>
      </c>
      <c r="I1204">
        <v>8.07</v>
      </c>
      <c r="J1204" t="s">
        <v>2278</v>
      </c>
      <c r="K1204" t="s">
        <v>18</v>
      </c>
      <c r="L1204" t="s">
        <v>14</v>
      </c>
      <c r="M1204">
        <v>1</v>
      </c>
      <c r="N1204">
        <v>56.49</v>
      </c>
    </row>
    <row r="1205" spans="1:14" x14ac:dyDescent="0.3">
      <c r="A1205" t="s">
        <v>2279</v>
      </c>
      <c r="B1205" t="s">
        <v>25</v>
      </c>
      <c r="C1205" s="1">
        <v>45024</v>
      </c>
      <c r="D1205" s="2">
        <f>YEAR(Table1[[#This Row],[PurchaseDate]])</f>
        <v>2023</v>
      </c>
      <c r="E1205" s="2" t="str">
        <f>"Q"&amp;ROUNDUP(MONTH(Table1[[#This Row],[PurchaseDate]])/3,0)</f>
        <v>Q2</v>
      </c>
      <c r="F1205" s="2">
        <f>MONTH(Table1[[#This Row],[PurchaseDate]])</f>
        <v>4</v>
      </c>
      <c r="G1205" s="2" t="str">
        <f>TEXT(Table1[[#This Row],[PurchaseDate]],"MMM")</f>
        <v>Apr</v>
      </c>
      <c r="H1205">
        <v>6</v>
      </c>
      <c r="I1205">
        <v>151.15</v>
      </c>
      <c r="J1205" t="s">
        <v>2280</v>
      </c>
      <c r="K1205" t="s">
        <v>38</v>
      </c>
      <c r="L1205" t="s">
        <v>14</v>
      </c>
      <c r="M1205">
        <v>2</v>
      </c>
      <c r="N1205">
        <v>906.9</v>
      </c>
    </row>
    <row r="1206" spans="1:14" x14ac:dyDescent="0.3">
      <c r="A1206" t="s">
        <v>2281</v>
      </c>
      <c r="B1206" t="s">
        <v>42</v>
      </c>
      <c r="C1206" s="1">
        <v>45091</v>
      </c>
      <c r="D1206" s="2">
        <f>YEAR(Table1[[#This Row],[PurchaseDate]])</f>
        <v>2023</v>
      </c>
      <c r="E1206" s="2" t="str">
        <f>"Q"&amp;ROUNDUP(MONTH(Table1[[#This Row],[PurchaseDate]])/3,0)</f>
        <v>Q2</v>
      </c>
      <c r="F1206" s="2">
        <f>MONTH(Table1[[#This Row],[PurchaseDate]])</f>
        <v>6</v>
      </c>
      <c r="G1206" s="2" t="str">
        <f>TEXT(Table1[[#This Row],[PurchaseDate]],"MMM")</f>
        <v>Jun</v>
      </c>
      <c r="H1206">
        <v>2</v>
      </c>
      <c r="I1206">
        <v>755.25</v>
      </c>
      <c r="J1206" t="s">
        <v>2282</v>
      </c>
      <c r="K1206" t="s">
        <v>38</v>
      </c>
      <c r="L1206" t="s">
        <v>23</v>
      </c>
      <c r="M1206">
        <v>1</v>
      </c>
      <c r="N1206">
        <v>1510.5</v>
      </c>
    </row>
    <row r="1207" spans="1:14" x14ac:dyDescent="0.3">
      <c r="A1207" t="s">
        <v>2283</v>
      </c>
      <c r="B1207" t="s">
        <v>16</v>
      </c>
      <c r="C1207" s="1">
        <v>45516</v>
      </c>
      <c r="D1207" s="2">
        <f>YEAR(Table1[[#This Row],[PurchaseDate]])</f>
        <v>2024</v>
      </c>
      <c r="E1207" s="2" t="str">
        <f>"Q"&amp;ROUNDUP(MONTH(Table1[[#This Row],[PurchaseDate]])/3,0)</f>
        <v>Q3</v>
      </c>
      <c r="F1207" s="2">
        <f>MONTH(Table1[[#This Row],[PurchaseDate]])</f>
        <v>8</v>
      </c>
      <c r="G1207" s="2" t="str">
        <f>TEXT(Table1[[#This Row],[PurchaseDate]],"MMM")</f>
        <v>Aug</v>
      </c>
      <c r="H1207">
        <v>2</v>
      </c>
      <c r="I1207">
        <v>150.26</v>
      </c>
      <c r="J1207" t="s">
        <v>2284</v>
      </c>
      <c r="K1207" t="s">
        <v>38</v>
      </c>
      <c r="L1207" t="s">
        <v>58</v>
      </c>
      <c r="M1207">
        <v>4</v>
      </c>
      <c r="N1207">
        <v>300.52</v>
      </c>
    </row>
    <row r="1208" spans="1:14" x14ac:dyDescent="0.3">
      <c r="A1208" t="s">
        <v>2285</v>
      </c>
      <c r="B1208" t="s">
        <v>34</v>
      </c>
      <c r="C1208" s="1">
        <v>45326</v>
      </c>
      <c r="D1208" s="2">
        <f>YEAR(Table1[[#This Row],[PurchaseDate]])</f>
        <v>2024</v>
      </c>
      <c r="E1208" s="2" t="str">
        <f>"Q"&amp;ROUNDUP(MONTH(Table1[[#This Row],[PurchaseDate]])/3,0)</f>
        <v>Q1</v>
      </c>
      <c r="F1208" s="2">
        <f>MONTH(Table1[[#This Row],[PurchaseDate]])</f>
        <v>2</v>
      </c>
      <c r="G1208" s="2" t="str">
        <f>TEXT(Table1[[#This Row],[PurchaseDate]],"MMM")</f>
        <v>Feb</v>
      </c>
      <c r="H1208">
        <v>2</v>
      </c>
      <c r="I1208">
        <v>291.63</v>
      </c>
      <c r="J1208" t="s">
        <v>2286</v>
      </c>
      <c r="K1208" t="s">
        <v>38</v>
      </c>
      <c r="L1208" t="s">
        <v>27</v>
      </c>
      <c r="M1208">
        <v>5</v>
      </c>
      <c r="N1208">
        <v>583.26</v>
      </c>
    </row>
    <row r="1209" spans="1:14" x14ac:dyDescent="0.3">
      <c r="A1209" t="s">
        <v>2287</v>
      </c>
      <c r="B1209" t="s">
        <v>16</v>
      </c>
      <c r="C1209" s="1">
        <v>45333</v>
      </c>
      <c r="D1209" s="2">
        <f>YEAR(Table1[[#This Row],[PurchaseDate]])</f>
        <v>2024</v>
      </c>
      <c r="E1209" s="2" t="str">
        <f>"Q"&amp;ROUNDUP(MONTH(Table1[[#This Row],[PurchaseDate]])/3,0)</f>
        <v>Q1</v>
      </c>
      <c r="F1209" s="2">
        <f>MONTH(Table1[[#This Row],[PurchaseDate]])</f>
        <v>2</v>
      </c>
      <c r="G1209" s="2" t="str">
        <f>TEXT(Table1[[#This Row],[PurchaseDate]],"MMM")</f>
        <v>Feb</v>
      </c>
      <c r="H1209">
        <v>6</v>
      </c>
      <c r="I1209">
        <v>486.65</v>
      </c>
      <c r="J1209" t="s">
        <v>2288</v>
      </c>
      <c r="K1209" t="s">
        <v>38</v>
      </c>
      <c r="L1209" t="s">
        <v>19</v>
      </c>
      <c r="M1209">
        <v>2</v>
      </c>
      <c r="N1209">
        <v>2919.9</v>
      </c>
    </row>
    <row r="1210" spans="1:14" x14ac:dyDescent="0.3">
      <c r="A1210" t="s">
        <v>663</v>
      </c>
      <c r="B1210" t="s">
        <v>42</v>
      </c>
      <c r="C1210" s="1">
        <v>45006</v>
      </c>
      <c r="D1210" s="2">
        <f>YEAR(Table1[[#This Row],[PurchaseDate]])</f>
        <v>2023</v>
      </c>
      <c r="E1210" s="2" t="str">
        <f>"Q"&amp;ROUNDUP(MONTH(Table1[[#This Row],[PurchaseDate]])/3,0)</f>
        <v>Q1</v>
      </c>
      <c r="F1210" s="2">
        <f>MONTH(Table1[[#This Row],[PurchaseDate]])</f>
        <v>3</v>
      </c>
      <c r="G1210" s="2" t="str">
        <f>TEXT(Table1[[#This Row],[PurchaseDate]],"MMM")</f>
        <v>Mar</v>
      </c>
      <c r="H1210">
        <v>2</v>
      </c>
      <c r="I1210">
        <v>321.64</v>
      </c>
      <c r="J1210" t="s">
        <v>664</v>
      </c>
      <c r="K1210" t="s">
        <v>18</v>
      </c>
      <c r="L1210" t="s">
        <v>23</v>
      </c>
      <c r="M1210">
        <v>2</v>
      </c>
      <c r="N1210">
        <v>643.28</v>
      </c>
    </row>
    <row r="1211" spans="1:14" x14ac:dyDescent="0.3">
      <c r="A1211" t="s">
        <v>2289</v>
      </c>
      <c r="B1211" t="s">
        <v>11</v>
      </c>
      <c r="C1211" s="1">
        <v>45062</v>
      </c>
      <c r="D1211" s="2">
        <f>YEAR(Table1[[#This Row],[PurchaseDate]])</f>
        <v>2023</v>
      </c>
      <c r="E1211" s="2" t="str">
        <f>"Q"&amp;ROUNDUP(MONTH(Table1[[#This Row],[PurchaseDate]])/3,0)</f>
        <v>Q2</v>
      </c>
      <c r="F1211" s="2">
        <f>MONTH(Table1[[#This Row],[PurchaseDate]])</f>
        <v>5</v>
      </c>
      <c r="G1211" s="2" t="str">
        <f>TEXT(Table1[[#This Row],[PurchaseDate]],"MMM")</f>
        <v>May</v>
      </c>
      <c r="H1211">
        <v>2</v>
      </c>
      <c r="I1211">
        <v>146.97999999999999</v>
      </c>
      <c r="J1211" t="s">
        <v>2290</v>
      </c>
      <c r="K1211" t="s">
        <v>13</v>
      </c>
      <c r="L1211" t="s">
        <v>27</v>
      </c>
      <c r="M1211">
        <v>4</v>
      </c>
      <c r="N1211">
        <v>293.95999999999998</v>
      </c>
    </row>
    <row r="1212" spans="1:14" x14ac:dyDescent="0.3">
      <c r="A1212" t="s">
        <v>2291</v>
      </c>
      <c r="B1212" t="s">
        <v>34</v>
      </c>
      <c r="C1212" s="1">
        <v>45798</v>
      </c>
      <c r="D1212" s="2">
        <f>YEAR(Table1[[#This Row],[PurchaseDate]])</f>
        <v>2025</v>
      </c>
      <c r="E1212" s="2" t="str">
        <f>"Q"&amp;ROUNDUP(MONTH(Table1[[#This Row],[PurchaseDate]])/3,0)</f>
        <v>Q2</v>
      </c>
      <c r="F1212" s="2">
        <f>MONTH(Table1[[#This Row],[PurchaseDate]])</f>
        <v>5</v>
      </c>
      <c r="G1212" s="2" t="str">
        <f>TEXT(Table1[[#This Row],[PurchaseDate]],"MMM")</f>
        <v>May</v>
      </c>
      <c r="H1212">
        <v>2</v>
      </c>
      <c r="I1212">
        <v>594.86</v>
      </c>
      <c r="J1212" t="s">
        <v>2292</v>
      </c>
      <c r="K1212" t="s">
        <v>38</v>
      </c>
      <c r="L1212" t="s">
        <v>19</v>
      </c>
      <c r="M1212">
        <v>4</v>
      </c>
      <c r="N1212">
        <v>1189.72</v>
      </c>
    </row>
    <row r="1213" spans="1:14" x14ac:dyDescent="0.3">
      <c r="A1213" t="s">
        <v>2293</v>
      </c>
      <c r="B1213" t="s">
        <v>25</v>
      </c>
      <c r="C1213" s="1">
        <v>45055</v>
      </c>
      <c r="D1213" s="2">
        <f>YEAR(Table1[[#This Row],[PurchaseDate]])</f>
        <v>2023</v>
      </c>
      <c r="E1213" s="2" t="str">
        <f>"Q"&amp;ROUNDUP(MONTH(Table1[[#This Row],[PurchaseDate]])/3,0)</f>
        <v>Q2</v>
      </c>
      <c r="F1213" s="2">
        <f>MONTH(Table1[[#This Row],[PurchaseDate]])</f>
        <v>5</v>
      </c>
      <c r="G1213" s="2" t="str">
        <f>TEXT(Table1[[#This Row],[PurchaseDate]],"MMM")</f>
        <v>May</v>
      </c>
      <c r="H1213">
        <v>2</v>
      </c>
      <c r="I1213">
        <v>13.46</v>
      </c>
      <c r="J1213" t="s">
        <v>2294</v>
      </c>
      <c r="K1213" t="s">
        <v>18</v>
      </c>
      <c r="L1213" t="s">
        <v>14</v>
      </c>
      <c r="M1213">
        <v>5</v>
      </c>
      <c r="N1213">
        <v>26.92</v>
      </c>
    </row>
    <row r="1214" spans="1:14" x14ac:dyDescent="0.3">
      <c r="A1214" t="s">
        <v>2295</v>
      </c>
      <c r="B1214" t="s">
        <v>11</v>
      </c>
      <c r="C1214" s="1">
        <v>45582</v>
      </c>
      <c r="D1214" s="2">
        <f>YEAR(Table1[[#This Row],[PurchaseDate]])</f>
        <v>2024</v>
      </c>
      <c r="E1214" s="2" t="str">
        <f>"Q"&amp;ROUNDUP(MONTH(Table1[[#This Row],[PurchaseDate]])/3,0)</f>
        <v>Q4</v>
      </c>
      <c r="F1214" s="2">
        <f>MONTH(Table1[[#This Row],[PurchaseDate]])</f>
        <v>10</v>
      </c>
      <c r="G1214" s="2" t="str">
        <f>TEXT(Table1[[#This Row],[PurchaseDate]],"MMM")</f>
        <v>Oct</v>
      </c>
      <c r="H1214">
        <v>2</v>
      </c>
      <c r="I1214">
        <v>479.11</v>
      </c>
      <c r="J1214" t="s">
        <v>2296</v>
      </c>
      <c r="K1214" t="s">
        <v>18</v>
      </c>
      <c r="L1214" t="s">
        <v>58</v>
      </c>
      <c r="M1214">
        <v>4</v>
      </c>
      <c r="N1214">
        <v>958.22</v>
      </c>
    </row>
    <row r="1215" spans="1:14" x14ac:dyDescent="0.3">
      <c r="A1215" t="s">
        <v>2297</v>
      </c>
      <c r="B1215" t="s">
        <v>29</v>
      </c>
      <c r="C1215" s="1">
        <v>45293</v>
      </c>
      <c r="D1215" s="2">
        <f>YEAR(Table1[[#This Row],[PurchaseDate]])</f>
        <v>2024</v>
      </c>
      <c r="E1215" s="2" t="str">
        <f>"Q"&amp;ROUNDUP(MONTH(Table1[[#This Row],[PurchaseDate]])/3,0)</f>
        <v>Q1</v>
      </c>
      <c r="F1215" s="2">
        <f>MONTH(Table1[[#This Row],[PurchaseDate]])</f>
        <v>1</v>
      </c>
      <c r="G1215" s="2" t="str">
        <f>TEXT(Table1[[#This Row],[PurchaseDate]],"MMM")</f>
        <v>Jan</v>
      </c>
      <c r="H1215">
        <v>7</v>
      </c>
      <c r="I1215">
        <v>747.6</v>
      </c>
      <c r="J1215" t="s">
        <v>2298</v>
      </c>
      <c r="K1215" t="s">
        <v>38</v>
      </c>
      <c r="L1215" t="s">
        <v>14</v>
      </c>
      <c r="M1215">
        <v>2</v>
      </c>
      <c r="N1215">
        <v>5233.2</v>
      </c>
    </row>
    <row r="1216" spans="1:14" x14ac:dyDescent="0.3">
      <c r="A1216" t="s">
        <v>2299</v>
      </c>
      <c r="B1216" t="s">
        <v>29</v>
      </c>
      <c r="C1216" s="1">
        <v>45388</v>
      </c>
      <c r="D1216" s="2">
        <f>YEAR(Table1[[#This Row],[PurchaseDate]])</f>
        <v>2024</v>
      </c>
      <c r="E1216" s="2" t="str">
        <f>"Q"&amp;ROUNDUP(MONTH(Table1[[#This Row],[PurchaseDate]])/3,0)</f>
        <v>Q2</v>
      </c>
      <c r="F1216" s="2">
        <f>MONTH(Table1[[#This Row],[PurchaseDate]])</f>
        <v>4</v>
      </c>
      <c r="G1216" s="2" t="str">
        <f>TEXT(Table1[[#This Row],[PurchaseDate]],"MMM")</f>
        <v>Apr</v>
      </c>
      <c r="H1216">
        <v>1</v>
      </c>
      <c r="I1216">
        <v>292.60000000000002</v>
      </c>
      <c r="J1216" t="s">
        <v>2300</v>
      </c>
      <c r="K1216" t="s">
        <v>13</v>
      </c>
      <c r="L1216" t="s">
        <v>27</v>
      </c>
      <c r="M1216">
        <v>1</v>
      </c>
      <c r="N1216">
        <v>292.60000000000002</v>
      </c>
    </row>
    <row r="1217" spans="1:14" x14ac:dyDescent="0.3">
      <c r="A1217" t="s">
        <v>2301</v>
      </c>
      <c r="B1217" t="s">
        <v>34</v>
      </c>
      <c r="C1217" s="1">
        <v>45321</v>
      </c>
      <c r="D1217" s="2">
        <f>YEAR(Table1[[#This Row],[PurchaseDate]])</f>
        <v>2024</v>
      </c>
      <c r="E1217" s="2" t="str">
        <f>"Q"&amp;ROUNDUP(MONTH(Table1[[#This Row],[PurchaseDate]])/3,0)</f>
        <v>Q1</v>
      </c>
      <c r="F1217" s="2">
        <f>MONTH(Table1[[#This Row],[PurchaseDate]])</f>
        <v>1</v>
      </c>
      <c r="G1217" s="2" t="str">
        <f>TEXT(Table1[[#This Row],[PurchaseDate]],"MMM")</f>
        <v>Jan</v>
      </c>
      <c r="H1217">
        <v>7</v>
      </c>
      <c r="I1217">
        <v>393.52</v>
      </c>
      <c r="J1217" t="s">
        <v>2302</v>
      </c>
      <c r="K1217" t="s">
        <v>13</v>
      </c>
      <c r="L1217" t="s">
        <v>27</v>
      </c>
      <c r="M1217">
        <v>2</v>
      </c>
      <c r="N1217">
        <v>2754.64</v>
      </c>
    </row>
    <row r="1218" spans="1:14" x14ac:dyDescent="0.3">
      <c r="A1218" t="s">
        <v>2303</v>
      </c>
      <c r="B1218" t="s">
        <v>42</v>
      </c>
      <c r="C1218" s="1">
        <v>45131</v>
      </c>
      <c r="D1218" s="2">
        <f>YEAR(Table1[[#This Row],[PurchaseDate]])</f>
        <v>2023</v>
      </c>
      <c r="E1218" s="2" t="str">
        <f>"Q"&amp;ROUNDUP(MONTH(Table1[[#This Row],[PurchaseDate]])/3,0)</f>
        <v>Q3</v>
      </c>
      <c r="F1218" s="2">
        <f>MONTH(Table1[[#This Row],[PurchaseDate]])</f>
        <v>7</v>
      </c>
      <c r="G1218" s="2" t="str">
        <f>TEXT(Table1[[#This Row],[PurchaseDate]],"MMM")</f>
        <v>Jul</v>
      </c>
      <c r="H1218">
        <v>5</v>
      </c>
      <c r="I1218">
        <v>462.31</v>
      </c>
      <c r="J1218" t="s">
        <v>2304</v>
      </c>
      <c r="K1218" t="s">
        <v>13</v>
      </c>
      <c r="L1218" t="s">
        <v>19</v>
      </c>
      <c r="M1218">
        <v>4</v>
      </c>
      <c r="N1218">
        <v>2311.5500000000002</v>
      </c>
    </row>
    <row r="1219" spans="1:14" x14ac:dyDescent="0.3">
      <c r="A1219" t="s">
        <v>2305</v>
      </c>
      <c r="B1219" t="s">
        <v>21</v>
      </c>
      <c r="C1219" s="1">
        <v>45748</v>
      </c>
      <c r="D1219" s="2">
        <f>YEAR(Table1[[#This Row],[PurchaseDate]])</f>
        <v>2025</v>
      </c>
      <c r="E1219" s="2" t="str">
        <f>"Q"&amp;ROUNDUP(MONTH(Table1[[#This Row],[PurchaseDate]])/3,0)</f>
        <v>Q2</v>
      </c>
      <c r="F1219" s="2">
        <f>MONTH(Table1[[#This Row],[PurchaseDate]])</f>
        <v>4</v>
      </c>
      <c r="G1219" s="2" t="str">
        <f>TEXT(Table1[[#This Row],[PurchaseDate]],"MMM")</f>
        <v>Apr</v>
      </c>
      <c r="H1219">
        <v>4</v>
      </c>
      <c r="I1219">
        <v>231.92</v>
      </c>
      <c r="J1219" t="s">
        <v>2306</v>
      </c>
      <c r="K1219" t="s">
        <v>13</v>
      </c>
      <c r="L1219" t="s">
        <v>14</v>
      </c>
      <c r="M1219">
        <v>3</v>
      </c>
      <c r="N1219">
        <v>927.68</v>
      </c>
    </row>
    <row r="1220" spans="1:14" x14ac:dyDescent="0.3">
      <c r="A1220" t="s">
        <v>2121</v>
      </c>
      <c r="B1220" t="s">
        <v>25</v>
      </c>
      <c r="C1220" s="1">
        <v>45779</v>
      </c>
      <c r="D1220" s="2">
        <f>YEAR(Table1[[#This Row],[PurchaseDate]])</f>
        <v>2025</v>
      </c>
      <c r="E1220" s="2" t="str">
        <f>"Q"&amp;ROUNDUP(MONTH(Table1[[#This Row],[PurchaseDate]])/3,0)</f>
        <v>Q2</v>
      </c>
      <c r="F1220" s="2">
        <f>MONTH(Table1[[#This Row],[PurchaseDate]])</f>
        <v>5</v>
      </c>
      <c r="G1220" s="2" t="str">
        <f>TEXT(Table1[[#This Row],[PurchaseDate]],"MMM")</f>
        <v>May</v>
      </c>
      <c r="H1220">
        <v>5</v>
      </c>
      <c r="I1220">
        <v>406.75</v>
      </c>
      <c r="J1220" t="s">
        <v>2122</v>
      </c>
      <c r="K1220" t="s">
        <v>18</v>
      </c>
      <c r="L1220" t="s">
        <v>27</v>
      </c>
      <c r="M1220">
        <v>5</v>
      </c>
      <c r="N1220">
        <v>2033.75</v>
      </c>
    </row>
    <row r="1221" spans="1:14" x14ac:dyDescent="0.3">
      <c r="A1221" t="s">
        <v>2307</v>
      </c>
      <c r="B1221" t="s">
        <v>42</v>
      </c>
      <c r="C1221" s="1">
        <v>45835</v>
      </c>
      <c r="D1221" s="2">
        <f>YEAR(Table1[[#This Row],[PurchaseDate]])</f>
        <v>2025</v>
      </c>
      <c r="E1221" s="2" t="str">
        <f>"Q"&amp;ROUNDUP(MONTH(Table1[[#This Row],[PurchaseDate]])/3,0)</f>
        <v>Q2</v>
      </c>
      <c r="F1221" s="2">
        <f>MONTH(Table1[[#This Row],[PurchaseDate]])</f>
        <v>6</v>
      </c>
      <c r="G1221" s="2" t="str">
        <f>TEXT(Table1[[#This Row],[PurchaseDate]],"MMM")</f>
        <v>Jun</v>
      </c>
      <c r="H1221">
        <v>5</v>
      </c>
      <c r="I1221">
        <v>299.64</v>
      </c>
      <c r="J1221" t="s">
        <v>2308</v>
      </c>
      <c r="K1221" t="s">
        <v>18</v>
      </c>
      <c r="L1221" t="s">
        <v>14</v>
      </c>
      <c r="M1221">
        <v>5</v>
      </c>
      <c r="N1221">
        <v>1498.2</v>
      </c>
    </row>
    <row r="1222" spans="1:14" x14ac:dyDescent="0.3">
      <c r="A1222" t="s">
        <v>127</v>
      </c>
      <c r="B1222" t="s">
        <v>29</v>
      </c>
      <c r="C1222" s="1">
        <v>45577</v>
      </c>
      <c r="D1222" s="2">
        <f>YEAR(Table1[[#This Row],[PurchaseDate]])</f>
        <v>2024</v>
      </c>
      <c r="E1222" s="2" t="str">
        <f>"Q"&amp;ROUNDUP(MONTH(Table1[[#This Row],[PurchaseDate]])/3,0)</f>
        <v>Q4</v>
      </c>
      <c r="F1222" s="2">
        <f>MONTH(Table1[[#This Row],[PurchaseDate]])</f>
        <v>10</v>
      </c>
      <c r="G1222" s="2" t="str">
        <f>TEXT(Table1[[#This Row],[PurchaseDate]],"MMM")</f>
        <v>Oct</v>
      </c>
      <c r="H1222">
        <v>2</v>
      </c>
      <c r="I1222">
        <v>443.01</v>
      </c>
      <c r="J1222" t="s">
        <v>128</v>
      </c>
      <c r="K1222" t="s">
        <v>13</v>
      </c>
      <c r="L1222" t="s">
        <v>27</v>
      </c>
      <c r="M1222">
        <v>3</v>
      </c>
      <c r="N1222">
        <v>886.02</v>
      </c>
    </row>
    <row r="1223" spans="1:14" x14ac:dyDescent="0.3">
      <c r="A1223" t="s">
        <v>2309</v>
      </c>
      <c r="B1223" t="s">
        <v>29</v>
      </c>
      <c r="C1223" s="1">
        <v>45473</v>
      </c>
      <c r="D1223" s="2">
        <f>YEAR(Table1[[#This Row],[PurchaseDate]])</f>
        <v>2024</v>
      </c>
      <c r="E1223" s="2" t="str">
        <f>"Q"&amp;ROUNDUP(MONTH(Table1[[#This Row],[PurchaseDate]])/3,0)</f>
        <v>Q2</v>
      </c>
      <c r="F1223" s="2">
        <f>MONTH(Table1[[#This Row],[PurchaseDate]])</f>
        <v>6</v>
      </c>
      <c r="G1223" s="2" t="str">
        <f>TEXT(Table1[[#This Row],[PurchaseDate]],"MMM")</f>
        <v>Jun</v>
      </c>
      <c r="H1223">
        <v>5</v>
      </c>
      <c r="I1223">
        <v>220.51</v>
      </c>
      <c r="J1223" t="s">
        <v>2310</v>
      </c>
      <c r="K1223" t="s">
        <v>18</v>
      </c>
      <c r="L1223" t="s">
        <v>58</v>
      </c>
      <c r="M1223">
        <v>2</v>
      </c>
      <c r="N1223">
        <v>1102.55</v>
      </c>
    </row>
    <row r="1224" spans="1:14" x14ac:dyDescent="0.3">
      <c r="A1224" t="s">
        <v>2311</v>
      </c>
      <c r="B1224" t="s">
        <v>34</v>
      </c>
      <c r="C1224" s="1">
        <v>45516</v>
      </c>
      <c r="D1224" s="2">
        <f>YEAR(Table1[[#This Row],[PurchaseDate]])</f>
        <v>2024</v>
      </c>
      <c r="E1224" s="2" t="str">
        <f>"Q"&amp;ROUNDUP(MONTH(Table1[[#This Row],[PurchaseDate]])/3,0)</f>
        <v>Q3</v>
      </c>
      <c r="F1224" s="2">
        <f>MONTH(Table1[[#This Row],[PurchaseDate]])</f>
        <v>8</v>
      </c>
      <c r="G1224" s="2" t="str">
        <f>TEXT(Table1[[#This Row],[PurchaseDate]],"MMM")</f>
        <v>Aug</v>
      </c>
      <c r="H1224">
        <v>3</v>
      </c>
      <c r="I1224">
        <v>729.13</v>
      </c>
      <c r="J1224" t="s">
        <v>2312</v>
      </c>
      <c r="K1224" t="s">
        <v>13</v>
      </c>
      <c r="L1224" t="s">
        <v>27</v>
      </c>
      <c r="M1224">
        <v>2</v>
      </c>
      <c r="N1224">
        <v>2187.39</v>
      </c>
    </row>
    <row r="1225" spans="1:14" x14ac:dyDescent="0.3">
      <c r="A1225" t="s">
        <v>2313</v>
      </c>
      <c r="B1225" t="s">
        <v>42</v>
      </c>
      <c r="C1225" s="1">
        <v>45052</v>
      </c>
      <c r="D1225" s="2">
        <f>YEAR(Table1[[#This Row],[PurchaseDate]])</f>
        <v>2023</v>
      </c>
      <c r="E1225" s="2" t="str">
        <f>"Q"&amp;ROUNDUP(MONTH(Table1[[#This Row],[PurchaseDate]])/3,0)</f>
        <v>Q2</v>
      </c>
      <c r="F1225" s="2">
        <f>MONTH(Table1[[#This Row],[PurchaseDate]])</f>
        <v>5</v>
      </c>
      <c r="G1225" s="2" t="str">
        <f>TEXT(Table1[[#This Row],[PurchaseDate]],"MMM")</f>
        <v>May</v>
      </c>
      <c r="H1225">
        <v>8</v>
      </c>
      <c r="I1225">
        <v>301.75</v>
      </c>
      <c r="J1225" t="s">
        <v>2314</v>
      </c>
      <c r="K1225" t="s">
        <v>18</v>
      </c>
      <c r="L1225" t="s">
        <v>23</v>
      </c>
      <c r="M1225">
        <v>3</v>
      </c>
      <c r="N1225">
        <v>2414</v>
      </c>
    </row>
    <row r="1226" spans="1:14" x14ac:dyDescent="0.3">
      <c r="A1226" t="s">
        <v>2315</v>
      </c>
      <c r="B1226" t="s">
        <v>11</v>
      </c>
      <c r="C1226" s="1">
        <v>45557</v>
      </c>
      <c r="D1226" s="2">
        <f>YEAR(Table1[[#This Row],[PurchaseDate]])</f>
        <v>2024</v>
      </c>
      <c r="E1226" s="2" t="str">
        <f>"Q"&amp;ROUNDUP(MONTH(Table1[[#This Row],[PurchaseDate]])/3,0)</f>
        <v>Q3</v>
      </c>
      <c r="F1226" s="2">
        <f>MONTH(Table1[[#This Row],[PurchaseDate]])</f>
        <v>9</v>
      </c>
      <c r="G1226" s="2" t="str">
        <f>TEXT(Table1[[#This Row],[PurchaseDate]],"MMM")</f>
        <v>Sep</v>
      </c>
      <c r="H1226">
        <v>5</v>
      </c>
      <c r="I1226">
        <v>786.24</v>
      </c>
      <c r="J1226" t="s">
        <v>2316</v>
      </c>
      <c r="K1226" t="s">
        <v>38</v>
      </c>
      <c r="L1226" t="s">
        <v>23</v>
      </c>
      <c r="M1226">
        <v>4</v>
      </c>
      <c r="N1226">
        <v>3931.2</v>
      </c>
    </row>
    <row r="1227" spans="1:14" x14ac:dyDescent="0.3">
      <c r="A1227" t="s">
        <v>2317</v>
      </c>
      <c r="B1227" t="s">
        <v>21</v>
      </c>
      <c r="C1227" s="1">
        <v>45343</v>
      </c>
      <c r="D1227" s="2">
        <f>YEAR(Table1[[#This Row],[PurchaseDate]])</f>
        <v>2024</v>
      </c>
      <c r="E1227" s="2" t="str">
        <f>"Q"&amp;ROUNDUP(MONTH(Table1[[#This Row],[PurchaseDate]])/3,0)</f>
        <v>Q1</v>
      </c>
      <c r="F1227" s="2">
        <f>MONTH(Table1[[#This Row],[PurchaseDate]])</f>
        <v>2</v>
      </c>
      <c r="G1227" s="2" t="str">
        <f>TEXT(Table1[[#This Row],[PurchaseDate]],"MMM")</f>
        <v>Feb</v>
      </c>
      <c r="H1227">
        <v>6</v>
      </c>
      <c r="I1227">
        <v>484.73</v>
      </c>
      <c r="J1227" t="s">
        <v>2318</v>
      </c>
      <c r="K1227" t="s">
        <v>18</v>
      </c>
      <c r="L1227" t="s">
        <v>19</v>
      </c>
      <c r="M1227">
        <v>3</v>
      </c>
      <c r="N1227">
        <v>2908.38</v>
      </c>
    </row>
    <row r="1228" spans="1:14" x14ac:dyDescent="0.3">
      <c r="A1228" t="s">
        <v>2319</v>
      </c>
      <c r="B1228" t="s">
        <v>21</v>
      </c>
      <c r="C1228" s="1">
        <v>45712</v>
      </c>
      <c r="D1228" s="2">
        <f>YEAR(Table1[[#This Row],[PurchaseDate]])</f>
        <v>2025</v>
      </c>
      <c r="E1228" s="2" t="str">
        <f>"Q"&amp;ROUNDUP(MONTH(Table1[[#This Row],[PurchaseDate]])/3,0)</f>
        <v>Q1</v>
      </c>
      <c r="F1228" s="2">
        <f>MONTH(Table1[[#This Row],[PurchaseDate]])</f>
        <v>2</v>
      </c>
      <c r="G1228" s="2" t="str">
        <f>TEXT(Table1[[#This Row],[PurchaseDate]],"MMM")</f>
        <v>Feb</v>
      </c>
      <c r="H1228">
        <v>3</v>
      </c>
      <c r="I1228">
        <v>600.34</v>
      </c>
      <c r="J1228" t="s">
        <v>2320</v>
      </c>
      <c r="K1228" t="s">
        <v>38</v>
      </c>
      <c r="L1228" t="s">
        <v>23</v>
      </c>
      <c r="M1228">
        <v>4</v>
      </c>
      <c r="N1228">
        <v>1801.02</v>
      </c>
    </row>
    <row r="1229" spans="1:14" x14ac:dyDescent="0.3">
      <c r="A1229" t="s">
        <v>2321</v>
      </c>
      <c r="B1229" t="s">
        <v>42</v>
      </c>
      <c r="C1229" s="1">
        <v>45013</v>
      </c>
      <c r="D1229" s="2">
        <f>YEAR(Table1[[#This Row],[PurchaseDate]])</f>
        <v>2023</v>
      </c>
      <c r="E1229" s="2" t="str">
        <f>"Q"&amp;ROUNDUP(MONTH(Table1[[#This Row],[PurchaseDate]])/3,0)</f>
        <v>Q1</v>
      </c>
      <c r="F1229" s="2">
        <f>MONTH(Table1[[#This Row],[PurchaseDate]])</f>
        <v>3</v>
      </c>
      <c r="G1229" s="2" t="str">
        <f>TEXT(Table1[[#This Row],[PurchaseDate]],"MMM")</f>
        <v>Mar</v>
      </c>
      <c r="H1229">
        <v>2</v>
      </c>
      <c r="I1229">
        <v>332.97</v>
      </c>
      <c r="J1229" t="s">
        <v>2322</v>
      </c>
      <c r="K1229" t="s">
        <v>18</v>
      </c>
      <c r="L1229" t="s">
        <v>58</v>
      </c>
      <c r="M1229">
        <v>2</v>
      </c>
      <c r="N1229">
        <v>665.94</v>
      </c>
    </row>
    <row r="1230" spans="1:14" x14ac:dyDescent="0.3">
      <c r="A1230" t="s">
        <v>2323</v>
      </c>
      <c r="B1230" t="s">
        <v>29</v>
      </c>
      <c r="C1230" s="1">
        <v>45221</v>
      </c>
      <c r="D1230" s="2">
        <f>YEAR(Table1[[#This Row],[PurchaseDate]])</f>
        <v>2023</v>
      </c>
      <c r="E1230" s="2" t="str">
        <f>"Q"&amp;ROUNDUP(MONTH(Table1[[#This Row],[PurchaseDate]])/3,0)</f>
        <v>Q4</v>
      </c>
      <c r="F1230" s="2">
        <f>MONTH(Table1[[#This Row],[PurchaseDate]])</f>
        <v>10</v>
      </c>
      <c r="G1230" s="2" t="str">
        <f>TEXT(Table1[[#This Row],[PurchaseDate]],"MMM")</f>
        <v>Oct</v>
      </c>
      <c r="H1230">
        <v>8</v>
      </c>
      <c r="I1230">
        <v>555.17999999999995</v>
      </c>
      <c r="J1230" t="s">
        <v>2324</v>
      </c>
      <c r="K1230" t="s">
        <v>18</v>
      </c>
      <c r="L1230" t="s">
        <v>14</v>
      </c>
      <c r="M1230">
        <v>2</v>
      </c>
      <c r="N1230">
        <v>4441.4399999999996</v>
      </c>
    </row>
    <row r="1231" spans="1:14" x14ac:dyDescent="0.3">
      <c r="A1231" t="s">
        <v>2325</v>
      </c>
      <c r="B1231" t="s">
        <v>11</v>
      </c>
      <c r="C1231" s="1">
        <v>45691</v>
      </c>
      <c r="D1231" s="2">
        <f>YEAR(Table1[[#This Row],[PurchaseDate]])</f>
        <v>2025</v>
      </c>
      <c r="E1231" s="2" t="str">
        <f>"Q"&amp;ROUNDUP(MONTH(Table1[[#This Row],[PurchaseDate]])/3,0)</f>
        <v>Q1</v>
      </c>
      <c r="F1231" s="2">
        <f>MONTH(Table1[[#This Row],[PurchaseDate]])</f>
        <v>2</v>
      </c>
      <c r="G1231" s="2" t="str">
        <f>TEXT(Table1[[#This Row],[PurchaseDate]],"MMM")</f>
        <v>Feb</v>
      </c>
      <c r="H1231">
        <v>5</v>
      </c>
      <c r="I1231">
        <v>93.9</v>
      </c>
      <c r="J1231" t="s">
        <v>2326</v>
      </c>
      <c r="K1231" t="s">
        <v>18</v>
      </c>
      <c r="L1231" t="s">
        <v>27</v>
      </c>
      <c r="M1231">
        <v>3</v>
      </c>
      <c r="N1231">
        <v>469.5</v>
      </c>
    </row>
    <row r="1232" spans="1:14" x14ac:dyDescent="0.3">
      <c r="A1232" t="s">
        <v>2327</v>
      </c>
      <c r="B1232" t="s">
        <v>21</v>
      </c>
      <c r="C1232" s="1">
        <v>45394</v>
      </c>
      <c r="D1232" s="2">
        <f>YEAR(Table1[[#This Row],[PurchaseDate]])</f>
        <v>2024</v>
      </c>
      <c r="E1232" s="2" t="str">
        <f>"Q"&amp;ROUNDUP(MONTH(Table1[[#This Row],[PurchaseDate]])/3,0)</f>
        <v>Q2</v>
      </c>
      <c r="F1232" s="2">
        <f>MONTH(Table1[[#This Row],[PurchaseDate]])</f>
        <v>4</v>
      </c>
      <c r="G1232" s="2" t="str">
        <f>TEXT(Table1[[#This Row],[PurchaseDate]],"MMM")</f>
        <v>Apr</v>
      </c>
      <c r="H1232">
        <v>8</v>
      </c>
      <c r="I1232">
        <v>152.71</v>
      </c>
      <c r="J1232" t="s">
        <v>2328</v>
      </c>
      <c r="K1232" t="s">
        <v>13</v>
      </c>
      <c r="L1232" t="s">
        <v>14</v>
      </c>
      <c r="M1232">
        <v>4</v>
      </c>
      <c r="N1232">
        <v>1221.68</v>
      </c>
    </row>
    <row r="1233" spans="1:14" x14ac:dyDescent="0.3">
      <c r="A1233" t="s">
        <v>2329</v>
      </c>
      <c r="B1233" t="s">
        <v>29</v>
      </c>
      <c r="C1233" s="1">
        <v>45596</v>
      </c>
      <c r="D1233" s="2">
        <f>YEAR(Table1[[#This Row],[PurchaseDate]])</f>
        <v>2024</v>
      </c>
      <c r="E1233" s="2" t="str">
        <f>"Q"&amp;ROUNDUP(MONTH(Table1[[#This Row],[PurchaseDate]])/3,0)</f>
        <v>Q4</v>
      </c>
      <c r="F1233" s="2">
        <f>MONTH(Table1[[#This Row],[PurchaseDate]])</f>
        <v>10</v>
      </c>
      <c r="G1233" s="2" t="str">
        <f>TEXT(Table1[[#This Row],[PurchaseDate]],"MMM")</f>
        <v>Oct</v>
      </c>
      <c r="H1233">
        <v>7</v>
      </c>
      <c r="I1233">
        <v>653.64</v>
      </c>
      <c r="J1233" t="s">
        <v>2330</v>
      </c>
      <c r="K1233" t="s">
        <v>18</v>
      </c>
      <c r="L1233" t="s">
        <v>14</v>
      </c>
      <c r="M1233">
        <v>5</v>
      </c>
      <c r="N1233">
        <v>4575.4799999999996</v>
      </c>
    </row>
    <row r="1234" spans="1:14" x14ac:dyDescent="0.3">
      <c r="A1234" t="s">
        <v>2331</v>
      </c>
      <c r="B1234" t="s">
        <v>11</v>
      </c>
      <c r="C1234" s="1">
        <v>45806</v>
      </c>
      <c r="D1234" s="2">
        <f>YEAR(Table1[[#This Row],[PurchaseDate]])</f>
        <v>2025</v>
      </c>
      <c r="E1234" s="2" t="str">
        <f>"Q"&amp;ROUNDUP(MONTH(Table1[[#This Row],[PurchaseDate]])/3,0)</f>
        <v>Q2</v>
      </c>
      <c r="F1234" s="2">
        <f>MONTH(Table1[[#This Row],[PurchaseDate]])</f>
        <v>5</v>
      </c>
      <c r="G1234" s="2" t="str">
        <f>TEXT(Table1[[#This Row],[PurchaseDate]],"MMM")</f>
        <v>May</v>
      </c>
      <c r="H1234">
        <v>1</v>
      </c>
      <c r="I1234">
        <v>83.94</v>
      </c>
      <c r="J1234" t="s">
        <v>2332</v>
      </c>
      <c r="K1234" t="s">
        <v>13</v>
      </c>
      <c r="L1234" t="s">
        <v>27</v>
      </c>
      <c r="M1234">
        <v>5</v>
      </c>
      <c r="N1234">
        <v>83.94</v>
      </c>
    </row>
    <row r="1235" spans="1:14" x14ac:dyDescent="0.3">
      <c r="A1235" t="s">
        <v>2333</v>
      </c>
      <c r="B1235" t="s">
        <v>34</v>
      </c>
      <c r="C1235" s="1">
        <v>45448</v>
      </c>
      <c r="D1235" s="2">
        <f>YEAR(Table1[[#This Row],[PurchaseDate]])</f>
        <v>2024</v>
      </c>
      <c r="E1235" s="2" t="str">
        <f>"Q"&amp;ROUNDUP(MONTH(Table1[[#This Row],[PurchaseDate]])/3,0)</f>
        <v>Q2</v>
      </c>
      <c r="F1235" s="2">
        <f>MONTH(Table1[[#This Row],[PurchaseDate]])</f>
        <v>6</v>
      </c>
      <c r="G1235" s="2" t="str">
        <f>TEXT(Table1[[#This Row],[PurchaseDate]],"MMM")</f>
        <v>Jun</v>
      </c>
      <c r="H1235">
        <v>4</v>
      </c>
      <c r="I1235">
        <v>170.91</v>
      </c>
      <c r="J1235" t="s">
        <v>2334</v>
      </c>
      <c r="K1235" t="s">
        <v>18</v>
      </c>
      <c r="L1235" t="s">
        <v>19</v>
      </c>
      <c r="M1235">
        <v>2</v>
      </c>
      <c r="N1235">
        <v>683.64</v>
      </c>
    </row>
    <row r="1236" spans="1:14" x14ac:dyDescent="0.3">
      <c r="A1236" t="s">
        <v>2335</v>
      </c>
      <c r="B1236" t="s">
        <v>42</v>
      </c>
      <c r="C1236" s="1">
        <v>45725</v>
      </c>
      <c r="D1236" s="2">
        <f>YEAR(Table1[[#This Row],[PurchaseDate]])</f>
        <v>2025</v>
      </c>
      <c r="E1236" s="2" t="str">
        <f>"Q"&amp;ROUNDUP(MONTH(Table1[[#This Row],[PurchaseDate]])/3,0)</f>
        <v>Q1</v>
      </c>
      <c r="F1236" s="2">
        <f>MONTH(Table1[[#This Row],[PurchaseDate]])</f>
        <v>3</v>
      </c>
      <c r="G1236" s="2" t="str">
        <f>TEXT(Table1[[#This Row],[PurchaseDate]],"MMM")</f>
        <v>Mar</v>
      </c>
      <c r="H1236">
        <v>8</v>
      </c>
      <c r="I1236">
        <v>335.81</v>
      </c>
      <c r="J1236" t="s">
        <v>2336</v>
      </c>
      <c r="K1236" t="s">
        <v>38</v>
      </c>
      <c r="L1236" t="s">
        <v>19</v>
      </c>
      <c r="M1236">
        <v>1</v>
      </c>
      <c r="N1236">
        <v>2686.48</v>
      </c>
    </row>
    <row r="1237" spans="1:14" x14ac:dyDescent="0.3">
      <c r="A1237" t="s">
        <v>2337</v>
      </c>
      <c r="B1237" t="s">
        <v>34</v>
      </c>
      <c r="C1237" s="1">
        <v>45635</v>
      </c>
      <c r="D1237" s="2">
        <f>YEAR(Table1[[#This Row],[PurchaseDate]])</f>
        <v>2024</v>
      </c>
      <c r="E1237" s="2" t="str">
        <f>"Q"&amp;ROUNDUP(MONTH(Table1[[#This Row],[PurchaseDate]])/3,0)</f>
        <v>Q4</v>
      </c>
      <c r="F1237" s="2">
        <f>MONTH(Table1[[#This Row],[PurchaseDate]])</f>
        <v>12</v>
      </c>
      <c r="G1237" s="2" t="str">
        <f>TEXT(Table1[[#This Row],[PurchaseDate]],"MMM")</f>
        <v>Dec</v>
      </c>
      <c r="H1237">
        <v>4</v>
      </c>
      <c r="I1237">
        <v>229.4</v>
      </c>
      <c r="J1237" t="s">
        <v>2338</v>
      </c>
      <c r="K1237" t="s">
        <v>38</v>
      </c>
      <c r="L1237" t="s">
        <v>19</v>
      </c>
      <c r="M1237">
        <v>1</v>
      </c>
      <c r="N1237">
        <v>917.6</v>
      </c>
    </row>
    <row r="1238" spans="1:14" x14ac:dyDescent="0.3">
      <c r="A1238" t="s">
        <v>2339</v>
      </c>
      <c r="B1238" t="s">
        <v>21</v>
      </c>
      <c r="C1238" s="1">
        <v>45722</v>
      </c>
      <c r="D1238" s="2">
        <f>YEAR(Table1[[#This Row],[PurchaseDate]])</f>
        <v>2025</v>
      </c>
      <c r="E1238" s="2" t="str">
        <f>"Q"&amp;ROUNDUP(MONTH(Table1[[#This Row],[PurchaseDate]])/3,0)</f>
        <v>Q1</v>
      </c>
      <c r="F1238" s="2">
        <f>MONTH(Table1[[#This Row],[PurchaseDate]])</f>
        <v>3</v>
      </c>
      <c r="G1238" s="2" t="str">
        <f>TEXT(Table1[[#This Row],[PurchaseDate]],"MMM")</f>
        <v>Mar</v>
      </c>
      <c r="H1238">
        <v>4</v>
      </c>
      <c r="I1238">
        <v>536.23</v>
      </c>
      <c r="J1238" t="s">
        <v>2340</v>
      </c>
      <c r="K1238" t="s">
        <v>18</v>
      </c>
      <c r="L1238" t="s">
        <v>23</v>
      </c>
      <c r="M1238">
        <v>4</v>
      </c>
      <c r="N1238">
        <v>2144.92</v>
      </c>
    </row>
    <row r="1239" spans="1:14" x14ac:dyDescent="0.3">
      <c r="A1239" t="s">
        <v>2341</v>
      </c>
      <c r="B1239" t="s">
        <v>11</v>
      </c>
      <c r="C1239" s="1">
        <v>45277</v>
      </c>
      <c r="D1239" s="2">
        <f>YEAR(Table1[[#This Row],[PurchaseDate]])</f>
        <v>2023</v>
      </c>
      <c r="E1239" s="2" t="str">
        <f>"Q"&amp;ROUNDUP(MONTH(Table1[[#This Row],[PurchaseDate]])/3,0)</f>
        <v>Q4</v>
      </c>
      <c r="F1239" s="2">
        <f>MONTH(Table1[[#This Row],[PurchaseDate]])</f>
        <v>12</v>
      </c>
      <c r="G1239" s="2" t="str">
        <f>TEXT(Table1[[#This Row],[PurchaseDate]],"MMM")</f>
        <v>Dec</v>
      </c>
      <c r="H1239">
        <v>1</v>
      </c>
      <c r="I1239">
        <v>654.47</v>
      </c>
      <c r="J1239" t="s">
        <v>2342</v>
      </c>
      <c r="K1239" t="s">
        <v>38</v>
      </c>
      <c r="L1239" t="s">
        <v>23</v>
      </c>
      <c r="M1239">
        <v>4</v>
      </c>
      <c r="N1239">
        <v>654.47</v>
      </c>
    </row>
    <row r="1240" spans="1:14" x14ac:dyDescent="0.3">
      <c r="A1240" t="s">
        <v>2343</v>
      </c>
      <c r="B1240" t="s">
        <v>21</v>
      </c>
      <c r="C1240" s="1">
        <v>44927</v>
      </c>
      <c r="D1240" s="2">
        <f>YEAR(Table1[[#This Row],[PurchaseDate]])</f>
        <v>2023</v>
      </c>
      <c r="E1240" s="2" t="str">
        <f>"Q"&amp;ROUNDUP(MONTH(Table1[[#This Row],[PurchaseDate]])/3,0)</f>
        <v>Q1</v>
      </c>
      <c r="F1240" s="2">
        <f>MONTH(Table1[[#This Row],[PurchaseDate]])</f>
        <v>1</v>
      </c>
      <c r="G1240" s="2" t="str">
        <f>TEXT(Table1[[#This Row],[PurchaseDate]],"MMM")</f>
        <v>Jan</v>
      </c>
      <c r="H1240">
        <v>3</v>
      </c>
      <c r="I1240">
        <v>366.1</v>
      </c>
      <c r="J1240" t="s">
        <v>2344</v>
      </c>
      <c r="K1240" t="s">
        <v>13</v>
      </c>
      <c r="L1240" t="s">
        <v>19</v>
      </c>
      <c r="M1240">
        <v>2</v>
      </c>
      <c r="N1240">
        <v>1098.3</v>
      </c>
    </row>
    <row r="1241" spans="1:14" x14ac:dyDescent="0.3">
      <c r="A1241" t="s">
        <v>2345</v>
      </c>
      <c r="B1241" t="s">
        <v>21</v>
      </c>
      <c r="C1241" s="1">
        <v>45002</v>
      </c>
      <c r="D1241" s="2">
        <f>YEAR(Table1[[#This Row],[PurchaseDate]])</f>
        <v>2023</v>
      </c>
      <c r="E1241" s="2" t="str">
        <f>"Q"&amp;ROUNDUP(MONTH(Table1[[#This Row],[PurchaseDate]])/3,0)</f>
        <v>Q1</v>
      </c>
      <c r="F1241" s="2">
        <f>MONTH(Table1[[#This Row],[PurchaseDate]])</f>
        <v>3</v>
      </c>
      <c r="G1241" s="2" t="str">
        <f>TEXT(Table1[[#This Row],[PurchaseDate]],"MMM")</f>
        <v>Mar</v>
      </c>
      <c r="H1241">
        <v>8</v>
      </c>
      <c r="I1241">
        <v>433.99</v>
      </c>
      <c r="J1241" t="s">
        <v>2346</v>
      </c>
      <c r="K1241" t="s">
        <v>38</v>
      </c>
      <c r="L1241" t="s">
        <v>23</v>
      </c>
      <c r="M1241">
        <v>3</v>
      </c>
      <c r="N1241">
        <v>3471.92</v>
      </c>
    </row>
    <row r="1242" spans="1:14" x14ac:dyDescent="0.3">
      <c r="A1242" t="s">
        <v>2347</v>
      </c>
      <c r="B1242" t="s">
        <v>16</v>
      </c>
      <c r="C1242" s="1">
        <v>45667</v>
      </c>
      <c r="D1242" s="2">
        <f>YEAR(Table1[[#This Row],[PurchaseDate]])</f>
        <v>2025</v>
      </c>
      <c r="E1242" s="2" t="str">
        <f>"Q"&amp;ROUNDUP(MONTH(Table1[[#This Row],[PurchaseDate]])/3,0)</f>
        <v>Q1</v>
      </c>
      <c r="F1242" s="2">
        <f>MONTH(Table1[[#This Row],[PurchaseDate]])</f>
        <v>1</v>
      </c>
      <c r="G1242" s="2" t="str">
        <f>TEXT(Table1[[#This Row],[PurchaseDate]],"MMM")</f>
        <v>Jan</v>
      </c>
      <c r="H1242">
        <v>1</v>
      </c>
      <c r="I1242">
        <v>482.69</v>
      </c>
      <c r="J1242" t="s">
        <v>2348</v>
      </c>
      <c r="K1242" t="s">
        <v>18</v>
      </c>
      <c r="L1242" t="s">
        <v>19</v>
      </c>
      <c r="M1242">
        <v>5</v>
      </c>
      <c r="N1242">
        <v>482.69</v>
      </c>
    </row>
    <row r="1243" spans="1:14" x14ac:dyDescent="0.3">
      <c r="A1243" t="s">
        <v>2349</v>
      </c>
      <c r="B1243" t="s">
        <v>42</v>
      </c>
      <c r="C1243" s="1">
        <v>44974</v>
      </c>
      <c r="D1243" s="2">
        <f>YEAR(Table1[[#This Row],[PurchaseDate]])</f>
        <v>2023</v>
      </c>
      <c r="E1243" s="2" t="str">
        <f>"Q"&amp;ROUNDUP(MONTH(Table1[[#This Row],[PurchaseDate]])/3,0)</f>
        <v>Q1</v>
      </c>
      <c r="F1243" s="2">
        <f>MONTH(Table1[[#This Row],[PurchaseDate]])</f>
        <v>2</v>
      </c>
      <c r="G1243" s="2" t="str">
        <f>TEXT(Table1[[#This Row],[PurchaseDate]],"MMM")</f>
        <v>Feb</v>
      </c>
      <c r="H1243">
        <v>3</v>
      </c>
      <c r="I1243">
        <v>695.18</v>
      </c>
      <c r="J1243" t="s">
        <v>2350</v>
      </c>
      <c r="K1243" t="s">
        <v>18</v>
      </c>
      <c r="L1243" t="s">
        <v>58</v>
      </c>
      <c r="M1243">
        <v>1</v>
      </c>
      <c r="N1243">
        <v>2085.54</v>
      </c>
    </row>
    <row r="1244" spans="1:14" x14ac:dyDescent="0.3">
      <c r="A1244" t="s">
        <v>2351</v>
      </c>
      <c r="B1244" t="s">
        <v>16</v>
      </c>
      <c r="C1244" s="1">
        <v>45258</v>
      </c>
      <c r="D1244" s="2">
        <f>YEAR(Table1[[#This Row],[PurchaseDate]])</f>
        <v>2023</v>
      </c>
      <c r="E1244" s="2" t="str">
        <f>"Q"&amp;ROUNDUP(MONTH(Table1[[#This Row],[PurchaseDate]])/3,0)</f>
        <v>Q4</v>
      </c>
      <c r="F1244" s="2">
        <f>MONTH(Table1[[#This Row],[PurchaseDate]])</f>
        <v>11</v>
      </c>
      <c r="G1244" s="2" t="str">
        <f>TEXT(Table1[[#This Row],[PurchaseDate]],"MMM")</f>
        <v>Nov</v>
      </c>
      <c r="H1244">
        <v>7</v>
      </c>
      <c r="I1244">
        <v>194.8</v>
      </c>
      <c r="J1244" t="s">
        <v>2352</v>
      </c>
      <c r="K1244" t="s">
        <v>38</v>
      </c>
      <c r="L1244" t="s">
        <v>19</v>
      </c>
      <c r="M1244">
        <v>4</v>
      </c>
      <c r="N1244">
        <v>1363.6</v>
      </c>
    </row>
    <row r="1245" spans="1:14" x14ac:dyDescent="0.3">
      <c r="A1245" t="s">
        <v>2353</v>
      </c>
      <c r="B1245" t="s">
        <v>34</v>
      </c>
      <c r="C1245" s="1">
        <v>45593</v>
      </c>
      <c r="D1245" s="2">
        <f>YEAR(Table1[[#This Row],[PurchaseDate]])</f>
        <v>2024</v>
      </c>
      <c r="E1245" s="2" t="str">
        <f>"Q"&amp;ROUNDUP(MONTH(Table1[[#This Row],[PurchaseDate]])/3,0)</f>
        <v>Q4</v>
      </c>
      <c r="F1245" s="2">
        <f>MONTH(Table1[[#This Row],[PurchaseDate]])</f>
        <v>10</v>
      </c>
      <c r="G1245" s="2" t="str">
        <f>TEXT(Table1[[#This Row],[PurchaseDate]],"MMM")</f>
        <v>Oct</v>
      </c>
      <c r="H1245">
        <v>2</v>
      </c>
      <c r="I1245">
        <v>173.39</v>
      </c>
      <c r="J1245" t="s">
        <v>2354</v>
      </c>
      <c r="K1245" t="s">
        <v>18</v>
      </c>
      <c r="L1245" t="s">
        <v>23</v>
      </c>
      <c r="M1245">
        <v>1</v>
      </c>
      <c r="N1245">
        <v>346.78</v>
      </c>
    </row>
    <row r="1246" spans="1:14" x14ac:dyDescent="0.3">
      <c r="A1246" t="s">
        <v>2355</v>
      </c>
      <c r="B1246" t="s">
        <v>42</v>
      </c>
      <c r="C1246" s="1">
        <v>45315</v>
      </c>
      <c r="D1246" s="2">
        <f>YEAR(Table1[[#This Row],[PurchaseDate]])</f>
        <v>2024</v>
      </c>
      <c r="E1246" s="2" t="str">
        <f>"Q"&amp;ROUNDUP(MONTH(Table1[[#This Row],[PurchaseDate]])/3,0)</f>
        <v>Q1</v>
      </c>
      <c r="F1246" s="2">
        <f>MONTH(Table1[[#This Row],[PurchaseDate]])</f>
        <v>1</v>
      </c>
      <c r="G1246" s="2" t="str">
        <f>TEXT(Table1[[#This Row],[PurchaseDate]],"MMM")</f>
        <v>Jan</v>
      </c>
      <c r="H1246">
        <v>7</v>
      </c>
      <c r="I1246">
        <v>511.56</v>
      </c>
      <c r="J1246" t="s">
        <v>2356</v>
      </c>
      <c r="K1246" t="s">
        <v>13</v>
      </c>
      <c r="L1246" t="s">
        <v>14</v>
      </c>
      <c r="M1246">
        <v>3</v>
      </c>
      <c r="N1246">
        <v>3580.92</v>
      </c>
    </row>
    <row r="1247" spans="1:14" x14ac:dyDescent="0.3">
      <c r="A1247" t="s">
        <v>1867</v>
      </c>
      <c r="B1247" t="s">
        <v>16</v>
      </c>
      <c r="C1247" s="1">
        <v>45056</v>
      </c>
      <c r="D1247" s="2">
        <f>YEAR(Table1[[#This Row],[PurchaseDate]])</f>
        <v>2023</v>
      </c>
      <c r="E1247" s="2" t="str">
        <f>"Q"&amp;ROUNDUP(MONTH(Table1[[#This Row],[PurchaseDate]])/3,0)</f>
        <v>Q2</v>
      </c>
      <c r="F1247" s="2">
        <f>MONTH(Table1[[#This Row],[PurchaseDate]])</f>
        <v>5</v>
      </c>
      <c r="G1247" s="2" t="str">
        <f>TEXT(Table1[[#This Row],[PurchaseDate]],"MMM")</f>
        <v>May</v>
      </c>
      <c r="H1247">
        <v>6</v>
      </c>
      <c r="I1247">
        <v>653</v>
      </c>
      <c r="J1247" t="s">
        <v>1868</v>
      </c>
      <c r="K1247" t="s">
        <v>13</v>
      </c>
      <c r="L1247" t="s">
        <v>19</v>
      </c>
      <c r="M1247">
        <v>4</v>
      </c>
      <c r="N1247">
        <v>3918</v>
      </c>
    </row>
    <row r="1248" spans="1:14" x14ac:dyDescent="0.3">
      <c r="A1248" t="s">
        <v>2357</v>
      </c>
      <c r="B1248" t="s">
        <v>25</v>
      </c>
      <c r="C1248" s="1">
        <v>45691</v>
      </c>
      <c r="D1248" s="2">
        <f>YEAR(Table1[[#This Row],[PurchaseDate]])</f>
        <v>2025</v>
      </c>
      <c r="E1248" s="2" t="str">
        <f>"Q"&amp;ROUNDUP(MONTH(Table1[[#This Row],[PurchaseDate]])/3,0)</f>
        <v>Q1</v>
      </c>
      <c r="F1248" s="2">
        <f>MONTH(Table1[[#This Row],[PurchaseDate]])</f>
        <v>2</v>
      </c>
      <c r="G1248" s="2" t="str">
        <f>TEXT(Table1[[#This Row],[PurchaseDate]],"MMM")</f>
        <v>Feb</v>
      </c>
      <c r="H1248">
        <v>7</v>
      </c>
      <c r="I1248">
        <v>354.53</v>
      </c>
      <c r="J1248" t="s">
        <v>2358</v>
      </c>
      <c r="K1248" t="s">
        <v>13</v>
      </c>
      <c r="L1248" t="s">
        <v>19</v>
      </c>
      <c r="M1248">
        <v>3</v>
      </c>
      <c r="N1248">
        <v>2481.71</v>
      </c>
    </row>
    <row r="1249" spans="1:14" x14ac:dyDescent="0.3">
      <c r="A1249" t="s">
        <v>2359</v>
      </c>
      <c r="B1249" t="s">
        <v>42</v>
      </c>
      <c r="C1249" s="1">
        <v>45211</v>
      </c>
      <c r="D1249" s="2">
        <f>YEAR(Table1[[#This Row],[PurchaseDate]])</f>
        <v>2023</v>
      </c>
      <c r="E1249" s="2" t="str">
        <f>"Q"&amp;ROUNDUP(MONTH(Table1[[#This Row],[PurchaseDate]])/3,0)</f>
        <v>Q4</v>
      </c>
      <c r="F1249" s="2">
        <f>MONTH(Table1[[#This Row],[PurchaseDate]])</f>
        <v>10</v>
      </c>
      <c r="G1249" s="2" t="str">
        <f>TEXT(Table1[[#This Row],[PurchaseDate]],"MMM")</f>
        <v>Oct</v>
      </c>
      <c r="H1249">
        <v>6</v>
      </c>
      <c r="I1249">
        <v>685.4</v>
      </c>
      <c r="J1249" t="s">
        <v>2360</v>
      </c>
      <c r="K1249" t="s">
        <v>38</v>
      </c>
      <c r="L1249" t="s">
        <v>19</v>
      </c>
      <c r="M1249">
        <v>3</v>
      </c>
      <c r="N1249">
        <v>4112.3999999999996</v>
      </c>
    </row>
    <row r="1250" spans="1:14" x14ac:dyDescent="0.3">
      <c r="A1250" t="s">
        <v>2361</v>
      </c>
      <c r="B1250" t="s">
        <v>34</v>
      </c>
      <c r="C1250" s="1">
        <v>45822</v>
      </c>
      <c r="D1250" s="2">
        <f>YEAR(Table1[[#This Row],[PurchaseDate]])</f>
        <v>2025</v>
      </c>
      <c r="E1250" s="2" t="str">
        <f>"Q"&amp;ROUNDUP(MONTH(Table1[[#This Row],[PurchaseDate]])/3,0)</f>
        <v>Q2</v>
      </c>
      <c r="F1250" s="2">
        <f>MONTH(Table1[[#This Row],[PurchaseDate]])</f>
        <v>6</v>
      </c>
      <c r="G1250" s="2" t="str">
        <f>TEXT(Table1[[#This Row],[PurchaseDate]],"MMM")</f>
        <v>Jun</v>
      </c>
      <c r="H1250">
        <v>3</v>
      </c>
      <c r="I1250">
        <v>194.47</v>
      </c>
      <c r="J1250" t="s">
        <v>2362</v>
      </c>
      <c r="K1250" t="s">
        <v>38</v>
      </c>
      <c r="L1250" t="s">
        <v>23</v>
      </c>
      <c r="M1250">
        <v>2</v>
      </c>
      <c r="N1250">
        <v>583.41</v>
      </c>
    </row>
    <row r="1251" spans="1:14" x14ac:dyDescent="0.3">
      <c r="A1251" t="s">
        <v>2363</v>
      </c>
      <c r="B1251" t="s">
        <v>21</v>
      </c>
      <c r="C1251" s="1">
        <v>45477</v>
      </c>
      <c r="D1251" s="2">
        <f>YEAR(Table1[[#This Row],[PurchaseDate]])</f>
        <v>2024</v>
      </c>
      <c r="E1251" s="2" t="str">
        <f>"Q"&amp;ROUNDUP(MONTH(Table1[[#This Row],[PurchaseDate]])/3,0)</f>
        <v>Q3</v>
      </c>
      <c r="F1251" s="2">
        <f>MONTH(Table1[[#This Row],[PurchaseDate]])</f>
        <v>7</v>
      </c>
      <c r="G1251" s="2" t="str">
        <f>TEXT(Table1[[#This Row],[PurchaseDate]],"MMM")</f>
        <v>Jul</v>
      </c>
      <c r="H1251">
        <v>7</v>
      </c>
      <c r="I1251">
        <v>277.24</v>
      </c>
      <c r="J1251" t="s">
        <v>2364</v>
      </c>
      <c r="K1251" t="s">
        <v>18</v>
      </c>
      <c r="L1251" t="s">
        <v>23</v>
      </c>
      <c r="M1251">
        <v>4</v>
      </c>
      <c r="N1251">
        <v>1940.68</v>
      </c>
    </row>
    <row r="1252" spans="1:14" x14ac:dyDescent="0.3">
      <c r="A1252" t="s">
        <v>2365</v>
      </c>
      <c r="B1252" t="s">
        <v>11</v>
      </c>
      <c r="C1252" s="1">
        <v>45459</v>
      </c>
      <c r="D1252" s="2">
        <f>YEAR(Table1[[#This Row],[PurchaseDate]])</f>
        <v>2024</v>
      </c>
      <c r="E1252" s="2" t="str">
        <f>"Q"&amp;ROUNDUP(MONTH(Table1[[#This Row],[PurchaseDate]])/3,0)</f>
        <v>Q2</v>
      </c>
      <c r="F1252" s="2">
        <f>MONTH(Table1[[#This Row],[PurchaseDate]])</f>
        <v>6</v>
      </c>
      <c r="G1252" s="2" t="str">
        <f>TEXT(Table1[[#This Row],[PurchaseDate]],"MMM")</f>
        <v>Jun</v>
      </c>
      <c r="H1252">
        <v>3</v>
      </c>
      <c r="I1252">
        <v>759.6</v>
      </c>
      <c r="J1252" t="s">
        <v>2366</v>
      </c>
      <c r="K1252" t="s">
        <v>18</v>
      </c>
      <c r="L1252" t="s">
        <v>23</v>
      </c>
      <c r="M1252">
        <v>5</v>
      </c>
      <c r="N1252">
        <v>2278.8000000000002</v>
      </c>
    </row>
    <row r="1253" spans="1:14" x14ac:dyDescent="0.3">
      <c r="A1253" t="s">
        <v>2367</v>
      </c>
      <c r="B1253" t="s">
        <v>42</v>
      </c>
      <c r="C1253" s="1">
        <v>45425</v>
      </c>
      <c r="D1253" s="2">
        <f>YEAR(Table1[[#This Row],[PurchaseDate]])</f>
        <v>2024</v>
      </c>
      <c r="E1253" s="2" t="str">
        <f>"Q"&amp;ROUNDUP(MONTH(Table1[[#This Row],[PurchaseDate]])/3,0)</f>
        <v>Q2</v>
      </c>
      <c r="F1253" s="2">
        <f>MONTH(Table1[[#This Row],[PurchaseDate]])</f>
        <v>5</v>
      </c>
      <c r="G1253" s="2" t="str">
        <f>TEXT(Table1[[#This Row],[PurchaseDate]],"MMM")</f>
        <v>May</v>
      </c>
      <c r="H1253">
        <v>7</v>
      </c>
      <c r="I1253">
        <v>656.21</v>
      </c>
      <c r="J1253" t="s">
        <v>2368</v>
      </c>
      <c r="K1253" t="s">
        <v>18</v>
      </c>
      <c r="L1253" t="s">
        <v>14</v>
      </c>
      <c r="M1253">
        <v>5</v>
      </c>
      <c r="N1253">
        <v>4593.47</v>
      </c>
    </row>
    <row r="1254" spans="1:14" x14ac:dyDescent="0.3">
      <c r="A1254" t="s">
        <v>2369</v>
      </c>
      <c r="B1254" t="s">
        <v>34</v>
      </c>
      <c r="C1254" s="1">
        <v>45118</v>
      </c>
      <c r="D1254" s="2">
        <f>YEAR(Table1[[#This Row],[PurchaseDate]])</f>
        <v>2023</v>
      </c>
      <c r="E1254" s="2" t="str">
        <f>"Q"&amp;ROUNDUP(MONTH(Table1[[#This Row],[PurchaseDate]])/3,0)</f>
        <v>Q3</v>
      </c>
      <c r="F1254" s="2">
        <f>MONTH(Table1[[#This Row],[PurchaseDate]])</f>
        <v>7</v>
      </c>
      <c r="G1254" s="2" t="str">
        <f>TEXT(Table1[[#This Row],[PurchaseDate]],"MMM")</f>
        <v>Jul</v>
      </c>
      <c r="H1254">
        <v>5</v>
      </c>
      <c r="I1254">
        <v>476.01</v>
      </c>
      <c r="J1254" t="s">
        <v>2370</v>
      </c>
      <c r="K1254" t="s">
        <v>38</v>
      </c>
      <c r="L1254" t="s">
        <v>27</v>
      </c>
      <c r="M1254">
        <v>4</v>
      </c>
      <c r="N1254">
        <v>2380.0500000000002</v>
      </c>
    </row>
    <row r="1255" spans="1:14" x14ac:dyDescent="0.3">
      <c r="A1255" t="s">
        <v>2371</v>
      </c>
      <c r="B1255" t="s">
        <v>29</v>
      </c>
      <c r="C1255" s="1">
        <v>45510</v>
      </c>
      <c r="D1255" s="2">
        <f>YEAR(Table1[[#This Row],[PurchaseDate]])</f>
        <v>2024</v>
      </c>
      <c r="E1255" s="2" t="str">
        <f>"Q"&amp;ROUNDUP(MONTH(Table1[[#This Row],[PurchaseDate]])/3,0)</f>
        <v>Q3</v>
      </c>
      <c r="F1255" s="2">
        <f>MONTH(Table1[[#This Row],[PurchaseDate]])</f>
        <v>8</v>
      </c>
      <c r="G1255" s="2" t="str">
        <f>TEXT(Table1[[#This Row],[PurchaseDate]],"MMM")</f>
        <v>Aug</v>
      </c>
      <c r="H1255">
        <v>1</v>
      </c>
      <c r="I1255">
        <v>199.99</v>
      </c>
      <c r="J1255" t="s">
        <v>2372</v>
      </c>
      <c r="K1255" t="s">
        <v>18</v>
      </c>
      <c r="L1255" t="s">
        <v>23</v>
      </c>
      <c r="M1255">
        <v>1</v>
      </c>
      <c r="N1255">
        <v>199.99</v>
      </c>
    </row>
    <row r="1256" spans="1:14" x14ac:dyDescent="0.3">
      <c r="A1256" t="s">
        <v>2373</v>
      </c>
      <c r="B1256" t="s">
        <v>16</v>
      </c>
      <c r="C1256" s="1">
        <v>45130</v>
      </c>
      <c r="D1256" s="2">
        <f>YEAR(Table1[[#This Row],[PurchaseDate]])</f>
        <v>2023</v>
      </c>
      <c r="E1256" s="2" t="str">
        <f>"Q"&amp;ROUNDUP(MONTH(Table1[[#This Row],[PurchaseDate]])/3,0)</f>
        <v>Q3</v>
      </c>
      <c r="F1256" s="2">
        <f>MONTH(Table1[[#This Row],[PurchaseDate]])</f>
        <v>7</v>
      </c>
      <c r="G1256" s="2" t="str">
        <f>TEXT(Table1[[#This Row],[PurchaseDate]],"MMM")</f>
        <v>Jul</v>
      </c>
      <c r="H1256">
        <v>1</v>
      </c>
      <c r="I1256">
        <v>503.37</v>
      </c>
      <c r="J1256" t="s">
        <v>2374</v>
      </c>
      <c r="K1256" t="s">
        <v>38</v>
      </c>
      <c r="L1256" t="s">
        <v>14</v>
      </c>
      <c r="M1256">
        <v>3</v>
      </c>
      <c r="N1256">
        <v>503.37</v>
      </c>
    </row>
    <row r="1257" spans="1:14" x14ac:dyDescent="0.3">
      <c r="A1257" t="s">
        <v>2375</v>
      </c>
      <c r="B1257" t="s">
        <v>29</v>
      </c>
      <c r="C1257" s="1">
        <v>45394</v>
      </c>
      <c r="D1257" s="2">
        <f>YEAR(Table1[[#This Row],[PurchaseDate]])</f>
        <v>2024</v>
      </c>
      <c r="E1257" s="2" t="str">
        <f>"Q"&amp;ROUNDUP(MONTH(Table1[[#This Row],[PurchaseDate]])/3,0)</f>
        <v>Q2</v>
      </c>
      <c r="F1257" s="2">
        <f>MONTH(Table1[[#This Row],[PurchaseDate]])</f>
        <v>4</v>
      </c>
      <c r="G1257" s="2" t="str">
        <f>TEXT(Table1[[#This Row],[PurchaseDate]],"MMM")</f>
        <v>Apr</v>
      </c>
      <c r="H1257">
        <v>3</v>
      </c>
      <c r="I1257">
        <v>444.27</v>
      </c>
      <c r="J1257" t="s">
        <v>2376</v>
      </c>
      <c r="K1257" t="s">
        <v>38</v>
      </c>
      <c r="L1257" t="s">
        <v>19</v>
      </c>
      <c r="M1257">
        <v>2</v>
      </c>
      <c r="N1257">
        <v>1332.81</v>
      </c>
    </row>
    <row r="1258" spans="1:14" x14ac:dyDescent="0.3">
      <c r="A1258" t="s">
        <v>2377</v>
      </c>
      <c r="B1258" t="s">
        <v>21</v>
      </c>
      <c r="C1258" s="1">
        <v>45327</v>
      </c>
      <c r="D1258" s="2">
        <f>YEAR(Table1[[#This Row],[PurchaseDate]])</f>
        <v>2024</v>
      </c>
      <c r="E1258" s="2" t="str">
        <f>"Q"&amp;ROUNDUP(MONTH(Table1[[#This Row],[PurchaseDate]])/3,0)</f>
        <v>Q1</v>
      </c>
      <c r="F1258" s="2">
        <f>MONTH(Table1[[#This Row],[PurchaseDate]])</f>
        <v>2</v>
      </c>
      <c r="G1258" s="2" t="str">
        <f>TEXT(Table1[[#This Row],[PurchaseDate]],"MMM")</f>
        <v>Feb</v>
      </c>
      <c r="H1258">
        <v>2</v>
      </c>
      <c r="I1258">
        <v>236.14</v>
      </c>
      <c r="J1258" t="s">
        <v>2378</v>
      </c>
      <c r="K1258" t="s">
        <v>18</v>
      </c>
      <c r="L1258" t="s">
        <v>23</v>
      </c>
      <c r="M1258">
        <v>2</v>
      </c>
      <c r="N1258">
        <v>472.28</v>
      </c>
    </row>
    <row r="1259" spans="1:14" x14ac:dyDescent="0.3">
      <c r="A1259" t="s">
        <v>2379</v>
      </c>
      <c r="B1259" t="s">
        <v>34</v>
      </c>
      <c r="C1259" s="1">
        <v>45648</v>
      </c>
      <c r="D1259" s="2">
        <f>YEAR(Table1[[#This Row],[PurchaseDate]])</f>
        <v>2024</v>
      </c>
      <c r="E1259" s="2" t="str">
        <f>"Q"&amp;ROUNDUP(MONTH(Table1[[#This Row],[PurchaseDate]])/3,0)</f>
        <v>Q4</v>
      </c>
      <c r="F1259" s="2">
        <f>MONTH(Table1[[#This Row],[PurchaseDate]])</f>
        <v>12</v>
      </c>
      <c r="G1259" s="2" t="str">
        <f>TEXT(Table1[[#This Row],[PurchaseDate]],"MMM")</f>
        <v>Dec</v>
      </c>
      <c r="H1259">
        <v>8</v>
      </c>
      <c r="I1259">
        <v>171.58</v>
      </c>
      <c r="J1259" t="s">
        <v>2380</v>
      </c>
      <c r="K1259" t="s">
        <v>13</v>
      </c>
      <c r="L1259" t="s">
        <v>27</v>
      </c>
      <c r="M1259">
        <v>4</v>
      </c>
      <c r="N1259">
        <v>1372.64</v>
      </c>
    </row>
    <row r="1260" spans="1:14" x14ac:dyDescent="0.3">
      <c r="A1260" t="s">
        <v>2381</v>
      </c>
      <c r="B1260" t="s">
        <v>11</v>
      </c>
      <c r="C1260" s="1">
        <v>45662</v>
      </c>
      <c r="D1260" s="2">
        <f>YEAR(Table1[[#This Row],[PurchaseDate]])</f>
        <v>2025</v>
      </c>
      <c r="E1260" s="2" t="str">
        <f>"Q"&amp;ROUNDUP(MONTH(Table1[[#This Row],[PurchaseDate]])/3,0)</f>
        <v>Q1</v>
      </c>
      <c r="F1260" s="2">
        <f>MONTH(Table1[[#This Row],[PurchaseDate]])</f>
        <v>1</v>
      </c>
      <c r="G1260" s="2" t="str">
        <f>TEXT(Table1[[#This Row],[PurchaseDate]],"MMM")</f>
        <v>Jan</v>
      </c>
      <c r="H1260">
        <v>6</v>
      </c>
      <c r="I1260">
        <v>139.58000000000001</v>
      </c>
      <c r="J1260" t="s">
        <v>2382</v>
      </c>
      <c r="K1260" t="s">
        <v>38</v>
      </c>
      <c r="L1260" t="s">
        <v>19</v>
      </c>
      <c r="M1260">
        <v>4</v>
      </c>
      <c r="N1260">
        <v>837.48</v>
      </c>
    </row>
    <row r="1261" spans="1:14" x14ac:dyDescent="0.3">
      <c r="A1261" t="s">
        <v>1141</v>
      </c>
      <c r="B1261" t="s">
        <v>34</v>
      </c>
      <c r="C1261" s="1">
        <v>45777</v>
      </c>
      <c r="D1261" s="2">
        <f>YEAR(Table1[[#This Row],[PurchaseDate]])</f>
        <v>2025</v>
      </c>
      <c r="E1261" s="2" t="str">
        <f>"Q"&amp;ROUNDUP(MONTH(Table1[[#This Row],[PurchaseDate]])/3,0)</f>
        <v>Q2</v>
      </c>
      <c r="F1261" s="2">
        <f>MONTH(Table1[[#This Row],[PurchaseDate]])</f>
        <v>4</v>
      </c>
      <c r="G1261" s="2" t="str">
        <f>TEXT(Table1[[#This Row],[PurchaseDate]],"MMM")</f>
        <v>Apr</v>
      </c>
      <c r="H1261">
        <v>5</v>
      </c>
      <c r="I1261">
        <v>667.3</v>
      </c>
      <c r="J1261" t="s">
        <v>1142</v>
      </c>
      <c r="K1261" t="s">
        <v>18</v>
      </c>
      <c r="L1261" t="s">
        <v>14</v>
      </c>
      <c r="M1261">
        <v>1</v>
      </c>
      <c r="N1261">
        <v>3336.5</v>
      </c>
    </row>
    <row r="1262" spans="1:14" x14ac:dyDescent="0.3">
      <c r="A1262" t="s">
        <v>2383</v>
      </c>
      <c r="B1262" t="s">
        <v>25</v>
      </c>
      <c r="C1262" s="1">
        <v>45106</v>
      </c>
      <c r="D1262" s="2">
        <f>YEAR(Table1[[#This Row],[PurchaseDate]])</f>
        <v>2023</v>
      </c>
      <c r="E1262" s="2" t="str">
        <f>"Q"&amp;ROUNDUP(MONTH(Table1[[#This Row],[PurchaseDate]])/3,0)</f>
        <v>Q2</v>
      </c>
      <c r="F1262" s="2">
        <f>MONTH(Table1[[#This Row],[PurchaseDate]])</f>
        <v>6</v>
      </c>
      <c r="G1262" s="2" t="str">
        <f>TEXT(Table1[[#This Row],[PurchaseDate]],"MMM")</f>
        <v>Jun</v>
      </c>
      <c r="H1262">
        <v>8</v>
      </c>
      <c r="I1262">
        <v>265.70999999999998</v>
      </c>
      <c r="J1262" t="s">
        <v>2384</v>
      </c>
      <c r="K1262" t="s">
        <v>13</v>
      </c>
      <c r="L1262" t="s">
        <v>19</v>
      </c>
      <c r="M1262">
        <v>4</v>
      </c>
      <c r="N1262">
        <v>2125.6799999999998</v>
      </c>
    </row>
    <row r="1263" spans="1:14" x14ac:dyDescent="0.3">
      <c r="A1263" t="s">
        <v>2385</v>
      </c>
      <c r="B1263" t="s">
        <v>25</v>
      </c>
      <c r="C1263" s="1">
        <v>45516</v>
      </c>
      <c r="D1263" s="2">
        <f>YEAR(Table1[[#This Row],[PurchaseDate]])</f>
        <v>2024</v>
      </c>
      <c r="E1263" s="2" t="str">
        <f>"Q"&amp;ROUNDUP(MONTH(Table1[[#This Row],[PurchaseDate]])/3,0)</f>
        <v>Q3</v>
      </c>
      <c r="F1263" s="2">
        <f>MONTH(Table1[[#This Row],[PurchaseDate]])</f>
        <v>8</v>
      </c>
      <c r="G1263" s="2" t="str">
        <f>TEXT(Table1[[#This Row],[PurchaseDate]],"MMM")</f>
        <v>Aug</v>
      </c>
      <c r="H1263">
        <v>8</v>
      </c>
      <c r="I1263">
        <v>407.6</v>
      </c>
      <c r="J1263" t="s">
        <v>2386</v>
      </c>
      <c r="K1263" t="s">
        <v>38</v>
      </c>
      <c r="L1263" t="s">
        <v>27</v>
      </c>
      <c r="M1263">
        <v>4</v>
      </c>
      <c r="N1263">
        <v>3260.8</v>
      </c>
    </row>
    <row r="1264" spans="1:14" x14ac:dyDescent="0.3">
      <c r="A1264" t="s">
        <v>2387</v>
      </c>
      <c r="B1264" t="s">
        <v>42</v>
      </c>
      <c r="C1264" s="1">
        <v>45598</v>
      </c>
      <c r="D1264" s="2">
        <f>YEAR(Table1[[#This Row],[PurchaseDate]])</f>
        <v>2024</v>
      </c>
      <c r="E1264" s="2" t="str">
        <f>"Q"&amp;ROUNDUP(MONTH(Table1[[#This Row],[PurchaseDate]])/3,0)</f>
        <v>Q4</v>
      </c>
      <c r="F1264" s="2">
        <f>MONTH(Table1[[#This Row],[PurchaseDate]])</f>
        <v>11</v>
      </c>
      <c r="G1264" s="2" t="str">
        <f>TEXT(Table1[[#This Row],[PurchaseDate]],"MMM")</f>
        <v>Nov</v>
      </c>
      <c r="H1264">
        <v>3</v>
      </c>
      <c r="I1264">
        <v>300.82</v>
      </c>
      <c r="J1264" t="s">
        <v>2388</v>
      </c>
      <c r="K1264" t="s">
        <v>18</v>
      </c>
      <c r="L1264" t="s">
        <v>58</v>
      </c>
      <c r="M1264">
        <v>2</v>
      </c>
      <c r="N1264">
        <v>902.46</v>
      </c>
    </row>
    <row r="1265" spans="1:14" x14ac:dyDescent="0.3">
      <c r="A1265" t="s">
        <v>2389</v>
      </c>
      <c r="B1265" t="s">
        <v>34</v>
      </c>
      <c r="C1265" s="1">
        <v>45262</v>
      </c>
      <c r="D1265" s="2">
        <f>YEAR(Table1[[#This Row],[PurchaseDate]])</f>
        <v>2023</v>
      </c>
      <c r="E1265" s="2" t="str">
        <f>"Q"&amp;ROUNDUP(MONTH(Table1[[#This Row],[PurchaseDate]])/3,0)</f>
        <v>Q4</v>
      </c>
      <c r="F1265" s="2">
        <f>MONTH(Table1[[#This Row],[PurchaseDate]])</f>
        <v>12</v>
      </c>
      <c r="G1265" s="2" t="str">
        <f>TEXT(Table1[[#This Row],[PurchaseDate]],"MMM")</f>
        <v>Dec</v>
      </c>
      <c r="H1265">
        <v>2</v>
      </c>
      <c r="I1265">
        <v>113.13</v>
      </c>
      <c r="J1265" t="s">
        <v>2390</v>
      </c>
      <c r="K1265" t="s">
        <v>18</v>
      </c>
      <c r="L1265" t="s">
        <v>14</v>
      </c>
      <c r="M1265">
        <v>3</v>
      </c>
      <c r="N1265">
        <v>226.26</v>
      </c>
    </row>
    <row r="1266" spans="1:14" x14ac:dyDescent="0.3">
      <c r="A1266" t="s">
        <v>2391</v>
      </c>
      <c r="B1266" t="s">
        <v>42</v>
      </c>
      <c r="C1266" s="1">
        <v>45407</v>
      </c>
      <c r="D1266" s="2">
        <f>YEAR(Table1[[#This Row],[PurchaseDate]])</f>
        <v>2024</v>
      </c>
      <c r="E1266" s="2" t="str">
        <f>"Q"&amp;ROUNDUP(MONTH(Table1[[#This Row],[PurchaseDate]])/3,0)</f>
        <v>Q2</v>
      </c>
      <c r="F1266" s="2">
        <f>MONTH(Table1[[#This Row],[PurchaseDate]])</f>
        <v>4</v>
      </c>
      <c r="G1266" s="2" t="str">
        <f>TEXT(Table1[[#This Row],[PurchaseDate]],"MMM")</f>
        <v>Apr</v>
      </c>
      <c r="H1266">
        <v>3</v>
      </c>
      <c r="I1266">
        <v>292.42</v>
      </c>
      <c r="J1266" t="s">
        <v>2392</v>
      </c>
      <c r="K1266" t="s">
        <v>13</v>
      </c>
      <c r="L1266" t="s">
        <v>14</v>
      </c>
      <c r="M1266">
        <v>4</v>
      </c>
      <c r="N1266">
        <v>877.26</v>
      </c>
    </row>
    <row r="1267" spans="1:14" x14ac:dyDescent="0.3">
      <c r="A1267" t="s">
        <v>2393</v>
      </c>
      <c r="B1267" t="s">
        <v>34</v>
      </c>
      <c r="C1267" s="1">
        <v>45179</v>
      </c>
      <c r="D1267" s="2">
        <f>YEAR(Table1[[#This Row],[PurchaseDate]])</f>
        <v>2023</v>
      </c>
      <c r="E1267" s="2" t="str">
        <f>"Q"&amp;ROUNDUP(MONTH(Table1[[#This Row],[PurchaseDate]])/3,0)</f>
        <v>Q3</v>
      </c>
      <c r="F1267" s="2">
        <f>MONTH(Table1[[#This Row],[PurchaseDate]])</f>
        <v>9</v>
      </c>
      <c r="G1267" s="2" t="str">
        <f>TEXT(Table1[[#This Row],[PurchaseDate]],"MMM")</f>
        <v>Sep</v>
      </c>
      <c r="H1267">
        <v>4</v>
      </c>
      <c r="I1267">
        <v>134.59</v>
      </c>
      <c r="J1267" t="s">
        <v>2394</v>
      </c>
      <c r="K1267" t="s">
        <v>38</v>
      </c>
      <c r="L1267" t="s">
        <v>58</v>
      </c>
      <c r="M1267">
        <v>3</v>
      </c>
      <c r="N1267">
        <v>538.36</v>
      </c>
    </row>
    <row r="1268" spans="1:14" x14ac:dyDescent="0.3">
      <c r="A1268" t="s">
        <v>2395</v>
      </c>
      <c r="B1268" t="s">
        <v>29</v>
      </c>
      <c r="C1268" s="1">
        <v>45141</v>
      </c>
      <c r="D1268" s="2">
        <f>YEAR(Table1[[#This Row],[PurchaseDate]])</f>
        <v>2023</v>
      </c>
      <c r="E1268" s="2" t="str">
        <f>"Q"&amp;ROUNDUP(MONTH(Table1[[#This Row],[PurchaseDate]])/3,0)</f>
        <v>Q3</v>
      </c>
      <c r="F1268" s="2">
        <f>MONTH(Table1[[#This Row],[PurchaseDate]])</f>
        <v>8</v>
      </c>
      <c r="G1268" s="2" t="str">
        <f>TEXT(Table1[[#This Row],[PurchaseDate]],"MMM")</f>
        <v>Aug</v>
      </c>
      <c r="H1268">
        <v>1</v>
      </c>
      <c r="I1268">
        <v>563.53</v>
      </c>
      <c r="J1268" t="s">
        <v>2396</v>
      </c>
      <c r="K1268" t="s">
        <v>38</v>
      </c>
      <c r="L1268" t="s">
        <v>58</v>
      </c>
      <c r="M1268">
        <v>2</v>
      </c>
      <c r="N1268">
        <v>563.53</v>
      </c>
    </row>
    <row r="1269" spans="1:14" x14ac:dyDescent="0.3">
      <c r="A1269" t="s">
        <v>695</v>
      </c>
      <c r="B1269" t="s">
        <v>16</v>
      </c>
      <c r="C1269" s="1">
        <v>45307</v>
      </c>
      <c r="D1269" s="2">
        <f>YEAR(Table1[[#This Row],[PurchaseDate]])</f>
        <v>2024</v>
      </c>
      <c r="E1269" s="2" t="str">
        <f>"Q"&amp;ROUNDUP(MONTH(Table1[[#This Row],[PurchaseDate]])/3,0)</f>
        <v>Q1</v>
      </c>
      <c r="F1269" s="2">
        <f>MONTH(Table1[[#This Row],[PurchaseDate]])</f>
        <v>1</v>
      </c>
      <c r="G1269" s="2" t="str">
        <f>TEXT(Table1[[#This Row],[PurchaseDate]],"MMM")</f>
        <v>Jan</v>
      </c>
      <c r="H1269">
        <v>5</v>
      </c>
      <c r="I1269">
        <v>791.03</v>
      </c>
      <c r="J1269" t="s">
        <v>696</v>
      </c>
      <c r="K1269" t="s">
        <v>18</v>
      </c>
      <c r="L1269" t="s">
        <v>27</v>
      </c>
      <c r="M1269">
        <v>1</v>
      </c>
      <c r="N1269">
        <v>3955.15</v>
      </c>
    </row>
    <row r="1270" spans="1:14" x14ac:dyDescent="0.3">
      <c r="A1270" t="s">
        <v>2397</v>
      </c>
      <c r="B1270" t="s">
        <v>42</v>
      </c>
      <c r="C1270" s="1">
        <v>44968</v>
      </c>
      <c r="D1270" s="2">
        <f>YEAR(Table1[[#This Row],[PurchaseDate]])</f>
        <v>2023</v>
      </c>
      <c r="E1270" s="2" t="str">
        <f>"Q"&amp;ROUNDUP(MONTH(Table1[[#This Row],[PurchaseDate]])/3,0)</f>
        <v>Q1</v>
      </c>
      <c r="F1270" s="2">
        <f>MONTH(Table1[[#This Row],[PurchaseDate]])</f>
        <v>2</v>
      </c>
      <c r="G1270" s="2" t="str">
        <f>TEXT(Table1[[#This Row],[PurchaseDate]],"MMM")</f>
        <v>Feb</v>
      </c>
      <c r="H1270">
        <v>6</v>
      </c>
      <c r="I1270">
        <v>89.02</v>
      </c>
      <c r="J1270" t="s">
        <v>2398</v>
      </c>
      <c r="K1270" t="s">
        <v>18</v>
      </c>
      <c r="L1270" t="s">
        <v>14</v>
      </c>
      <c r="M1270">
        <v>5</v>
      </c>
      <c r="N1270">
        <v>534.12</v>
      </c>
    </row>
    <row r="1271" spans="1:14" x14ac:dyDescent="0.3">
      <c r="A1271" t="s">
        <v>2399</v>
      </c>
      <c r="B1271" t="s">
        <v>16</v>
      </c>
      <c r="C1271" s="1">
        <v>45488</v>
      </c>
      <c r="D1271" s="2">
        <f>YEAR(Table1[[#This Row],[PurchaseDate]])</f>
        <v>2024</v>
      </c>
      <c r="E1271" s="2" t="str">
        <f>"Q"&amp;ROUNDUP(MONTH(Table1[[#This Row],[PurchaseDate]])/3,0)</f>
        <v>Q3</v>
      </c>
      <c r="F1271" s="2">
        <f>MONTH(Table1[[#This Row],[PurchaseDate]])</f>
        <v>7</v>
      </c>
      <c r="G1271" s="2" t="str">
        <f>TEXT(Table1[[#This Row],[PurchaseDate]],"MMM")</f>
        <v>Jul</v>
      </c>
      <c r="H1271">
        <v>3</v>
      </c>
      <c r="I1271">
        <v>773.39</v>
      </c>
      <c r="J1271" t="s">
        <v>2400</v>
      </c>
      <c r="K1271" t="s">
        <v>38</v>
      </c>
      <c r="L1271" t="s">
        <v>27</v>
      </c>
      <c r="M1271">
        <v>5</v>
      </c>
      <c r="N1271">
        <v>2320.17</v>
      </c>
    </row>
    <row r="1272" spans="1:14" x14ac:dyDescent="0.3">
      <c r="A1272" t="s">
        <v>2401</v>
      </c>
      <c r="B1272" t="s">
        <v>42</v>
      </c>
      <c r="C1272" s="1">
        <v>45304</v>
      </c>
      <c r="D1272" s="2">
        <f>YEAR(Table1[[#This Row],[PurchaseDate]])</f>
        <v>2024</v>
      </c>
      <c r="E1272" s="2" t="str">
        <f>"Q"&amp;ROUNDUP(MONTH(Table1[[#This Row],[PurchaseDate]])/3,0)</f>
        <v>Q1</v>
      </c>
      <c r="F1272" s="2">
        <f>MONTH(Table1[[#This Row],[PurchaseDate]])</f>
        <v>1</v>
      </c>
      <c r="G1272" s="2" t="str">
        <f>TEXT(Table1[[#This Row],[PurchaseDate]],"MMM")</f>
        <v>Jan</v>
      </c>
      <c r="H1272">
        <v>2</v>
      </c>
      <c r="I1272">
        <v>187.21</v>
      </c>
      <c r="J1272" t="s">
        <v>2402</v>
      </c>
      <c r="K1272" t="s">
        <v>13</v>
      </c>
      <c r="L1272" t="s">
        <v>23</v>
      </c>
      <c r="M1272">
        <v>1</v>
      </c>
      <c r="N1272">
        <v>374.42</v>
      </c>
    </row>
    <row r="1273" spans="1:14" x14ac:dyDescent="0.3">
      <c r="A1273" t="s">
        <v>2403</v>
      </c>
      <c r="B1273" t="s">
        <v>16</v>
      </c>
      <c r="C1273" s="1">
        <v>45760</v>
      </c>
      <c r="D1273" s="2">
        <f>YEAR(Table1[[#This Row],[PurchaseDate]])</f>
        <v>2025</v>
      </c>
      <c r="E1273" s="2" t="str">
        <f>"Q"&amp;ROUNDUP(MONTH(Table1[[#This Row],[PurchaseDate]])/3,0)</f>
        <v>Q2</v>
      </c>
      <c r="F1273" s="2">
        <f>MONTH(Table1[[#This Row],[PurchaseDate]])</f>
        <v>4</v>
      </c>
      <c r="G1273" s="2" t="str">
        <f>TEXT(Table1[[#This Row],[PurchaseDate]],"MMM")</f>
        <v>Apr</v>
      </c>
      <c r="H1273">
        <v>6</v>
      </c>
      <c r="I1273">
        <v>19.09</v>
      </c>
      <c r="J1273" t="s">
        <v>2404</v>
      </c>
      <c r="K1273" t="s">
        <v>38</v>
      </c>
      <c r="L1273" t="s">
        <v>58</v>
      </c>
      <c r="M1273">
        <v>3</v>
      </c>
      <c r="N1273">
        <v>114.54</v>
      </c>
    </row>
    <row r="1274" spans="1:14" x14ac:dyDescent="0.3">
      <c r="A1274" t="s">
        <v>2405</v>
      </c>
      <c r="B1274" t="s">
        <v>21</v>
      </c>
      <c r="C1274" s="1">
        <v>45739</v>
      </c>
      <c r="D1274" s="2">
        <f>YEAR(Table1[[#This Row],[PurchaseDate]])</f>
        <v>2025</v>
      </c>
      <c r="E1274" s="2" t="str">
        <f>"Q"&amp;ROUNDUP(MONTH(Table1[[#This Row],[PurchaseDate]])/3,0)</f>
        <v>Q1</v>
      </c>
      <c r="F1274" s="2">
        <f>MONTH(Table1[[#This Row],[PurchaseDate]])</f>
        <v>3</v>
      </c>
      <c r="G1274" s="2" t="str">
        <f>TEXT(Table1[[#This Row],[PurchaseDate]],"MMM")</f>
        <v>Mar</v>
      </c>
      <c r="H1274">
        <v>5</v>
      </c>
      <c r="I1274">
        <v>446.59</v>
      </c>
      <c r="J1274" t="s">
        <v>2406</v>
      </c>
      <c r="K1274" t="s">
        <v>13</v>
      </c>
      <c r="L1274" t="s">
        <v>58</v>
      </c>
      <c r="M1274">
        <v>2</v>
      </c>
      <c r="N1274">
        <v>2232.9499999999998</v>
      </c>
    </row>
    <row r="1275" spans="1:14" x14ac:dyDescent="0.3">
      <c r="A1275" t="s">
        <v>2407</v>
      </c>
      <c r="B1275" t="s">
        <v>21</v>
      </c>
      <c r="C1275" s="1">
        <v>45430</v>
      </c>
      <c r="D1275" s="2">
        <f>YEAR(Table1[[#This Row],[PurchaseDate]])</f>
        <v>2024</v>
      </c>
      <c r="E1275" s="2" t="str">
        <f>"Q"&amp;ROUNDUP(MONTH(Table1[[#This Row],[PurchaseDate]])/3,0)</f>
        <v>Q2</v>
      </c>
      <c r="F1275" s="2">
        <f>MONTH(Table1[[#This Row],[PurchaseDate]])</f>
        <v>5</v>
      </c>
      <c r="G1275" s="2" t="str">
        <f>TEXT(Table1[[#This Row],[PurchaseDate]],"MMM")</f>
        <v>May</v>
      </c>
      <c r="H1275">
        <v>4</v>
      </c>
      <c r="I1275">
        <v>223.63</v>
      </c>
      <c r="J1275" t="s">
        <v>2408</v>
      </c>
      <c r="K1275" t="s">
        <v>13</v>
      </c>
      <c r="L1275" t="s">
        <v>58</v>
      </c>
      <c r="M1275">
        <v>1</v>
      </c>
      <c r="N1275">
        <v>894.52</v>
      </c>
    </row>
    <row r="1276" spans="1:14" x14ac:dyDescent="0.3">
      <c r="A1276" t="s">
        <v>2409</v>
      </c>
      <c r="B1276" t="s">
        <v>25</v>
      </c>
      <c r="C1276" s="1">
        <v>45783</v>
      </c>
      <c r="D1276" s="2">
        <f>YEAR(Table1[[#This Row],[PurchaseDate]])</f>
        <v>2025</v>
      </c>
      <c r="E1276" s="2" t="str">
        <f>"Q"&amp;ROUNDUP(MONTH(Table1[[#This Row],[PurchaseDate]])/3,0)</f>
        <v>Q2</v>
      </c>
      <c r="F1276" s="2">
        <f>MONTH(Table1[[#This Row],[PurchaseDate]])</f>
        <v>5</v>
      </c>
      <c r="G1276" s="2" t="str">
        <f>TEXT(Table1[[#This Row],[PurchaseDate]],"MMM")</f>
        <v>May</v>
      </c>
      <c r="H1276">
        <v>7</v>
      </c>
      <c r="I1276">
        <v>616.71</v>
      </c>
      <c r="J1276" t="s">
        <v>2410</v>
      </c>
      <c r="K1276" t="s">
        <v>38</v>
      </c>
      <c r="L1276" t="s">
        <v>58</v>
      </c>
      <c r="M1276">
        <v>2</v>
      </c>
      <c r="N1276">
        <v>4316.97</v>
      </c>
    </row>
    <row r="1277" spans="1:14" x14ac:dyDescent="0.3">
      <c r="A1277" t="s">
        <v>2411</v>
      </c>
      <c r="B1277" t="s">
        <v>25</v>
      </c>
      <c r="C1277" s="1">
        <v>45379</v>
      </c>
      <c r="D1277" s="2">
        <f>YEAR(Table1[[#This Row],[PurchaseDate]])</f>
        <v>2024</v>
      </c>
      <c r="E1277" s="2" t="str">
        <f>"Q"&amp;ROUNDUP(MONTH(Table1[[#This Row],[PurchaseDate]])/3,0)</f>
        <v>Q1</v>
      </c>
      <c r="F1277" s="2">
        <f>MONTH(Table1[[#This Row],[PurchaseDate]])</f>
        <v>3</v>
      </c>
      <c r="G1277" s="2" t="str">
        <f>TEXT(Table1[[#This Row],[PurchaseDate]],"MMM")</f>
        <v>Mar</v>
      </c>
      <c r="H1277">
        <v>8</v>
      </c>
      <c r="I1277">
        <v>19.29</v>
      </c>
      <c r="J1277" t="s">
        <v>2412</v>
      </c>
      <c r="K1277" t="s">
        <v>18</v>
      </c>
      <c r="L1277" t="s">
        <v>58</v>
      </c>
      <c r="M1277">
        <v>4</v>
      </c>
      <c r="N1277">
        <v>154.32</v>
      </c>
    </row>
    <row r="1278" spans="1:14" x14ac:dyDescent="0.3">
      <c r="A1278" t="s">
        <v>2413</v>
      </c>
      <c r="B1278" t="s">
        <v>16</v>
      </c>
      <c r="C1278" s="1">
        <v>45205</v>
      </c>
      <c r="D1278" s="2">
        <f>YEAR(Table1[[#This Row],[PurchaseDate]])</f>
        <v>2023</v>
      </c>
      <c r="E1278" s="2" t="str">
        <f>"Q"&amp;ROUNDUP(MONTH(Table1[[#This Row],[PurchaseDate]])/3,0)</f>
        <v>Q4</v>
      </c>
      <c r="F1278" s="2">
        <f>MONTH(Table1[[#This Row],[PurchaseDate]])</f>
        <v>10</v>
      </c>
      <c r="G1278" s="2" t="str">
        <f>TEXT(Table1[[#This Row],[PurchaseDate]],"MMM")</f>
        <v>Oct</v>
      </c>
      <c r="H1278">
        <v>7</v>
      </c>
      <c r="I1278">
        <v>38.24</v>
      </c>
      <c r="J1278" t="s">
        <v>2414</v>
      </c>
      <c r="K1278" t="s">
        <v>38</v>
      </c>
      <c r="L1278" t="s">
        <v>23</v>
      </c>
      <c r="M1278">
        <v>1</v>
      </c>
      <c r="N1278">
        <v>267.68</v>
      </c>
    </row>
    <row r="1279" spans="1:14" x14ac:dyDescent="0.3">
      <c r="A1279" t="s">
        <v>2415</v>
      </c>
      <c r="B1279" t="s">
        <v>25</v>
      </c>
      <c r="C1279" s="1">
        <v>45131</v>
      </c>
      <c r="D1279" s="2">
        <f>YEAR(Table1[[#This Row],[PurchaseDate]])</f>
        <v>2023</v>
      </c>
      <c r="E1279" s="2" t="str">
        <f>"Q"&amp;ROUNDUP(MONTH(Table1[[#This Row],[PurchaseDate]])/3,0)</f>
        <v>Q3</v>
      </c>
      <c r="F1279" s="2">
        <f>MONTH(Table1[[#This Row],[PurchaseDate]])</f>
        <v>7</v>
      </c>
      <c r="G1279" s="2" t="str">
        <f>TEXT(Table1[[#This Row],[PurchaseDate]],"MMM")</f>
        <v>Jul</v>
      </c>
      <c r="H1279">
        <v>1</v>
      </c>
      <c r="I1279">
        <v>717.94</v>
      </c>
      <c r="J1279" t="s">
        <v>2416</v>
      </c>
      <c r="K1279" t="s">
        <v>38</v>
      </c>
      <c r="L1279" t="s">
        <v>19</v>
      </c>
      <c r="M1279">
        <v>1</v>
      </c>
      <c r="N1279">
        <v>717.94</v>
      </c>
    </row>
    <row r="1280" spans="1:14" x14ac:dyDescent="0.3">
      <c r="A1280" t="s">
        <v>2417</v>
      </c>
      <c r="B1280" t="s">
        <v>25</v>
      </c>
      <c r="C1280" s="1">
        <v>45004</v>
      </c>
      <c r="D1280" s="2">
        <f>YEAR(Table1[[#This Row],[PurchaseDate]])</f>
        <v>2023</v>
      </c>
      <c r="E1280" s="2" t="str">
        <f>"Q"&amp;ROUNDUP(MONTH(Table1[[#This Row],[PurchaseDate]])/3,0)</f>
        <v>Q1</v>
      </c>
      <c r="F1280" s="2">
        <f>MONTH(Table1[[#This Row],[PurchaseDate]])</f>
        <v>3</v>
      </c>
      <c r="G1280" s="2" t="str">
        <f>TEXT(Table1[[#This Row],[PurchaseDate]],"MMM")</f>
        <v>Mar</v>
      </c>
      <c r="H1280">
        <v>6</v>
      </c>
      <c r="I1280">
        <v>762.24</v>
      </c>
      <c r="J1280" t="s">
        <v>2418</v>
      </c>
      <c r="K1280" t="s">
        <v>38</v>
      </c>
      <c r="L1280" t="s">
        <v>23</v>
      </c>
      <c r="M1280">
        <v>2</v>
      </c>
      <c r="N1280">
        <v>4573.4399999999996</v>
      </c>
    </row>
    <row r="1281" spans="1:14" x14ac:dyDescent="0.3">
      <c r="A1281" t="s">
        <v>2419</v>
      </c>
      <c r="B1281" t="s">
        <v>16</v>
      </c>
      <c r="C1281" s="1">
        <v>44961</v>
      </c>
      <c r="D1281" s="2">
        <f>YEAR(Table1[[#This Row],[PurchaseDate]])</f>
        <v>2023</v>
      </c>
      <c r="E1281" s="2" t="str">
        <f>"Q"&amp;ROUNDUP(MONTH(Table1[[#This Row],[PurchaseDate]])/3,0)</f>
        <v>Q1</v>
      </c>
      <c r="F1281" s="2">
        <f>MONTH(Table1[[#This Row],[PurchaseDate]])</f>
        <v>2</v>
      </c>
      <c r="G1281" s="2" t="str">
        <f>TEXT(Table1[[#This Row],[PurchaseDate]],"MMM")</f>
        <v>Feb</v>
      </c>
      <c r="H1281">
        <v>5</v>
      </c>
      <c r="I1281">
        <v>228.61</v>
      </c>
      <c r="J1281" t="s">
        <v>2420</v>
      </c>
      <c r="K1281" t="s">
        <v>18</v>
      </c>
      <c r="L1281" t="s">
        <v>27</v>
      </c>
      <c r="M1281">
        <v>2</v>
      </c>
      <c r="N1281">
        <v>1143.05</v>
      </c>
    </row>
    <row r="1282" spans="1:14" x14ac:dyDescent="0.3">
      <c r="A1282" t="s">
        <v>2421</v>
      </c>
      <c r="B1282" t="s">
        <v>42</v>
      </c>
      <c r="C1282" s="1">
        <v>45084</v>
      </c>
      <c r="D1282" s="2">
        <f>YEAR(Table1[[#This Row],[PurchaseDate]])</f>
        <v>2023</v>
      </c>
      <c r="E1282" s="2" t="str">
        <f>"Q"&amp;ROUNDUP(MONTH(Table1[[#This Row],[PurchaseDate]])/3,0)</f>
        <v>Q2</v>
      </c>
      <c r="F1282" s="2">
        <f>MONTH(Table1[[#This Row],[PurchaseDate]])</f>
        <v>6</v>
      </c>
      <c r="G1282" s="2" t="str">
        <f>TEXT(Table1[[#This Row],[PurchaseDate]],"MMM")</f>
        <v>Jun</v>
      </c>
      <c r="H1282">
        <v>8</v>
      </c>
      <c r="I1282">
        <v>369.33</v>
      </c>
      <c r="J1282" t="s">
        <v>2422</v>
      </c>
      <c r="K1282" t="s">
        <v>13</v>
      </c>
      <c r="L1282" t="s">
        <v>19</v>
      </c>
      <c r="M1282">
        <v>5</v>
      </c>
      <c r="N1282">
        <v>2954.64</v>
      </c>
    </row>
    <row r="1283" spans="1:14" x14ac:dyDescent="0.3">
      <c r="A1283" t="s">
        <v>2423</v>
      </c>
      <c r="B1283" t="s">
        <v>16</v>
      </c>
      <c r="C1283" s="1">
        <v>45586</v>
      </c>
      <c r="D1283" s="2">
        <f>YEAR(Table1[[#This Row],[PurchaseDate]])</f>
        <v>2024</v>
      </c>
      <c r="E1283" s="2" t="str">
        <f>"Q"&amp;ROUNDUP(MONTH(Table1[[#This Row],[PurchaseDate]])/3,0)</f>
        <v>Q4</v>
      </c>
      <c r="F1283" s="2">
        <f>MONTH(Table1[[#This Row],[PurchaseDate]])</f>
        <v>10</v>
      </c>
      <c r="G1283" s="2" t="str">
        <f>TEXT(Table1[[#This Row],[PurchaseDate]],"MMM")</f>
        <v>Oct</v>
      </c>
      <c r="H1283">
        <v>1</v>
      </c>
      <c r="I1283">
        <v>531.54</v>
      </c>
      <c r="J1283" t="s">
        <v>2424</v>
      </c>
      <c r="K1283" t="s">
        <v>38</v>
      </c>
      <c r="L1283" t="s">
        <v>14</v>
      </c>
      <c r="M1283">
        <v>1</v>
      </c>
      <c r="N1283">
        <v>531.54</v>
      </c>
    </row>
    <row r="1284" spans="1:14" x14ac:dyDescent="0.3">
      <c r="A1284" t="s">
        <v>2425</v>
      </c>
      <c r="B1284" t="s">
        <v>34</v>
      </c>
      <c r="C1284" s="1">
        <v>45598</v>
      </c>
      <c r="D1284" s="2">
        <f>YEAR(Table1[[#This Row],[PurchaseDate]])</f>
        <v>2024</v>
      </c>
      <c r="E1284" s="2" t="str">
        <f>"Q"&amp;ROUNDUP(MONTH(Table1[[#This Row],[PurchaseDate]])/3,0)</f>
        <v>Q4</v>
      </c>
      <c r="F1284" s="2">
        <f>MONTH(Table1[[#This Row],[PurchaseDate]])</f>
        <v>11</v>
      </c>
      <c r="G1284" s="2" t="str">
        <f>TEXT(Table1[[#This Row],[PurchaseDate]],"MMM")</f>
        <v>Nov</v>
      </c>
      <c r="H1284">
        <v>6</v>
      </c>
      <c r="I1284">
        <v>525.89</v>
      </c>
      <c r="J1284" t="s">
        <v>2426</v>
      </c>
      <c r="K1284" t="s">
        <v>13</v>
      </c>
      <c r="L1284" t="s">
        <v>58</v>
      </c>
      <c r="M1284">
        <v>1</v>
      </c>
      <c r="N1284">
        <v>3155.34</v>
      </c>
    </row>
    <row r="1285" spans="1:14" x14ac:dyDescent="0.3">
      <c r="A1285" t="s">
        <v>2427</v>
      </c>
      <c r="B1285" t="s">
        <v>16</v>
      </c>
      <c r="C1285" s="1">
        <v>45680</v>
      </c>
      <c r="D1285" s="2">
        <f>YEAR(Table1[[#This Row],[PurchaseDate]])</f>
        <v>2025</v>
      </c>
      <c r="E1285" s="2" t="str">
        <f>"Q"&amp;ROUNDUP(MONTH(Table1[[#This Row],[PurchaseDate]])/3,0)</f>
        <v>Q1</v>
      </c>
      <c r="F1285" s="2">
        <f>MONTH(Table1[[#This Row],[PurchaseDate]])</f>
        <v>1</v>
      </c>
      <c r="G1285" s="2" t="str">
        <f>TEXT(Table1[[#This Row],[PurchaseDate]],"MMM")</f>
        <v>Jan</v>
      </c>
      <c r="H1285">
        <v>1</v>
      </c>
      <c r="I1285">
        <v>95.7</v>
      </c>
      <c r="J1285" t="s">
        <v>2428</v>
      </c>
      <c r="K1285" t="s">
        <v>38</v>
      </c>
      <c r="L1285" t="s">
        <v>19</v>
      </c>
      <c r="M1285">
        <v>4</v>
      </c>
      <c r="N1285">
        <v>95.7</v>
      </c>
    </row>
    <row r="1286" spans="1:14" x14ac:dyDescent="0.3">
      <c r="A1286" t="s">
        <v>2429</v>
      </c>
      <c r="B1286" t="s">
        <v>16</v>
      </c>
      <c r="C1286" s="1">
        <v>45072</v>
      </c>
      <c r="D1286" s="2">
        <f>YEAR(Table1[[#This Row],[PurchaseDate]])</f>
        <v>2023</v>
      </c>
      <c r="E1286" s="2" t="str">
        <f>"Q"&amp;ROUNDUP(MONTH(Table1[[#This Row],[PurchaseDate]])/3,0)</f>
        <v>Q2</v>
      </c>
      <c r="F1286" s="2">
        <f>MONTH(Table1[[#This Row],[PurchaseDate]])</f>
        <v>5</v>
      </c>
      <c r="G1286" s="2" t="str">
        <f>TEXT(Table1[[#This Row],[PurchaseDate]],"MMM")</f>
        <v>May</v>
      </c>
      <c r="H1286">
        <v>6</v>
      </c>
      <c r="I1286">
        <v>171.16</v>
      </c>
      <c r="J1286" t="s">
        <v>2430</v>
      </c>
      <c r="K1286" t="s">
        <v>38</v>
      </c>
      <c r="L1286" t="s">
        <v>19</v>
      </c>
      <c r="M1286">
        <v>5</v>
      </c>
      <c r="N1286">
        <v>1026.96</v>
      </c>
    </row>
    <row r="1287" spans="1:14" x14ac:dyDescent="0.3">
      <c r="A1287" t="s">
        <v>2431</v>
      </c>
      <c r="B1287" t="s">
        <v>42</v>
      </c>
      <c r="C1287" s="1">
        <v>45126</v>
      </c>
      <c r="D1287" s="2">
        <f>YEAR(Table1[[#This Row],[PurchaseDate]])</f>
        <v>2023</v>
      </c>
      <c r="E1287" s="2" t="str">
        <f>"Q"&amp;ROUNDUP(MONTH(Table1[[#This Row],[PurchaseDate]])/3,0)</f>
        <v>Q3</v>
      </c>
      <c r="F1287" s="2">
        <f>MONTH(Table1[[#This Row],[PurchaseDate]])</f>
        <v>7</v>
      </c>
      <c r="G1287" s="2" t="str">
        <f>TEXT(Table1[[#This Row],[PurchaseDate]],"MMM")</f>
        <v>Jul</v>
      </c>
      <c r="H1287">
        <v>8</v>
      </c>
      <c r="I1287">
        <v>518.52</v>
      </c>
      <c r="J1287" t="s">
        <v>2432</v>
      </c>
      <c r="K1287" t="s">
        <v>18</v>
      </c>
      <c r="L1287" t="s">
        <v>27</v>
      </c>
      <c r="M1287">
        <v>5</v>
      </c>
      <c r="N1287">
        <v>4148.16</v>
      </c>
    </row>
    <row r="1288" spans="1:14" x14ac:dyDescent="0.3">
      <c r="A1288" t="s">
        <v>2433</v>
      </c>
      <c r="B1288" t="s">
        <v>42</v>
      </c>
      <c r="C1288" s="1">
        <v>45456</v>
      </c>
      <c r="D1288" s="2">
        <f>YEAR(Table1[[#This Row],[PurchaseDate]])</f>
        <v>2024</v>
      </c>
      <c r="E1288" s="2" t="str">
        <f>"Q"&amp;ROUNDUP(MONTH(Table1[[#This Row],[PurchaseDate]])/3,0)</f>
        <v>Q2</v>
      </c>
      <c r="F1288" s="2">
        <f>MONTH(Table1[[#This Row],[PurchaseDate]])</f>
        <v>6</v>
      </c>
      <c r="G1288" s="2" t="str">
        <f>TEXT(Table1[[#This Row],[PurchaseDate]],"MMM")</f>
        <v>Jun</v>
      </c>
      <c r="H1288">
        <v>7</v>
      </c>
      <c r="I1288">
        <v>741.81</v>
      </c>
      <c r="J1288" t="s">
        <v>2434</v>
      </c>
      <c r="K1288" t="s">
        <v>18</v>
      </c>
      <c r="L1288" t="s">
        <v>19</v>
      </c>
      <c r="M1288">
        <v>4</v>
      </c>
      <c r="N1288">
        <v>5192.67</v>
      </c>
    </row>
    <row r="1289" spans="1:14" x14ac:dyDescent="0.3">
      <c r="A1289" t="s">
        <v>2435</v>
      </c>
      <c r="B1289" t="s">
        <v>29</v>
      </c>
      <c r="C1289" s="1">
        <v>45669</v>
      </c>
      <c r="D1289" s="2">
        <f>YEAR(Table1[[#This Row],[PurchaseDate]])</f>
        <v>2025</v>
      </c>
      <c r="E1289" s="2" t="str">
        <f>"Q"&amp;ROUNDUP(MONTH(Table1[[#This Row],[PurchaseDate]])/3,0)</f>
        <v>Q1</v>
      </c>
      <c r="F1289" s="2">
        <f>MONTH(Table1[[#This Row],[PurchaseDate]])</f>
        <v>1</v>
      </c>
      <c r="G1289" s="2" t="str">
        <f>TEXT(Table1[[#This Row],[PurchaseDate]],"MMM")</f>
        <v>Jan</v>
      </c>
      <c r="H1289">
        <v>2</v>
      </c>
      <c r="I1289">
        <v>259.37</v>
      </c>
      <c r="J1289" t="s">
        <v>2436</v>
      </c>
      <c r="K1289" t="s">
        <v>38</v>
      </c>
      <c r="L1289" t="s">
        <v>14</v>
      </c>
      <c r="M1289">
        <v>5</v>
      </c>
      <c r="N1289">
        <v>518.74</v>
      </c>
    </row>
    <row r="1290" spans="1:14" x14ac:dyDescent="0.3">
      <c r="A1290" t="s">
        <v>2437</v>
      </c>
      <c r="B1290" t="s">
        <v>16</v>
      </c>
      <c r="C1290" s="1">
        <v>45403</v>
      </c>
      <c r="D1290" s="2">
        <f>YEAR(Table1[[#This Row],[PurchaseDate]])</f>
        <v>2024</v>
      </c>
      <c r="E1290" s="2" t="str">
        <f>"Q"&amp;ROUNDUP(MONTH(Table1[[#This Row],[PurchaseDate]])/3,0)</f>
        <v>Q2</v>
      </c>
      <c r="F1290" s="2">
        <f>MONTH(Table1[[#This Row],[PurchaseDate]])</f>
        <v>4</v>
      </c>
      <c r="G1290" s="2" t="str">
        <f>TEXT(Table1[[#This Row],[PurchaseDate]],"MMM")</f>
        <v>Apr</v>
      </c>
      <c r="H1290">
        <v>6</v>
      </c>
      <c r="I1290">
        <v>625.48</v>
      </c>
      <c r="J1290" t="s">
        <v>2438</v>
      </c>
      <c r="K1290" t="s">
        <v>18</v>
      </c>
      <c r="L1290" t="s">
        <v>19</v>
      </c>
      <c r="M1290">
        <v>1</v>
      </c>
      <c r="N1290">
        <v>3752.88</v>
      </c>
    </row>
    <row r="1291" spans="1:14" x14ac:dyDescent="0.3">
      <c r="A1291" t="s">
        <v>2439</v>
      </c>
      <c r="B1291" t="s">
        <v>29</v>
      </c>
      <c r="C1291" s="1">
        <v>45416</v>
      </c>
      <c r="D1291" s="2">
        <f>YEAR(Table1[[#This Row],[PurchaseDate]])</f>
        <v>2024</v>
      </c>
      <c r="E1291" s="2" t="str">
        <f>"Q"&amp;ROUNDUP(MONTH(Table1[[#This Row],[PurchaseDate]])/3,0)</f>
        <v>Q2</v>
      </c>
      <c r="F1291" s="2">
        <f>MONTH(Table1[[#This Row],[PurchaseDate]])</f>
        <v>5</v>
      </c>
      <c r="G1291" s="2" t="str">
        <f>TEXT(Table1[[#This Row],[PurchaseDate]],"MMM")</f>
        <v>May</v>
      </c>
      <c r="H1291">
        <v>7</v>
      </c>
      <c r="I1291">
        <v>631.26</v>
      </c>
      <c r="J1291" t="s">
        <v>2440</v>
      </c>
      <c r="K1291" t="s">
        <v>18</v>
      </c>
      <c r="L1291" t="s">
        <v>23</v>
      </c>
      <c r="M1291">
        <v>5</v>
      </c>
      <c r="N1291">
        <v>4418.82</v>
      </c>
    </row>
    <row r="1292" spans="1:14" x14ac:dyDescent="0.3">
      <c r="A1292" t="s">
        <v>2441</v>
      </c>
      <c r="B1292" t="s">
        <v>34</v>
      </c>
      <c r="C1292" s="1">
        <v>45784</v>
      </c>
      <c r="D1292" s="2">
        <f>YEAR(Table1[[#This Row],[PurchaseDate]])</f>
        <v>2025</v>
      </c>
      <c r="E1292" s="2" t="str">
        <f>"Q"&amp;ROUNDUP(MONTH(Table1[[#This Row],[PurchaseDate]])/3,0)</f>
        <v>Q2</v>
      </c>
      <c r="F1292" s="2">
        <f>MONTH(Table1[[#This Row],[PurchaseDate]])</f>
        <v>5</v>
      </c>
      <c r="G1292" s="2" t="str">
        <f>TEXT(Table1[[#This Row],[PurchaseDate]],"MMM")</f>
        <v>May</v>
      </c>
      <c r="H1292">
        <v>1</v>
      </c>
      <c r="I1292">
        <v>580.17999999999995</v>
      </c>
      <c r="J1292" t="s">
        <v>2442</v>
      </c>
      <c r="K1292" t="s">
        <v>18</v>
      </c>
      <c r="L1292" t="s">
        <v>14</v>
      </c>
      <c r="M1292">
        <v>3</v>
      </c>
      <c r="N1292">
        <v>580.17999999999995</v>
      </c>
    </row>
    <row r="1293" spans="1:14" x14ac:dyDescent="0.3">
      <c r="A1293" t="s">
        <v>2443</v>
      </c>
      <c r="B1293" t="s">
        <v>42</v>
      </c>
      <c r="C1293" s="1">
        <v>45423</v>
      </c>
      <c r="D1293" s="2">
        <f>YEAR(Table1[[#This Row],[PurchaseDate]])</f>
        <v>2024</v>
      </c>
      <c r="E1293" s="2" t="str">
        <f>"Q"&amp;ROUNDUP(MONTH(Table1[[#This Row],[PurchaseDate]])/3,0)</f>
        <v>Q2</v>
      </c>
      <c r="F1293" s="2">
        <f>MONTH(Table1[[#This Row],[PurchaseDate]])</f>
        <v>5</v>
      </c>
      <c r="G1293" s="2" t="str">
        <f>TEXT(Table1[[#This Row],[PurchaseDate]],"MMM")</f>
        <v>May</v>
      </c>
      <c r="H1293">
        <v>5</v>
      </c>
      <c r="I1293">
        <v>432.75</v>
      </c>
      <c r="J1293" t="s">
        <v>2444</v>
      </c>
      <c r="K1293" t="s">
        <v>38</v>
      </c>
      <c r="L1293" t="s">
        <v>58</v>
      </c>
      <c r="M1293">
        <v>5</v>
      </c>
      <c r="N1293">
        <v>2163.75</v>
      </c>
    </row>
    <row r="1294" spans="1:14" x14ac:dyDescent="0.3">
      <c r="A1294" t="s">
        <v>1795</v>
      </c>
      <c r="B1294" t="s">
        <v>16</v>
      </c>
      <c r="C1294" s="1">
        <v>45576</v>
      </c>
      <c r="D1294" s="2">
        <f>YEAR(Table1[[#This Row],[PurchaseDate]])</f>
        <v>2024</v>
      </c>
      <c r="E1294" s="2" t="str">
        <f>"Q"&amp;ROUNDUP(MONTH(Table1[[#This Row],[PurchaseDate]])/3,0)</f>
        <v>Q4</v>
      </c>
      <c r="F1294" s="2">
        <f>MONTH(Table1[[#This Row],[PurchaseDate]])</f>
        <v>10</v>
      </c>
      <c r="G1294" s="2" t="str">
        <f>TEXT(Table1[[#This Row],[PurchaseDate]],"MMM")</f>
        <v>Oct</v>
      </c>
      <c r="H1294">
        <v>2</v>
      </c>
      <c r="I1294">
        <v>697.26</v>
      </c>
      <c r="J1294" t="s">
        <v>1796</v>
      </c>
      <c r="K1294" t="s">
        <v>18</v>
      </c>
      <c r="L1294" t="s">
        <v>23</v>
      </c>
      <c r="M1294">
        <v>1</v>
      </c>
      <c r="N1294">
        <v>1394.52</v>
      </c>
    </row>
    <row r="1295" spans="1:14" x14ac:dyDescent="0.3">
      <c r="A1295" t="s">
        <v>2221</v>
      </c>
      <c r="B1295" t="s">
        <v>11</v>
      </c>
      <c r="C1295" s="1">
        <v>45802</v>
      </c>
      <c r="D1295" s="2">
        <f>YEAR(Table1[[#This Row],[PurchaseDate]])</f>
        <v>2025</v>
      </c>
      <c r="E1295" s="2" t="str">
        <f>"Q"&amp;ROUNDUP(MONTH(Table1[[#This Row],[PurchaseDate]])/3,0)</f>
        <v>Q2</v>
      </c>
      <c r="F1295" s="2">
        <f>MONTH(Table1[[#This Row],[PurchaseDate]])</f>
        <v>5</v>
      </c>
      <c r="G1295" s="2" t="str">
        <f>TEXT(Table1[[#This Row],[PurchaseDate]],"MMM")</f>
        <v>May</v>
      </c>
      <c r="H1295">
        <v>4</v>
      </c>
      <c r="I1295">
        <v>150.13</v>
      </c>
      <c r="J1295" t="s">
        <v>2222</v>
      </c>
      <c r="K1295" t="s">
        <v>18</v>
      </c>
      <c r="L1295" t="s">
        <v>27</v>
      </c>
      <c r="M1295">
        <v>2</v>
      </c>
      <c r="N1295">
        <v>600.52</v>
      </c>
    </row>
    <row r="1296" spans="1:14" x14ac:dyDescent="0.3">
      <c r="A1296" t="s">
        <v>2445</v>
      </c>
      <c r="B1296" t="s">
        <v>29</v>
      </c>
      <c r="C1296" s="1">
        <v>45188</v>
      </c>
      <c r="D1296" s="2">
        <f>YEAR(Table1[[#This Row],[PurchaseDate]])</f>
        <v>2023</v>
      </c>
      <c r="E1296" s="2" t="str">
        <f>"Q"&amp;ROUNDUP(MONTH(Table1[[#This Row],[PurchaseDate]])/3,0)</f>
        <v>Q3</v>
      </c>
      <c r="F1296" s="2">
        <f>MONTH(Table1[[#This Row],[PurchaseDate]])</f>
        <v>9</v>
      </c>
      <c r="G1296" s="2" t="str">
        <f>TEXT(Table1[[#This Row],[PurchaseDate]],"MMM")</f>
        <v>Sep</v>
      </c>
      <c r="H1296">
        <v>6</v>
      </c>
      <c r="I1296">
        <v>334.15</v>
      </c>
      <c r="J1296" t="s">
        <v>2446</v>
      </c>
      <c r="K1296" t="s">
        <v>38</v>
      </c>
      <c r="L1296" t="s">
        <v>19</v>
      </c>
      <c r="M1296">
        <v>4</v>
      </c>
      <c r="N1296">
        <v>2004.9</v>
      </c>
    </row>
    <row r="1297" spans="1:14" x14ac:dyDescent="0.3">
      <c r="A1297" t="s">
        <v>2447</v>
      </c>
      <c r="B1297" t="s">
        <v>29</v>
      </c>
      <c r="C1297" s="1">
        <v>45483</v>
      </c>
      <c r="D1297" s="2">
        <f>YEAR(Table1[[#This Row],[PurchaseDate]])</f>
        <v>2024</v>
      </c>
      <c r="E1297" s="2" t="str">
        <f>"Q"&amp;ROUNDUP(MONTH(Table1[[#This Row],[PurchaseDate]])/3,0)</f>
        <v>Q3</v>
      </c>
      <c r="F1297" s="2">
        <f>MONTH(Table1[[#This Row],[PurchaseDate]])</f>
        <v>7</v>
      </c>
      <c r="G1297" s="2" t="str">
        <f>TEXT(Table1[[#This Row],[PurchaseDate]],"MMM")</f>
        <v>Jul</v>
      </c>
      <c r="H1297">
        <v>3</v>
      </c>
      <c r="I1297">
        <v>145.13</v>
      </c>
      <c r="J1297" t="s">
        <v>2448</v>
      </c>
      <c r="K1297" t="s">
        <v>18</v>
      </c>
      <c r="L1297" t="s">
        <v>14</v>
      </c>
      <c r="M1297">
        <v>3</v>
      </c>
      <c r="N1297">
        <v>435.39</v>
      </c>
    </row>
    <row r="1298" spans="1:14" x14ac:dyDescent="0.3">
      <c r="A1298" t="s">
        <v>2449</v>
      </c>
      <c r="B1298" t="s">
        <v>16</v>
      </c>
      <c r="C1298" s="1">
        <v>45804</v>
      </c>
      <c r="D1298" s="2">
        <f>YEAR(Table1[[#This Row],[PurchaseDate]])</f>
        <v>2025</v>
      </c>
      <c r="E1298" s="2" t="str">
        <f>"Q"&amp;ROUNDUP(MONTH(Table1[[#This Row],[PurchaseDate]])/3,0)</f>
        <v>Q2</v>
      </c>
      <c r="F1298" s="2">
        <f>MONTH(Table1[[#This Row],[PurchaseDate]])</f>
        <v>5</v>
      </c>
      <c r="G1298" s="2" t="str">
        <f>TEXT(Table1[[#This Row],[PurchaseDate]],"MMM")</f>
        <v>May</v>
      </c>
      <c r="H1298">
        <v>4</v>
      </c>
      <c r="I1298">
        <v>676.14</v>
      </c>
      <c r="J1298" t="s">
        <v>2450</v>
      </c>
      <c r="K1298" t="s">
        <v>13</v>
      </c>
      <c r="L1298" t="s">
        <v>27</v>
      </c>
      <c r="M1298">
        <v>1</v>
      </c>
      <c r="N1298">
        <v>2704.56</v>
      </c>
    </row>
    <row r="1299" spans="1:14" x14ac:dyDescent="0.3">
      <c r="A1299" t="s">
        <v>2451</v>
      </c>
      <c r="B1299" t="s">
        <v>25</v>
      </c>
      <c r="C1299" s="1">
        <v>45702</v>
      </c>
      <c r="D1299" s="2">
        <f>YEAR(Table1[[#This Row],[PurchaseDate]])</f>
        <v>2025</v>
      </c>
      <c r="E1299" s="2" t="str">
        <f>"Q"&amp;ROUNDUP(MONTH(Table1[[#This Row],[PurchaseDate]])/3,0)</f>
        <v>Q1</v>
      </c>
      <c r="F1299" s="2">
        <f>MONTH(Table1[[#This Row],[PurchaseDate]])</f>
        <v>2</v>
      </c>
      <c r="G1299" s="2" t="str">
        <f>TEXT(Table1[[#This Row],[PurchaseDate]],"MMM")</f>
        <v>Feb</v>
      </c>
      <c r="H1299">
        <v>7</v>
      </c>
      <c r="I1299">
        <v>402</v>
      </c>
      <c r="J1299" t="s">
        <v>2452</v>
      </c>
      <c r="K1299" t="s">
        <v>38</v>
      </c>
      <c r="L1299" t="s">
        <v>14</v>
      </c>
      <c r="M1299">
        <v>1</v>
      </c>
      <c r="N1299">
        <v>2814</v>
      </c>
    </row>
    <row r="1300" spans="1:14" x14ac:dyDescent="0.3">
      <c r="A1300" t="s">
        <v>2453</v>
      </c>
      <c r="B1300" t="s">
        <v>11</v>
      </c>
      <c r="C1300" s="1">
        <v>45460</v>
      </c>
      <c r="D1300" s="2">
        <f>YEAR(Table1[[#This Row],[PurchaseDate]])</f>
        <v>2024</v>
      </c>
      <c r="E1300" s="2" t="str">
        <f>"Q"&amp;ROUNDUP(MONTH(Table1[[#This Row],[PurchaseDate]])/3,0)</f>
        <v>Q2</v>
      </c>
      <c r="F1300" s="2">
        <f>MONTH(Table1[[#This Row],[PurchaseDate]])</f>
        <v>6</v>
      </c>
      <c r="G1300" s="2" t="str">
        <f>TEXT(Table1[[#This Row],[PurchaseDate]],"MMM")</f>
        <v>Jun</v>
      </c>
      <c r="H1300">
        <v>8</v>
      </c>
      <c r="I1300">
        <v>247.59</v>
      </c>
      <c r="J1300" t="s">
        <v>2454</v>
      </c>
      <c r="K1300" t="s">
        <v>13</v>
      </c>
      <c r="L1300" t="s">
        <v>14</v>
      </c>
      <c r="M1300">
        <v>1</v>
      </c>
      <c r="N1300">
        <v>1980.72</v>
      </c>
    </row>
    <row r="1301" spans="1:14" x14ac:dyDescent="0.3">
      <c r="A1301" t="s">
        <v>2455</v>
      </c>
      <c r="B1301" t="s">
        <v>29</v>
      </c>
      <c r="C1301" s="1">
        <v>45209</v>
      </c>
      <c r="D1301" s="2">
        <f>YEAR(Table1[[#This Row],[PurchaseDate]])</f>
        <v>2023</v>
      </c>
      <c r="E1301" s="2" t="str">
        <f>"Q"&amp;ROUNDUP(MONTH(Table1[[#This Row],[PurchaseDate]])/3,0)</f>
        <v>Q4</v>
      </c>
      <c r="F1301" s="2">
        <f>MONTH(Table1[[#This Row],[PurchaseDate]])</f>
        <v>10</v>
      </c>
      <c r="G1301" s="2" t="str">
        <f>TEXT(Table1[[#This Row],[PurchaseDate]],"MMM")</f>
        <v>Oct</v>
      </c>
      <c r="H1301">
        <v>4</v>
      </c>
      <c r="I1301">
        <v>135.77000000000001</v>
      </c>
      <c r="J1301" t="s">
        <v>2456</v>
      </c>
      <c r="K1301" t="s">
        <v>38</v>
      </c>
      <c r="L1301" t="s">
        <v>19</v>
      </c>
      <c r="M1301">
        <v>3</v>
      </c>
      <c r="N1301">
        <v>543.08000000000004</v>
      </c>
    </row>
    <row r="1302" spans="1:14" x14ac:dyDescent="0.3">
      <c r="A1302" t="s">
        <v>2457</v>
      </c>
      <c r="B1302" t="s">
        <v>11</v>
      </c>
      <c r="C1302" s="1">
        <v>45105</v>
      </c>
      <c r="D1302" s="2">
        <f>YEAR(Table1[[#This Row],[PurchaseDate]])</f>
        <v>2023</v>
      </c>
      <c r="E1302" s="2" t="str">
        <f>"Q"&amp;ROUNDUP(MONTH(Table1[[#This Row],[PurchaseDate]])/3,0)</f>
        <v>Q2</v>
      </c>
      <c r="F1302" s="2">
        <f>MONTH(Table1[[#This Row],[PurchaseDate]])</f>
        <v>6</v>
      </c>
      <c r="G1302" s="2" t="str">
        <f>TEXT(Table1[[#This Row],[PurchaseDate]],"MMM")</f>
        <v>Jun</v>
      </c>
      <c r="H1302">
        <v>1</v>
      </c>
      <c r="I1302">
        <v>391.35</v>
      </c>
      <c r="J1302" t="s">
        <v>2458</v>
      </c>
      <c r="K1302" t="s">
        <v>13</v>
      </c>
      <c r="L1302" t="s">
        <v>27</v>
      </c>
      <c r="M1302">
        <v>5</v>
      </c>
      <c r="N1302">
        <v>391.35</v>
      </c>
    </row>
    <row r="1303" spans="1:14" x14ac:dyDescent="0.3">
      <c r="A1303" t="s">
        <v>2459</v>
      </c>
      <c r="B1303" t="s">
        <v>42</v>
      </c>
      <c r="C1303" s="1">
        <v>45759</v>
      </c>
      <c r="D1303" s="2">
        <f>YEAR(Table1[[#This Row],[PurchaseDate]])</f>
        <v>2025</v>
      </c>
      <c r="E1303" s="2" t="str">
        <f>"Q"&amp;ROUNDUP(MONTH(Table1[[#This Row],[PurchaseDate]])/3,0)</f>
        <v>Q2</v>
      </c>
      <c r="F1303" s="2">
        <f>MONTH(Table1[[#This Row],[PurchaseDate]])</f>
        <v>4</v>
      </c>
      <c r="G1303" s="2" t="str">
        <f>TEXT(Table1[[#This Row],[PurchaseDate]],"MMM")</f>
        <v>Apr</v>
      </c>
      <c r="H1303">
        <v>6</v>
      </c>
      <c r="I1303">
        <v>378.33</v>
      </c>
      <c r="J1303" t="s">
        <v>2460</v>
      </c>
      <c r="K1303" t="s">
        <v>38</v>
      </c>
      <c r="L1303" t="s">
        <v>23</v>
      </c>
      <c r="M1303">
        <v>5</v>
      </c>
      <c r="N1303">
        <v>2269.98</v>
      </c>
    </row>
    <row r="1304" spans="1:14" x14ac:dyDescent="0.3">
      <c r="A1304" t="s">
        <v>2461</v>
      </c>
      <c r="B1304" t="s">
        <v>21</v>
      </c>
      <c r="C1304" s="1">
        <v>45247</v>
      </c>
      <c r="D1304" s="2">
        <f>YEAR(Table1[[#This Row],[PurchaseDate]])</f>
        <v>2023</v>
      </c>
      <c r="E1304" s="2" t="str">
        <f>"Q"&amp;ROUNDUP(MONTH(Table1[[#This Row],[PurchaseDate]])/3,0)</f>
        <v>Q4</v>
      </c>
      <c r="F1304" s="2">
        <f>MONTH(Table1[[#This Row],[PurchaseDate]])</f>
        <v>11</v>
      </c>
      <c r="G1304" s="2" t="str">
        <f>TEXT(Table1[[#This Row],[PurchaseDate]],"MMM")</f>
        <v>Nov</v>
      </c>
      <c r="H1304">
        <v>1</v>
      </c>
      <c r="I1304">
        <v>757.24</v>
      </c>
      <c r="J1304" t="s">
        <v>2462</v>
      </c>
      <c r="K1304" t="s">
        <v>13</v>
      </c>
      <c r="L1304" t="s">
        <v>23</v>
      </c>
      <c r="M1304">
        <v>2</v>
      </c>
      <c r="N1304">
        <v>757.24</v>
      </c>
    </row>
    <row r="1305" spans="1:14" x14ac:dyDescent="0.3">
      <c r="A1305" t="s">
        <v>2463</v>
      </c>
      <c r="B1305" t="s">
        <v>11</v>
      </c>
      <c r="C1305" s="1">
        <v>45347</v>
      </c>
      <c r="D1305" s="2">
        <f>YEAR(Table1[[#This Row],[PurchaseDate]])</f>
        <v>2024</v>
      </c>
      <c r="E1305" s="2" t="str">
        <f>"Q"&amp;ROUNDUP(MONTH(Table1[[#This Row],[PurchaseDate]])/3,0)</f>
        <v>Q1</v>
      </c>
      <c r="F1305" s="2">
        <f>MONTH(Table1[[#This Row],[PurchaseDate]])</f>
        <v>2</v>
      </c>
      <c r="G1305" s="2" t="str">
        <f>TEXT(Table1[[#This Row],[PurchaseDate]],"MMM")</f>
        <v>Feb</v>
      </c>
      <c r="H1305">
        <v>1</v>
      </c>
      <c r="I1305">
        <v>543.76</v>
      </c>
      <c r="J1305" t="s">
        <v>2464</v>
      </c>
      <c r="K1305" t="s">
        <v>38</v>
      </c>
      <c r="L1305" t="s">
        <v>19</v>
      </c>
      <c r="M1305">
        <v>5</v>
      </c>
      <c r="N1305">
        <v>543.76</v>
      </c>
    </row>
    <row r="1306" spans="1:14" x14ac:dyDescent="0.3">
      <c r="A1306" t="s">
        <v>2465</v>
      </c>
      <c r="B1306" t="s">
        <v>21</v>
      </c>
      <c r="C1306" s="1">
        <v>45513</v>
      </c>
      <c r="D1306" s="2">
        <f>YEAR(Table1[[#This Row],[PurchaseDate]])</f>
        <v>2024</v>
      </c>
      <c r="E1306" s="2" t="str">
        <f>"Q"&amp;ROUNDUP(MONTH(Table1[[#This Row],[PurchaseDate]])/3,0)</f>
        <v>Q3</v>
      </c>
      <c r="F1306" s="2">
        <f>MONTH(Table1[[#This Row],[PurchaseDate]])</f>
        <v>8</v>
      </c>
      <c r="G1306" s="2" t="str">
        <f>TEXT(Table1[[#This Row],[PurchaseDate]],"MMM")</f>
        <v>Aug</v>
      </c>
      <c r="H1306">
        <v>5</v>
      </c>
      <c r="I1306">
        <v>460.25</v>
      </c>
      <c r="J1306" t="s">
        <v>2466</v>
      </c>
      <c r="K1306" t="s">
        <v>38</v>
      </c>
      <c r="L1306" t="s">
        <v>58</v>
      </c>
      <c r="M1306">
        <v>2</v>
      </c>
      <c r="N1306">
        <v>2301.25</v>
      </c>
    </row>
    <row r="1307" spans="1:14" x14ac:dyDescent="0.3">
      <c r="A1307" t="s">
        <v>311</v>
      </c>
      <c r="B1307" t="s">
        <v>21</v>
      </c>
      <c r="C1307" s="1">
        <v>44978</v>
      </c>
      <c r="D1307" s="2">
        <f>YEAR(Table1[[#This Row],[PurchaseDate]])</f>
        <v>2023</v>
      </c>
      <c r="E1307" s="2" t="str">
        <f>"Q"&amp;ROUNDUP(MONTH(Table1[[#This Row],[PurchaseDate]])/3,0)</f>
        <v>Q1</v>
      </c>
      <c r="F1307" s="2">
        <f>MONTH(Table1[[#This Row],[PurchaseDate]])</f>
        <v>2</v>
      </c>
      <c r="G1307" s="2" t="str">
        <f>TEXT(Table1[[#This Row],[PurchaseDate]],"MMM")</f>
        <v>Feb</v>
      </c>
      <c r="H1307">
        <v>7</v>
      </c>
      <c r="I1307">
        <v>148.32</v>
      </c>
      <c r="J1307" t="s">
        <v>312</v>
      </c>
      <c r="K1307" t="s">
        <v>18</v>
      </c>
      <c r="L1307" t="s">
        <v>27</v>
      </c>
      <c r="M1307">
        <v>3</v>
      </c>
      <c r="N1307">
        <v>1038.24</v>
      </c>
    </row>
    <row r="1308" spans="1:14" x14ac:dyDescent="0.3">
      <c r="A1308" t="s">
        <v>2467</v>
      </c>
      <c r="B1308" t="s">
        <v>16</v>
      </c>
      <c r="C1308" s="1">
        <v>45560</v>
      </c>
      <c r="D1308" s="2">
        <f>YEAR(Table1[[#This Row],[PurchaseDate]])</f>
        <v>2024</v>
      </c>
      <c r="E1308" s="2" t="str">
        <f>"Q"&amp;ROUNDUP(MONTH(Table1[[#This Row],[PurchaseDate]])/3,0)</f>
        <v>Q3</v>
      </c>
      <c r="F1308" s="2">
        <f>MONTH(Table1[[#This Row],[PurchaseDate]])</f>
        <v>9</v>
      </c>
      <c r="G1308" s="2" t="str">
        <f>TEXT(Table1[[#This Row],[PurchaseDate]],"MMM")</f>
        <v>Sep</v>
      </c>
      <c r="H1308">
        <v>3</v>
      </c>
      <c r="I1308">
        <v>506.55</v>
      </c>
      <c r="J1308" t="s">
        <v>2468</v>
      </c>
      <c r="K1308" t="s">
        <v>18</v>
      </c>
      <c r="L1308" t="s">
        <v>19</v>
      </c>
      <c r="M1308">
        <v>5</v>
      </c>
      <c r="N1308">
        <v>1519.65</v>
      </c>
    </row>
    <row r="1309" spans="1:14" x14ac:dyDescent="0.3">
      <c r="A1309" t="s">
        <v>2469</v>
      </c>
      <c r="B1309" t="s">
        <v>29</v>
      </c>
      <c r="C1309" s="1">
        <v>45537</v>
      </c>
      <c r="D1309" s="2">
        <f>YEAR(Table1[[#This Row],[PurchaseDate]])</f>
        <v>2024</v>
      </c>
      <c r="E1309" s="2" t="str">
        <f>"Q"&amp;ROUNDUP(MONTH(Table1[[#This Row],[PurchaseDate]])/3,0)</f>
        <v>Q3</v>
      </c>
      <c r="F1309" s="2">
        <f>MONTH(Table1[[#This Row],[PurchaseDate]])</f>
        <v>9</v>
      </c>
      <c r="G1309" s="2" t="str">
        <f>TEXT(Table1[[#This Row],[PurchaseDate]],"MMM")</f>
        <v>Sep</v>
      </c>
      <c r="H1309">
        <v>7</v>
      </c>
      <c r="I1309">
        <v>716.84</v>
      </c>
      <c r="J1309" t="s">
        <v>2470</v>
      </c>
      <c r="K1309" t="s">
        <v>13</v>
      </c>
      <c r="L1309" t="s">
        <v>14</v>
      </c>
      <c r="M1309">
        <v>2</v>
      </c>
      <c r="N1309">
        <v>5017.88</v>
      </c>
    </row>
    <row r="1310" spans="1:14" x14ac:dyDescent="0.3">
      <c r="A1310" t="s">
        <v>2471</v>
      </c>
      <c r="B1310" t="s">
        <v>25</v>
      </c>
      <c r="C1310" s="1">
        <v>45606</v>
      </c>
      <c r="D1310" s="2">
        <f>YEAR(Table1[[#This Row],[PurchaseDate]])</f>
        <v>2024</v>
      </c>
      <c r="E1310" s="2" t="str">
        <f>"Q"&amp;ROUNDUP(MONTH(Table1[[#This Row],[PurchaseDate]])/3,0)</f>
        <v>Q4</v>
      </c>
      <c r="F1310" s="2">
        <f>MONTH(Table1[[#This Row],[PurchaseDate]])</f>
        <v>11</v>
      </c>
      <c r="G1310" s="2" t="str">
        <f>TEXT(Table1[[#This Row],[PurchaseDate]],"MMM")</f>
        <v>Nov</v>
      </c>
      <c r="H1310">
        <v>8</v>
      </c>
      <c r="I1310">
        <v>571.69000000000005</v>
      </c>
      <c r="J1310" t="s">
        <v>2472</v>
      </c>
      <c r="K1310" t="s">
        <v>13</v>
      </c>
      <c r="L1310" t="s">
        <v>58</v>
      </c>
      <c r="M1310">
        <v>1</v>
      </c>
      <c r="N1310">
        <v>4573.5200000000004</v>
      </c>
    </row>
    <row r="1311" spans="1:14" x14ac:dyDescent="0.3">
      <c r="A1311" t="s">
        <v>2473</v>
      </c>
      <c r="B1311" t="s">
        <v>25</v>
      </c>
      <c r="C1311" s="1">
        <v>45450</v>
      </c>
      <c r="D1311" s="2">
        <f>YEAR(Table1[[#This Row],[PurchaseDate]])</f>
        <v>2024</v>
      </c>
      <c r="E1311" s="2" t="str">
        <f>"Q"&amp;ROUNDUP(MONTH(Table1[[#This Row],[PurchaseDate]])/3,0)</f>
        <v>Q2</v>
      </c>
      <c r="F1311" s="2">
        <f>MONTH(Table1[[#This Row],[PurchaseDate]])</f>
        <v>6</v>
      </c>
      <c r="G1311" s="2" t="str">
        <f>TEXT(Table1[[#This Row],[PurchaseDate]],"MMM")</f>
        <v>Jun</v>
      </c>
      <c r="H1311">
        <v>1</v>
      </c>
      <c r="I1311">
        <v>77.78</v>
      </c>
      <c r="J1311" t="s">
        <v>2474</v>
      </c>
      <c r="K1311" t="s">
        <v>38</v>
      </c>
      <c r="L1311" t="s">
        <v>14</v>
      </c>
      <c r="M1311">
        <v>4</v>
      </c>
      <c r="N1311">
        <v>77.78</v>
      </c>
    </row>
    <row r="1312" spans="1:14" x14ac:dyDescent="0.3">
      <c r="A1312" t="s">
        <v>2475</v>
      </c>
      <c r="B1312" t="s">
        <v>42</v>
      </c>
      <c r="C1312" s="1">
        <v>45774</v>
      </c>
      <c r="D1312" s="2">
        <f>YEAR(Table1[[#This Row],[PurchaseDate]])</f>
        <v>2025</v>
      </c>
      <c r="E1312" s="2" t="str">
        <f>"Q"&amp;ROUNDUP(MONTH(Table1[[#This Row],[PurchaseDate]])/3,0)</f>
        <v>Q2</v>
      </c>
      <c r="F1312" s="2">
        <f>MONTH(Table1[[#This Row],[PurchaseDate]])</f>
        <v>4</v>
      </c>
      <c r="G1312" s="2" t="str">
        <f>TEXT(Table1[[#This Row],[PurchaseDate]],"MMM")</f>
        <v>Apr</v>
      </c>
      <c r="H1312">
        <v>7</v>
      </c>
      <c r="I1312">
        <v>71.72</v>
      </c>
      <c r="J1312" t="s">
        <v>2476</v>
      </c>
      <c r="K1312" t="s">
        <v>18</v>
      </c>
      <c r="L1312" t="s">
        <v>58</v>
      </c>
      <c r="M1312">
        <v>4</v>
      </c>
      <c r="N1312">
        <v>502.04</v>
      </c>
    </row>
    <row r="1313" spans="1:14" x14ac:dyDescent="0.3">
      <c r="A1313" t="s">
        <v>2477</v>
      </c>
      <c r="B1313" t="s">
        <v>16</v>
      </c>
      <c r="C1313" s="1">
        <v>45713</v>
      </c>
      <c r="D1313" s="2">
        <f>YEAR(Table1[[#This Row],[PurchaseDate]])</f>
        <v>2025</v>
      </c>
      <c r="E1313" s="2" t="str">
        <f>"Q"&amp;ROUNDUP(MONTH(Table1[[#This Row],[PurchaseDate]])/3,0)</f>
        <v>Q1</v>
      </c>
      <c r="F1313" s="2">
        <f>MONTH(Table1[[#This Row],[PurchaseDate]])</f>
        <v>2</v>
      </c>
      <c r="G1313" s="2" t="str">
        <f>TEXT(Table1[[#This Row],[PurchaseDate]],"MMM")</f>
        <v>Feb</v>
      </c>
      <c r="H1313">
        <v>6</v>
      </c>
      <c r="I1313">
        <v>416.07</v>
      </c>
      <c r="J1313" t="s">
        <v>2478</v>
      </c>
      <c r="K1313" t="s">
        <v>38</v>
      </c>
      <c r="L1313" t="s">
        <v>19</v>
      </c>
      <c r="M1313">
        <v>1</v>
      </c>
      <c r="N1313">
        <v>2496.42</v>
      </c>
    </row>
    <row r="1314" spans="1:14" x14ac:dyDescent="0.3">
      <c r="A1314" t="s">
        <v>1871</v>
      </c>
      <c r="B1314" t="s">
        <v>34</v>
      </c>
      <c r="C1314" s="1">
        <v>45580</v>
      </c>
      <c r="D1314" s="2">
        <f>YEAR(Table1[[#This Row],[PurchaseDate]])</f>
        <v>2024</v>
      </c>
      <c r="E1314" s="2" t="str">
        <f>"Q"&amp;ROUNDUP(MONTH(Table1[[#This Row],[PurchaseDate]])/3,0)</f>
        <v>Q4</v>
      </c>
      <c r="F1314" s="2">
        <f>MONTH(Table1[[#This Row],[PurchaseDate]])</f>
        <v>10</v>
      </c>
      <c r="G1314" s="2" t="str">
        <f>TEXT(Table1[[#This Row],[PurchaseDate]],"MMM")</f>
        <v>Oct</v>
      </c>
      <c r="H1314">
        <v>2</v>
      </c>
      <c r="I1314">
        <v>118.09</v>
      </c>
      <c r="J1314" t="s">
        <v>1872</v>
      </c>
      <c r="K1314" t="s">
        <v>38</v>
      </c>
      <c r="L1314" t="s">
        <v>58</v>
      </c>
      <c r="M1314">
        <v>4</v>
      </c>
      <c r="N1314">
        <v>236.18</v>
      </c>
    </row>
    <row r="1315" spans="1:14" x14ac:dyDescent="0.3">
      <c r="A1315" t="s">
        <v>1461</v>
      </c>
      <c r="B1315" t="s">
        <v>34</v>
      </c>
      <c r="C1315" s="1">
        <v>45220</v>
      </c>
      <c r="D1315" s="2">
        <f>YEAR(Table1[[#This Row],[PurchaseDate]])</f>
        <v>2023</v>
      </c>
      <c r="E1315" s="2" t="str">
        <f>"Q"&amp;ROUNDUP(MONTH(Table1[[#This Row],[PurchaseDate]])/3,0)</f>
        <v>Q4</v>
      </c>
      <c r="F1315" s="2">
        <f>MONTH(Table1[[#This Row],[PurchaseDate]])</f>
        <v>10</v>
      </c>
      <c r="G1315" s="2" t="str">
        <f>TEXT(Table1[[#This Row],[PurchaseDate]],"MMM")</f>
        <v>Oct</v>
      </c>
      <c r="H1315">
        <v>5</v>
      </c>
      <c r="I1315">
        <v>389.64</v>
      </c>
      <c r="J1315" t="s">
        <v>1462</v>
      </c>
      <c r="K1315" t="s">
        <v>38</v>
      </c>
      <c r="L1315" t="s">
        <v>14</v>
      </c>
      <c r="M1315">
        <v>5</v>
      </c>
      <c r="N1315">
        <v>1948.2</v>
      </c>
    </row>
    <row r="1316" spans="1:14" x14ac:dyDescent="0.3">
      <c r="A1316" t="s">
        <v>2479</v>
      </c>
      <c r="B1316" t="s">
        <v>16</v>
      </c>
      <c r="C1316" s="1">
        <v>45498</v>
      </c>
      <c r="D1316" s="2">
        <f>YEAR(Table1[[#This Row],[PurchaseDate]])</f>
        <v>2024</v>
      </c>
      <c r="E1316" s="2" t="str">
        <f>"Q"&amp;ROUNDUP(MONTH(Table1[[#This Row],[PurchaseDate]])/3,0)</f>
        <v>Q3</v>
      </c>
      <c r="F1316" s="2">
        <f>MONTH(Table1[[#This Row],[PurchaseDate]])</f>
        <v>7</v>
      </c>
      <c r="G1316" s="2" t="str">
        <f>TEXT(Table1[[#This Row],[PurchaseDate]],"MMM")</f>
        <v>Jul</v>
      </c>
      <c r="H1316">
        <v>1</v>
      </c>
      <c r="I1316">
        <v>193.13</v>
      </c>
      <c r="J1316" t="s">
        <v>2480</v>
      </c>
      <c r="K1316" t="s">
        <v>13</v>
      </c>
      <c r="L1316" t="s">
        <v>27</v>
      </c>
      <c r="M1316">
        <v>4</v>
      </c>
      <c r="N1316">
        <v>193.13</v>
      </c>
    </row>
    <row r="1317" spans="1:14" x14ac:dyDescent="0.3">
      <c r="A1317" t="s">
        <v>2481</v>
      </c>
      <c r="B1317" t="s">
        <v>25</v>
      </c>
      <c r="C1317" s="1">
        <v>45057</v>
      </c>
      <c r="D1317" s="2">
        <f>YEAR(Table1[[#This Row],[PurchaseDate]])</f>
        <v>2023</v>
      </c>
      <c r="E1317" s="2" t="str">
        <f>"Q"&amp;ROUNDUP(MONTH(Table1[[#This Row],[PurchaseDate]])/3,0)</f>
        <v>Q2</v>
      </c>
      <c r="F1317" s="2">
        <f>MONTH(Table1[[#This Row],[PurchaseDate]])</f>
        <v>5</v>
      </c>
      <c r="G1317" s="2" t="str">
        <f>TEXT(Table1[[#This Row],[PurchaseDate]],"MMM")</f>
        <v>May</v>
      </c>
      <c r="H1317">
        <v>2</v>
      </c>
      <c r="I1317">
        <v>739.2</v>
      </c>
      <c r="J1317" t="s">
        <v>2482</v>
      </c>
      <c r="K1317" t="s">
        <v>18</v>
      </c>
      <c r="L1317" t="s">
        <v>23</v>
      </c>
      <c r="M1317">
        <v>4</v>
      </c>
      <c r="N1317">
        <v>1478.4</v>
      </c>
    </row>
    <row r="1318" spans="1:14" x14ac:dyDescent="0.3">
      <c r="A1318" t="s">
        <v>2483</v>
      </c>
      <c r="B1318" t="s">
        <v>29</v>
      </c>
      <c r="C1318" s="1">
        <v>45547</v>
      </c>
      <c r="D1318" s="2">
        <f>YEAR(Table1[[#This Row],[PurchaseDate]])</f>
        <v>2024</v>
      </c>
      <c r="E1318" s="2" t="str">
        <f>"Q"&amp;ROUNDUP(MONTH(Table1[[#This Row],[PurchaseDate]])/3,0)</f>
        <v>Q3</v>
      </c>
      <c r="F1318" s="2">
        <f>MONTH(Table1[[#This Row],[PurchaseDate]])</f>
        <v>9</v>
      </c>
      <c r="G1318" s="2" t="str">
        <f>TEXT(Table1[[#This Row],[PurchaseDate]],"MMM")</f>
        <v>Sep</v>
      </c>
      <c r="H1318">
        <v>1</v>
      </c>
      <c r="I1318">
        <v>634.04999999999995</v>
      </c>
      <c r="J1318" t="s">
        <v>2484</v>
      </c>
      <c r="K1318" t="s">
        <v>38</v>
      </c>
      <c r="L1318" t="s">
        <v>14</v>
      </c>
      <c r="M1318">
        <v>2</v>
      </c>
      <c r="N1318">
        <v>634.04999999999995</v>
      </c>
    </row>
    <row r="1319" spans="1:14" x14ac:dyDescent="0.3">
      <c r="A1319" t="s">
        <v>2485</v>
      </c>
      <c r="B1319" t="s">
        <v>42</v>
      </c>
      <c r="C1319" s="1">
        <v>45487</v>
      </c>
      <c r="D1319" s="2">
        <f>YEAR(Table1[[#This Row],[PurchaseDate]])</f>
        <v>2024</v>
      </c>
      <c r="E1319" s="2" t="str">
        <f>"Q"&amp;ROUNDUP(MONTH(Table1[[#This Row],[PurchaseDate]])/3,0)</f>
        <v>Q3</v>
      </c>
      <c r="F1319" s="2">
        <f>MONTH(Table1[[#This Row],[PurchaseDate]])</f>
        <v>7</v>
      </c>
      <c r="G1319" s="2" t="str">
        <f>TEXT(Table1[[#This Row],[PurchaseDate]],"MMM")</f>
        <v>Jul</v>
      </c>
      <c r="H1319">
        <v>6</v>
      </c>
      <c r="I1319">
        <v>284.14999999999998</v>
      </c>
      <c r="J1319" t="s">
        <v>2486</v>
      </c>
      <c r="K1319" t="s">
        <v>38</v>
      </c>
      <c r="L1319" t="s">
        <v>58</v>
      </c>
      <c r="M1319">
        <v>1</v>
      </c>
      <c r="N1319">
        <v>1704.9</v>
      </c>
    </row>
    <row r="1320" spans="1:14" x14ac:dyDescent="0.3">
      <c r="A1320" t="s">
        <v>2487</v>
      </c>
      <c r="B1320" t="s">
        <v>29</v>
      </c>
      <c r="C1320" s="1">
        <v>45278</v>
      </c>
      <c r="D1320" s="2">
        <f>YEAR(Table1[[#This Row],[PurchaseDate]])</f>
        <v>2023</v>
      </c>
      <c r="E1320" s="2" t="str">
        <f>"Q"&amp;ROUNDUP(MONTH(Table1[[#This Row],[PurchaseDate]])/3,0)</f>
        <v>Q4</v>
      </c>
      <c r="F1320" s="2">
        <f>MONTH(Table1[[#This Row],[PurchaseDate]])</f>
        <v>12</v>
      </c>
      <c r="G1320" s="2" t="str">
        <f>TEXT(Table1[[#This Row],[PurchaseDate]],"MMM")</f>
        <v>Dec</v>
      </c>
      <c r="H1320">
        <v>6</v>
      </c>
      <c r="I1320">
        <v>296.52999999999997</v>
      </c>
      <c r="J1320" t="s">
        <v>2488</v>
      </c>
      <c r="K1320" t="s">
        <v>38</v>
      </c>
      <c r="L1320" t="s">
        <v>58</v>
      </c>
      <c r="M1320">
        <v>3</v>
      </c>
      <c r="N1320">
        <v>1779.18</v>
      </c>
    </row>
    <row r="1321" spans="1:14" x14ac:dyDescent="0.3">
      <c r="A1321" t="s">
        <v>1373</v>
      </c>
      <c r="B1321" t="s">
        <v>21</v>
      </c>
      <c r="C1321" s="1">
        <v>45010</v>
      </c>
      <c r="D1321" s="2">
        <f>YEAR(Table1[[#This Row],[PurchaseDate]])</f>
        <v>2023</v>
      </c>
      <c r="E1321" s="2" t="str">
        <f>"Q"&amp;ROUNDUP(MONTH(Table1[[#This Row],[PurchaseDate]])/3,0)</f>
        <v>Q1</v>
      </c>
      <c r="F1321" s="2">
        <f>MONTH(Table1[[#This Row],[PurchaseDate]])</f>
        <v>3</v>
      </c>
      <c r="G1321" s="2" t="str">
        <f>TEXT(Table1[[#This Row],[PurchaseDate]],"MMM")</f>
        <v>Mar</v>
      </c>
      <c r="H1321">
        <v>4</v>
      </c>
      <c r="I1321">
        <v>84.57</v>
      </c>
      <c r="J1321" t="s">
        <v>1374</v>
      </c>
      <c r="K1321" t="s">
        <v>18</v>
      </c>
      <c r="L1321" t="s">
        <v>27</v>
      </c>
      <c r="M1321">
        <v>5</v>
      </c>
      <c r="N1321">
        <v>338.28</v>
      </c>
    </row>
    <row r="1322" spans="1:14" x14ac:dyDescent="0.3">
      <c r="A1322" t="s">
        <v>513</v>
      </c>
      <c r="B1322" t="s">
        <v>29</v>
      </c>
      <c r="C1322" s="1">
        <v>45823</v>
      </c>
      <c r="D1322" s="2">
        <f>YEAR(Table1[[#This Row],[PurchaseDate]])</f>
        <v>2025</v>
      </c>
      <c r="E1322" s="2" t="str">
        <f>"Q"&amp;ROUNDUP(MONTH(Table1[[#This Row],[PurchaseDate]])/3,0)</f>
        <v>Q2</v>
      </c>
      <c r="F1322" s="2">
        <f>MONTH(Table1[[#This Row],[PurchaseDate]])</f>
        <v>6</v>
      </c>
      <c r="G1322" s="2" t="str">
        <f>TEXT(Table1[[#This Row],[PurchaseDate]],"MMM")</f>
        <v>Jun</v>
      </c>
      <c r="H1322">
        <v>2</v>
      </c>
      <c r="I1322">
        <v>219.67</v>
      </c>
      <c r="J1322" t="s">
        <v>514</v>
      </c>
      <c r="K1322" t="s">
        <v>38</v>
      </c>
      <c r="L1322" t="s">
        <v>58</v>
      </c>
      <c r="M1322">
        <v>2</v>
      </c>
      <c r="N1322">
        <v>439.34</v>
      </c>
    </row>
    <row r="1323" spans="1:14" x14ac:dyDescent="0.3">
      <c r="A1323" t="s">
        <v>2489</v>
      </c>
      <c r="B1323" t="s">
        <v>25</v>
      </c>
      <c r="C1323" s="1">
        <v>45415</v>
      </c>
      <c r="D1323" s="2">
        <f>YEAR(Table1[[#This Row],[PurchaseDate]])</f>
        <v>2024</v>
      </c>
      <c r="E1323" s="2" t="str">
        <f>"Q"&amp;ROUNDUP(MONTH(Table1[[#This Row],[PurchaseDate]])/3,0)</f>
        <v>Q2</v>
      </c>
      <c r="F1323" s="2">
        <f>MONTH(Table1[[#This Row],[PurchaseDate]])</f>
        <v>5</v>
      </c>
      <c r="G1323" s="2" t="str">
        <f>TEXT(Table1[[#This Row],[PurchaseDate]],"MMM")</f>
        <v>May</v>
      </c>
      <c r="H1323">
        <v>7</v>
      </c>
      <c r="I1323">
        <v>41.71</v>
      </c>
      <c r="J1323" t="s">
        <v>2490</v>
      </c>
      <c r="K1323" t="s">
        <v>18</v>
      </c>
      <c r="L1323" t="s">
        <v>14</v>
      </c>
      <c r="M1323">
        <v>5</v>
      </c>
      <c r="N1323">
        <v>291.97000000000003</v>
      </c>
    </row>
    <row r="1324" spans="1:14" x14ac:dyDescent="0.3">
      <c r="A1324" t="s">
        <v>2491</v>
      </c>
      <c r="B1324" t="s">
        <v>21</v>
      </c>
      <c r="C1324" s="1">
        <v>45689</v>
      </c>
      <c r="D1324" s="2">
        <f>YEAR(Table1[[#This Row],[PurchaseDate]])</f>
        <v>2025</v>
      </c>
      <c r="E1324" s="2" t="str">
        <f>"Q"&amp;ROUNDUP(MONTH(Table1[[#This Row],[PurchaseDate]])/3,0)</f>
        <v>Q1</v>
      </c>
      <c r="F1324" s="2">
        <f>MONTH(Table1[[#This Row],[PurchaseDate]])</f>
        <v>2</v>
      </c>
      <c r="G1324" s="2" t="str">
        <f>TEXT(Table1[[#This Row],[PurchaseDate]],"MMM")</f>
        <v>Feb</v>
      </c>
      <c r="H1324">
        <v>2</v>
      </c>
      <c r="I1324">
        <v>740.52</v>
      </c>
      <c r="J1324" t="s">
        <v>2492</v>
      </c>
      <c r="K1324" t="s">
        <v>13</v>
      </c>
      <c r="L1324" t="s">
        <v>58</v>
      </c>
      <c r="M1324">
        <v>5</v>
      </c>
      <c r="N1324">
        <v>1481.04</v>
      </c>
    </row>
    <row r="1325" spans="1:14" x14ac:dyDescent="0.3">
      <c r="A1325" t="s">
        <v>2493</v>
      </c>
      <c r="B1325" t="s">
        <v>25</v>
      </c>
      <c r="C1325" s="1">
        <v>44969</v>
      </c>
      <c r="D1325" s="2">
        <f>YEAR(Table1[[#This Row],[PurchaseDate]])</f>
        <v>2023</v>
      </c>
      <c r="E1325" s="2" t="str">
        <f>"Q"&amp;ROUNDUP(MONTH(Table1[[#This Row],[PurchaseDate]])/3,0)</f>
        <v>Q1</v>
      </c>
      <c r="F1325" s="2">
        <f>MONTH(Table1[[#This Row],[PurchaseDate]])</f>
        <v>2</v>
      </c>
      <c r="G1325" s="2" t="str">
        <f>TEXT(Table1[[#This Row],[PurchaseDate]],"MMM")</f>
        <v>Feb</v>
      </c>
      <c r="H1325">
        <v>4</v>
      </c>
      <c r="I1325">
        <v>213.16</v>
      </c>
      <c r="J1325" t="s">
        <v>2494</v>
      </c>
      <c r="K1325" t="s">
        <v>38</v>
      </c>
      <c r="L1325" t="s">
        <v>27</v>
      </c>
      <c r="M1325">
        <v>2</v>
      </c>
      <c r="N1325">
        <v>852.64</v>
      </c>
    </row>
    <row r="1326" spans="1:14" x14ac:dyDescent="0.3">
      <c r="A1326" t="s">
        <v>2495</v>
      </c>
      <c r="B1326" t="s">
        <v>21</v>
      </c>
      <c r="C1326" s="1">
        <v>45753</v>
      </c>
      <c r="D1326" s="2">
        <f>YEAR(Table1[[#This Row],[PurchaseDate]])</f>
        <v>2025</v>
      </c>
      <c r="E1326" s="2" t="str">
        <f>"Q"&amp;ROUNDUP(MONTH(Table1[[#This Row],[PurchaseDate]])/3,0)</f>
        <v>Q2</v>
      </c>
      <c r="F1326" s="2">
        <f>MONTH(Table1[[#This Row],[PurchaseDate]])</f>
        <v>4</v>
      </c>
      <c r="G1326" s="2" t="str">
        <f>TEXT(Table1[[#This Row],[PurchaseDate]],"MMM")</f>
        <v>Apr</v>
      </c>
      <c r="H1326">
        <v>8</v>
      </c>
      <c r="I1326">
        <v>651.37</v>
      </c>
      <c r="J1326" t="s">
        <v>2496</v>
      </c>
      <c r="K1326" t="s">
        <v>18</v>
      </c>
      <c r="L1326" t="s">
        <v>23</v>
      </c>
      <c r="M1326">
        <v>3</v>
      </c>
      <c r="N1326">
        <v>5210.96</v>
      </c>
    </row>
    <row r="1327" spans="1:14" x14ac:dyDescent="0.3">
      <c r="A1327" t="s">
        <v>2497</v>
      </c>
      <c r="B1327" t="s">
        <v>29</v>
      </c>
      <c r="C1327" s="1">
        <v>45262</v>
      </c>
      <c r="D1327" s="2">
        <f>YEAR(Table1[[#This Row],[PurchaseDate]])</f>
        <v>2023</v>
      </c>
      <c r="E1327" s="2" t="str">
        <f>"Q"&amp;ROUNDUP(MONTH(Table1[[#This Row],[PurchaseDate]])/3,0)</f>
        <v>Q4</v>
      </c>
      <c r="F1327" s="2">
        <f>MONTH(Table1[[#This Row],[PurchaseDate]])</f>
        <v>12</v>
      </c>
      <c r="G1327" s="2" t="str">
        <f>TEXT(Table1[[#This Row],[PurchaseDate]],"MMM")</f>
        <v>Dec</v>
      </c>
      <c r="H1327">
        <v>3</v>
      </c>
      <c r="I1327">
        <v>409.39</v>
      </c>
      <c r="J1327" t="s">
        <v>2498</v>
      </c>
      <c r="K1327" t="s">
        <v>13</v>
      </c>
      <c r="L1327" t="s">
        <v>14</v>
      </c>
      <c r="M1327">
        <v>3</v>
      </c>
      <c r="N1327">
        <v>1228.17</v>
      </c>
    </row>
    <row r="1328" spans="1:14" x14ac:dyDescent="0.3">
      <c r="A1328" t="s">
        <v>2499</v>
      </c>
      <c r="B1328" t="s">
        <v>11</v>
      </c>
      <c r="C1328" s="1">
        <v>45586</v>
      </c>
      <c r="D1328" s="2">
        <f>YEAR(Table1[[#This Row],[PurchaseDate]])</f>
        <v>2024</v>
      </c>
      <c r="E1328" s="2" t="str">
        <f>"Q"&amp;ROUNDUP(MONTH(Table1[[#This Row],[PurchaseDate]])/3,0)</f>
        <v>Q4</v>
      </c>
      <c r="F1328" s="2">
        <f>MONTH(Table1[[#This Row],[PurchaseDate]])</f>
        <v>10</v>
      </c>
      <c r="G1328" s="2" t="str">
        <f>TEXT(Table1[[#This Row],[PurchaseDate]],"MMM")</f>
        <v>Oct</v>
      </c>
      <c r="H1328">
        <v>7</v>
      </c>
      <c r="I1328">
        <v>501.04</v>
      </c>
      <c r="J1328" t="s">
        <v>2500</v>
      </c>
      <c r="K1328" t="s">
        <v>38</v>
      </c>
      <c r="L1328" t="s">
        <v>23</v>
      </c>
      <c r="M1328">
        <v>1</v>
      </c>
      <c r="N1328">
        <v>3507.28</v>
      </c>
    </row>
    <row r="1329" spans="1:14" x14ac:dyDescent="0.3">
      <c r="A1329" t="s">
        <v>2501</v>
      </c>
      <c r="B1329" t="s">
        <v>29</v>
      </c>
      <c r="C1329" s="1">
        <v>45278</v>
      </c>
      <c r="D1329" s="2">
        <f>YEAR(Table1[[#This Row],[PurchaseDate]])</f>
        <v>2023</v>
      </c>
      <c r="E1329" s="2" t="str">
        <f>"Q"&amp;ROUNDUP(MONTH(Table1[[#This Row],[PurchaseDate]])/3,0)</f>
        <v>Q4</v>
      </c>
      <c r="F1329" s="2">
        <f>MONTH(Table1[[#This Row],[PurchaseDate]])</f>
        <v>12</v>
      </c>
      <c r="G1329" s="2" t="str">
        <f>TEXT(Table1[[#This Row],[PurchaseDate]],"MMM")</f>
        <v>Dec</v>
      </c>
      <c r="H1329">
        <v>8</v>
      </c>
      <c r="I1329">
        <v>419.04</v>
      </c>
      <c r="J1329" t="s">
        <v>2502</v>
      </c>
      <c r="K1329" t="s">
        <v>38</v>
      </c>
      <c r="L1329" t="s">
        <v>19</v>
      </c>
      <c r="M1329">
        <v>3</v>
      </c>
      <c r="N1329">
        <v>3352.32</v>
      </c>
    </row>
    <row r="1330" spans="1:14" x14ac:dyDescent="0.3">
      <c r="A1330" t="s">
        <v>2503</v>
      </c>
      <c r="B1330" t="s">
        <v>11</v>
      </c>
      <c r="C1330" s="1">
        <v>45136</v>
      </c>
      <c r="D1330" s="2">
        <f>YEAR(Table1[[#This Row],[PurchaseDate]])</f>
        <v>2023</v>
      </c>
      <c r="E1330" s="2" t="str">
        <f>"Q"&amp;ROUNDUP(MONTH(Table1[[#This Row],[PurchaseDate]])/3,0)</f>
        <v>Q3</v>
      </c>
      <c r="F1330" s="2">
        <f>MONTH(Table1[[#This Row],[PurchaseDate]])</f>
        <v>7</v>
      </c>
      <c r="G1330" s="2" t="str">
        <f>TEXT(Table1[[#This Row],[PurchaseDate]],"MMM")</f>
        <v>Jul</v>
      </c>
      <c r="H1330">
        <v>6</v>
      </c>
      <c r="I1330">
        <v>412.16</v>
      </c>
      <c r="J1330" t="s">
        <v>2504</v>
      </c>
      <c r="K1330" t="s">
        <v>38</v>
      </c>
      <c r="L1330" t="s">
        <v>27</v>
      </c>
      <c r="M1330">
        <v>3</v>
      </c>
      <c r="N1330">
        <v>2472.96</v>
      </c>
    </row>
    <row r="1331" spans="1:14" x14ac:dyDescent="0.3">
      <c r="A1331" t="s">
        <v>199</v>
      </c>
      <c r="B1331" t="s">
        <v>34</v>
      </c>
      <c r="C1331" s="1">
        <v>45604</v>
      </c>
      <c r="D1331" s="2">
        <f>YEAR(Table1[[#This Row],[PurchaseDate]])</f>
        <v>2024</v>
      </c>
      <c r="E1331" s="2" t="str">
        <f>"Q"&amp;ROUNDUP(MONTH(Table1[[#This Row],[PurchaseDate]])/3,0)</f>
        <v>Q4</v>
      </c>
      <c r="F1331" s="2">
        <f>MONTH(Table1[[#This Row],[PurchaseDate]])</f>
        <v>11</v>
      </c>
      <c r="G1331" s="2" t="str">
        <f>TEXT(Table1[[#This Row],[PurchaseDate]],"MMM")</f>
        <v>Nov</v>
      </c>
      <c r="H1331">
        <v>3</v>
      </c>
      <c r="I1331">
        <v>244.2</v>
      </c>
      <c r="J1331" t="s">
        <v>200</v>
      </c>
      <c r="K1331" t="s">
        <v>18</v>
      </c>
      <c r="L1331" t="s">
        <v>58</v>
      </c>
      <c r="M1331">
        <v>1</v>
      </c>
      <c r="N1331">
        <v>732.6</v>
      </c>
    </row>
    <row r="1332" spans="1:14" x14ac:dyDescent="0.3">
      <c r="A1332" t="s">
        <v>2505</v>
      </c>
      <c r="B1332" t="s">
        <v>11</v>
      </c>
      <c r="C1332" s="1">
        <v>44939</v>
      </c>
      <c r="D1332" s="2">
        <f>YEAR(Table1[[#This Row],[PurchaseDate]])</f>
        <v>2023</v>
      </c>
      <c r="E1332" s="2" t="str">
        <f>"Q"&amp;ROUNDUP(MONTH(Table1[[#This Row],[PurchaseDate]])/3,0)</f>
        <v>Q1</v>
      </c>
      <c r="F1332" s="2">
        <f>MONTH(Table1[[#This Row],[PurchaseDate]])</f>
        <v>1</v>
      </c>
      <c r="G1332" s="2" t="str">
        <f>TEXT(Table1[[#This Row],[PurchaseDate]],"MMM")</f>
        <v>Jan</v>
      </c>
      <c r="H1332">
        <v>7</v>
      </c>
      <c r="I1332">
        <v>113.4</v>
      </c>
      <c r="J1332" t="s">
        <v>2506</v>
      </c>
      <c r="K1332" t="s">
        <v>18</v>
      </c>
      <c r="L1332" t="s">
        <v>14</v>
      </c>
      <c r="M1332">
        <v>3</v>
      </c>
      <c r="N1332">
        <v>793.8</v>
      </c>
    </row>
    <row r="1333" spans="1:14" x14ac:dyDescent="0.3">
      <c r="A1333" t="s">
        <v>2507</v>
      </c>
      <c r="B1333" t="s">
        <v>42</v>
      </c>
      <c r="C1333" s="1">
        <v>45171</v>
      </c>
      <c r="D1333" s="2">
        <f>YEAR(Table1[[#This Row],[PurchaseDate]])</f>
        <v>2023</v>
      </c>
      <c r="E1333" s="2" t="str">
        <f>"Q"&amp;ROUNDUP(MONTH(Table1[[#This Row],[PurchaseDate]])/3,0)</f>
        <v>Q3</v>
      </c>
      <c r="F1333" s="2">
        <f>MONTH(Table1[[#This Row],[PurchaseDate]])</f>
        <v>9</v>
      </c>
      <c r="G1333" s="2" t="str">
        <f>TEXT(Table1[[#This Row],[PurchaseDate]],"MMM")</f>
        <v>Sep</v>
      </c>
      <c r="H1333">
        <v>8</v>
      </c>
      <c r="I1333">
        <v>242.59</v>
      </c>
      <c r="J1333" t="s">
        <v>2508</v>
      </c>
      <c r="K1333" t="s">
        <v>13</v>
      </c>
      <c r="L1333" t="s">
        <v>19</v>
      </c>
      <c r="M1333">
        <v>3</v>
      </c>
      <c r="N1333">
        <v>1940.72</v>
      </c>
    </row>
    <row r="1334" spans="1:14" x14ac:dyDescent="0.3">
      <c r="A1334" t="s">
        <v>2509</v>
      </c>
      <c r="B1334" t="s">
        <v>42</v>
      </c>
      <c r="C1334" s="1">
        <v>45428</v>
      </c>
      <c r="D1334" s="2">
        <f>YEAR(Table1[[#This Row],[PurchaseDate]])</f>
        <v>2024</v>
      </c>
      <c r="E1334" s="2" t="str">
        <f>"Q"&amp;ROUNDUP(MONTH(Table1[[#This Row],[PurchaseDate]])/3,0)</f>
        <v>Q2</v>
      </c>
      <c r="F1334" s="2">
        <f>MONTH(Table1[[#This Row],[PurchaseDate]])</f>
        <v>5</v>
      </c>
      <c r="G1334" s="2" t="str">
        <f>TEXT(Table1[[#This Row],[PurchaseDate]],"MMM")</f>
        <v>May</v>
      </c>
      <c r="H1334">
        <v>7</v>
      </c>
      <c r="I1334">
        <v>626.07000000000005</v>
      </c>
      <c r="J1334" t="s">
        <v>2510</v>
      </c>
      <c r="K1334" t="s">
        <v>13</v>
      </c>
      <c r="L1334" t="s">
        <v>23</v>
      </c>
      <c r="M1334">
        <v>4</v>
      </c>
      <c r="N1334">
        <v>4382.49</v>
      </c>
    </row>
    <row r="1335" spans="1:14" x14ac:dyDescent="0.3">
      <c r="A1335" t="s">
        <v>2511</v>
      </c>
      <c r="B1335" t="s">
        <v>11</v>
      </c>
      <c r="C1335" s="1">
        <v>45144</v>
      </c>
      <c r="D1335" s="2">
        <f>YEAR(Table1[[#This Row],[PurchaseDate]])</f>
        <v>2023</v>
      </c>
      <c r="E1335" s="2" t="str">
        <f>"Q"&amp;ROUNDUP(MONTH(Table1[[#This Row],[PurchaseDate]])/3,0)</f>
        <v>Q3</v>
      </c>
      <c r="F1335" s="2">
        <f>MONTH(Table1[[#This Row],[PurchaseDate]])</f>
        <v>8</v>
      </c>
      <c r="G1335" s="2" t="str">
        <f>TEXT(Table1[[#This Row],[PurchaseDate]],"MMM")</f>
        <v>Aug</v>
      </c>
      <c r="H1335">
        <v>6</v>
      </c>
      <c r="I1335">
        <v>705.92</v>
      </c>
      <c r="J1335" t="s">
        <v>2512</v>
      </c>
      <c r="K1335" t="s">
        <v>13</v>
      </c>
      <c r="L1335" t="s">
        <v>23</v>
      </c>
      <c r="M1335">
        <v>5</v>
      </c>
      <c r="N1335">
        <v>4235.5200000000004</v>
      </c>
    </row>
    <row r="1336" spans="1:14" x14ac:dyDescent="0.3">
      <c r="A1336" t="s">
        <v>2513</v>
      </c>
      <c r="B1336" t="s">
        <v>11</v>
      </c>
      <c r="C1336" s="1">
        <v>45783</v>
      </c>
      <c r="D1336" s="2">
        <f>YEAR(Table1[[#This Row],[PurchaseDate]])</f>
        <v>2025</v>
      </c>
      <c r="E1336" s="2" t="str">
        <f>"Q"&amp;ROUNDUP(MONTH(Table1[[#This Row],[PurchaseDate]])/3,0)</f>
        <v>Q2</v>
      </c>
      <c r="F1336" s="2">
        <f>MONTH(Table1[[#This Row],[PurchaseDate]])</f>
        <v>5</v>
      </c>
      <c r="G1336" s="2" t="str">
        <f>TEXT(Table1[[#This Row],[PurchaseDate]],"MMM")</f>
        <v>May</v>
      </c>
      <c r="H1336">
        <v>4</v>
      </c>
      <c r="I1336">
        <v>683.24</v>
      </c>
      <c r="J1336" t="s">
        <v>2514</v>
      </c>
      <c r="K1336" t="s">
        <v>13</v>
      </c>
      <c r="L1336" t="s">
        <v>14</v>
      </c>
      <c r="M1336">
        <v>5</v>
      </c>
      <c r="N1336">
        <v>2732.96</v>
      </c>
    </row>
    <row r="1337" spans="1:14" x14ac:dyDescent="0.3">
      <c r="A1337" t="s">
        <v>2515</v>
      </c>
      <c r="B1337" t="s">
        <v>34</v>
      </c>
      <c r="C1337" s="1">
        <v>45403</v>
      </c>
      <c r="D1337" s="2">
        <f>YEAR(Table1[[#This Row],[PurchaseDate]])</f>
        <v>2024</v>
      </c>
      <c r="E1337" s="2" t="str">
        <f>"Q"&amp;ROUNDUP(MONTH(Table1[[#This Row],[PurchaseDate]])/3,0)</f>
        <v>Q2</v>
      </c>
      <c r="F1337" s="2">
        <f>MONTH(Table1[[#This Row],[PurchaseDate]])</f>
        <v>4</v>
      </c>
      <c r="G1337" s="2" t="str">
        <f>TEXT(Table1[[#This Row],[PurchaseDate]],"MMM")</f>
        <v>Apr</v>
      </c>
      <c r="H1337">
        <v>1</v>
      </c>
      <c r="I1337">
        <v>99.7</v>
      </c>
      <c r="J1337" t="s">
        <v>2516</v>
      </c>
      <c r="K1337" t="s">
        <v>18</v>
      </c>
      <c r="L1337" t="s">
        <v>27</v>
      </c>
      <c r="M1337">
        <v>4</v>
      </c>
      <c r="N1337">
        <v>99.7</v>
      </c>
    </row>
    <row r="1338" spans="1:14" x14ac:dyDescent="0.3">
      <c r="A1338" t="s">
        <v>2249</v>
      </c>
      <c r="B1338" t="s">
        <v>29</v>
      </c>
      <c r="C1338" s="1">
        <v>45721</v>
      </c>
      <c r="D1338" s="2">
        <f>YEAR(Table1[[#This Row],[PurchaseDate]])</f>
        <v>2025</v>
      </c>
      <c r="E1338" s="2" t="str">
        <f>"Q"&amp;ROUNDUP(MONTH(Table1[[#This Row],[PurchaseDate]])/3,0)</f>
        <v>Q1</v>
      </c>
      <c r="F1338" s="2">
        <f>MONTH(Table1[[#This Row],[PurchaseDate]])</f>
        <v>3</v>
      </c>
      <c r="G1338" s="2" t="str">
        <f>TEXT(Table1[[#This Row],[PurchaseDate]],"MMM")</f>
        <v>Mar</v>
      </c>
      <c r="H1338">
        <v>7</v>
      </c>
      <c r="I1338">
        <v>699.91</v>
      </c>
      <c r="J1338" t="s">
        <v>2250</v>
      </c>
      <c r="K1338" t="s">
        <v>13</v>
      </c>
      <c r="L1338" t="s">
        <v>14</v>
      </c>
      <c r="M1338">
        <v>5</v>
      </c>
      <c r="N1338">
        <v>4899.37</v>
      </c>
    </row>
    <row r="1339" spans="1:14" x14ac:dyDescent="0.3">
      <c r="A1339" t="s">
        <v>2393</v>
      </c>
      <c r="B1339" t="s">
        <v>34</v>
      </c>
      <c r="C1339" s="1">
        <v>45606</v>
      </c>
      <c r="D1339" s="2">
        <f>YEAR(Table1[[#This Row],[PurchaseDate]])</f>
        <v>2024</v>
      </c>
      <c r="E1339" s="2" t="str">
        <f>"Q"&amp;ROUNDUP(MONTH(Table1[[#This Row],[PurchaseDate]])/3,0)</f>
        <v>Q4</v>
      </c>
      <c r="F1339" s="2">
        <f>MONTH(Table1[[#This Row],[PurchaseDate]])</f>
        <v>11</v>
      </c>
      <c r="G1339" s="2" t="str">
        <f>TEXT(Table1[[#This Row],[PurchaseDate]],"MMM")</f>
        <v>Nov</v>
      </c>
      <c r="H1339">
        <v>2</v>
      </c>
      <c r="I1339">
        <v>162.74</v>
      </c>
      <c r="J1339" t="s">
        <v>2394</v>
      </c>
      <c r="K1339" t="s">
        <v>13</v>
      </c>
      <c r="L1339" t="s">
        <v>14</v>
      </c>
      <c r="M1339">
        <v>4</v>
      </c>
      <c r="N1339">
        <v>325.48</v>
      </c>
    </row>
    <row r="1340" spans="1:14" x14ac:dyDescent="0.3">
      <c r="A1340" t="s">
        <v>2517</v>
      </c>
      <c r="B1340" t="s">
        <v>42</v>
      </c>
      <c r="C1340" s="1">
        <v>45253</v>
      </c>
      <c r="D1340" s="2">
        <f>YEAR(Table1[[#This Row],[PurchaseDate]])</f>
        <v>2023</v>
      </c>
      <c r="E1340" s="2" t="str">
        <f>"Q"&amp;ROUNDUP(MONTH(Table1[[#This Row],[PurchaseDate]])/3,0)</f>
        <v>Q4</v>
      </c>
      <c r="F1340" s="2">
        <f>MONTH(Table1[[#This Row],[PurchaseDate]])</f>
        <v>11</v>
      </c>
      <c r="G1340" s="2" t="str">
        <f>TEXT(Table1[[#This Row],[PurchaseDate]],"MMM")</f>
        <v>Nov</v>
      </c>
      <c r="H1340">
        <v>6</v>
      </c>
      <c r="I1340">
        <v>101.6</v>
      </c>
      <c r="J1340" t="s">
        <v>2518</v>
      </c>
      <c r="K1340" t="s">
        <v>13</v>
      </c>
      <c r="L1340" t="s">
        <v>14</v>
      </c>
      <c r="M1340">
        <v>5</v>
      </c>
      <c r="N1340">
        <v>609.6</v>
      </c>
    </row>
    <row r="1341" spans="1:14" x14ac:dyDescent="0.3">
      <c r="A1341" t="s">
        <v>1463</v>
      </c>
      <c r="B1341" t="s">
        <v>42</v>
      </c>
      <c r="C1341" s="1">
        <v>45315</v>
      </c>
      <c r="D1341" s="2">
        <f>YEAR(Table1[[#This Row],[PurchaseDate]])</f>
        <v>2024</v>
      </c>
      <c r="E1341" s="2" t="str">
        <f>"Q"&amp;ROUNDUP(MONTH(Table1[[#This Row],[PurchaseDate]])/3,0)</f>
        <v>Q1</v>
      </c>
      <c r="F1341" s="2">
        <f>MONTH(Table1[[#This Row],[PurchaseDate]])</f>
        <v>1</v>
      </c>
      <c r="G1341" s="2" t="str">
        <f>TEXT(Table1[[#This Row],[PurchaseDate]],"MMM")</f>
        <v>Jan</v>
      </c>
      <c r="H1341">
        <v>1</v>
      </c>
      <c r="I1341">
        <v>729.15</v>
      </c>
      <c r="J1341" t="s">
        <v>1464</v>
      </c>
      <c r="K1341" t="s">
        <v>13</v>
      </c>
      <c r="L1341" t="s">
        <v>23</v>
      </c>
      <c r="M1341">
        <v>3</v>
      </c>
      <c r="N1341">
        <v>729.15</v>
      </c>
    </row>
    <row r="1342" spans="1:14" x14ac:dyDescent="0.3">
      <c r="A1342" t="s">
        <v>2519</v>
      </c>
      <c r="B1342" t="s">
        <v>16</v>
      </c>
      <c r="C1342" s="1">
        <v>45739</v>
      </c>
      <c r="D1342" s="2">
        <f>YEAR(Table1[[#This Row],[PurchaseDate]])</f>
        <v>2025</v>
      </c>
      <c r="E1342" s="2" t="str">
        <f>"Q"&amp;ROUNDUP(MONTH(Table1[[#This Row],[PurchaseDate]])/3,0)</f>
        <v>Q1</v>
      </c>
      <c r="F1342" s="2">
        <f>MONTH(Table1[[#This Row],[PurchaseDate]])</f>
        <v>3</v>
      </c>
      <c r="G1342" s="2" t="str">
        <f>TEXT(Table1[[#This Row],[PurchaseDate]],"MMM")</f>
        <v>Mar</v>
      </c>
      <c r="H1342">
        <v>6</v>
      </c>
      <c r="I1342">
        <v>316.60000000000002</v>
      </c>
      <c r="J1342" t="s">
        <v>2520</v>
      </c>
      <c r="K1342" t="s">
        <v>38</v>
      </c>
      <c r="L1342" t="s">
        <v>58</v>
      </c>
      <c r="M1342">
        <v>2</v>
      </c>
      <c r="N1342">
        <v>1899.6</v>
      </c>
    </row>
    <row r="1343" spans="1:14" x14ac:dyDescent="0.3">
      <c r="A1343" t="s">
        <v>2521</v>
      </c>
      <c r="B1343" t="s">
        <v>21</v>
      </c>
      <c r="C1343" s="1">
        <v>45722</v>
      </c>
      <c r="D1343" s="2">
        <f>YEAR(Table1[[#This Row],[PurchaseDate]])</f>
        <v>2025</v>
      </c>
      <c r="E1343" s="2" t="str">
        <f>"Q"&amp;ROUNDUP(MONTH(Table1[[#This Row],[PurchaseDate]])/3,0)</f>
        <v>Q1</v>
      </c>
      <c r="F1343" s="2">
        <f>MONTH(Table1[[#This Row],[PurchaseDate]])</f>
        <v>3</v>
      </c>
      <c r="G1343" s="2" t="str">
        <f>TEXT(Table1[[#This Row],[PurchaseDate]],"MMM")</f>
        <v>Mar</v>
      </c>
      <c r="H1343">
        <v>7</v>
      </c>
      <c r="I1343">
        <v>115.44</v>
      </c>
      <c r="J1343" t="s">
        <v>2522</v>
      </c>
      <c r="K1343" t="s">
        <v>13</v>
      </c>
      <c r="L1343" t="s">
        <v>23</v>
      </c>
      <c r="M1343">
        <v>1</v>
      </c>
      <c r="N1343">
        <v>808.08</v>
      </c>
    </row>
    <row r="1344" spans="1:14" x14ac:dyDescent="0.3">
      <c r="A1344" t="s">
        <v>2523</v>
      </c>
      <c r="B1344" t="s">
        <v>34</v>
      </c>
      <c r="C1344" s="1">
        <v>45353</v>
      </c>
      <c r="D1344" s="2">
        <f>YEAR(Table1[[#This Row],[PurchaseDate]])</f>
        <v>2024</v>
      </c>
      <c r="E1344" s="2" t="str">
        <f>"Q"&amp;ROUNDUP(MONTH(Table1[[#This Row],[PurchaseDate]])/3,0)</f>
        <v>Q1</v>
      </c>
      <c r="F1344" s="2">
        <f>MONTH(Table1[[#This Row],[PurchaseDate]])</f>
        <v>3</v>
      </c>
      <c r="G1344" s="2" t="str">
        <f>TEXT(Table1[[#This Row],[PurchaseDate]],"MMM")</f>
        <v>Mar</v>
      </c>
      <c r="H1344">
        <v>5</v>
      </c>
      <c r="I1344">
        <v>698.24</v>
      </c>
      <c r="J1344" t="s">
        <v>2524</v>
      </c>
      <c r="K1344" t="s">
        <v>13</v>
      </c>
      <c r="L1344" t="s">
        <v>19</v>
      </c>
      <c r="M1344">
        <v>4</v>
      </c>
      <c r="N1344">
        <v>3491.2</v>
      </c>
    </row>
    <row r="1345" spans="1:14" x14ac:dyDescent="0.3">
      <c r="A1345" t="s">
        <v>2525</v>
      </c>
      <c r="B1345" t="s">
        <v>21</v>
      </c>
      <c r="C1345" s="1">
        <v>45603</v>
      </c>
      <c r="D1345" s="2">
        <f>YEAR(Table1[[#This Row],[PurchaseDate]])</f>
        <v>2024</v>
      </c>
      <c r="E1345" s="2" t="str">
        <f>"Q"&amp;ROUNDUP(MONTH(Table1[[#This Row],[PurchaseDate]])/3,0)</f>
        <v>Q4</v>
      </c>
      <c r="F1345" s="2">
        <f>MONTH(Table1[[#This Row],[PurchaseDate]])</f>
        <v>11</v>
      </c>
      <c r="G1345" s="2" t="str">
        <f>TEXT(Table1[[#This Row],[PurchaseDate]],"MMM")</f>
        <v>Nov</v>
      </c>
      <c r="H1345">
        <v>5</v>
      </c>
      <c r="I1345">
        <v>536.15</v>
      </c>
      <c r="J1345" t="s">
        <v>2526</v>
      </c>
      <c r="K1345" t="s">
        <v>18</v>
      </c>
      <c r="L1345" t="s">
        <v>27</v>
      </c>
      <c r="M1345">
        <v>2</v>
      </c>
      <c r="N1345">
        <v>2680.75</v>
      </c>
    </row>
    <row r="1346" spans="1:14" x14ac:dyDescent="0.3">
      <c r="A1346" t="s">
        <v>2527</v>
      </c>
      <c r="B1346" t="s">
        <v>11</v>
      </c>
      <c r="C1346" s="1">
        <v>45378</v>
      </c>
      <c r="D1346" s="2">
        <f>YEAR(Table1[[#This Row],[PurchaseDate]])</f>
        <v>2024</v>
      </c>
      <c r="E1346" s="2" t="str">
        <f>"Q"&amp;ROUNDUP(MONTH(Table1[[#This Row],[PurchaseDate]])/3,0)</f>
        <v>Q1</v>
      </c>
      <c r="F1346" s="2">
        <f>MONTH(Table1[[#This Row],[PurchaseDate]])</f>
        <v>3</v>
      </c>
      <c r="G1346" s="2" t="str">
        <f>TEXT(Table1[[#This Row],[PurchaseDate]],"MMM")</f>
        <v>Mar</v>
      </c>
      <c r="H1346">
        <v>4</v>
      </c>
      <c r="I1346">
        <v>155.35</v>
      </c>
      <c r="J1346" t="s">
        <v>2528</v>
      </c>
      <c r="K1346" t="s">
        <v>38</v>
      </c>
      <c r="L1346" t="s">
        <v>58</v>
      </c>
      <c r="M1346">
        <v>4</v>
      </c>
      <c r="N1346">
        <v>621.4</v>
      </c>
    </row>
    <row r="1347" spans="1:14" x14ac:dyDescent="0.3">
      <c r="A1347" t="s">
        <v>2529</v>
      </c>
      <c r="B1347" t="s">
        <v>34</v>
      </c>
      <c r="C1347" s="1">
        <v>45631</v>
      </c>
      <c r="D1347" s="2">
        <f>YEAR(Table1[[#This Row],[PurchaseDate]])</f>
        <v>2024</v>
      </c>
      <c r="E1347" s="2" t="str">
        <f>"Q"&amp;ROUNDUP(MONTH(Table1[[#This Row],[PurchaseDate]])/3,0)</f>
        <v>Q4</v>
      </c>
      <c r="F1347" s="2">
        <f>MONTH(Table1[[#This Row],[PurchaseDate]])</f>
        <v>12</v>
      </c>
      <c r="G1347" s="2" t="str">
        <f>TEXT(Table1[[#This Row],[PurchaseDate]],"MMM")</f>
        <v>Dec</v>
      </c>
      <c r="H1347">
        <v>7</v>
      </c>
      <c r="I1347">
        <v>408.12</v>
      </c>
      <c r="J1347" t="s">
        <v>2530</v>
      </c>
      <c r="K1347" t="s">
        <v>18</v>
      </c>
      <c r="L1347" t="s">
        <v>14</v>
      </c>
      <c r="M1347">
        <v>5</v>
      </c>
      <c r="N1347">
        <v>2856.84</v>
      </c>
    </row>
    <row r="1348" spans="1:14" x14ac:dyDescent="0.3">
      <c r="A1348" t="s">
        <v>2531</v>
      </c>
      <c r="B1348" t="s">
        <v>25</v>
      </c>
      <c r="C1348" s="1">
        <v>45152</v>
      </c>
      <c r="D1348" s="2">
        <f>YEAR(Table1[[#This Row],[PurchaseDate]])</f>
        <v>2023</v>
      </c>
      <c r="E1348" s="2" t="str">
        <f>"Q"&amp;ROUNDUP(MONTH(Table1[[#This Row],[PurchaseDate]])/3,0)</f>
        <v>Q3</v>
      </c>
      <c r="F1348" s="2">
        <f>MONTH(Table1[[#This Row],[PurchaseDate]])</f>
        <v>8</v>
      </c>
      <c r="G1348" s="2" t="str">
        <f>TEXT(Table1[[#This Row],[PurchaseDate]],"MMM")</f>
        <v>Aug</v>
      </c>
      <c r="H1348">
        <v>8</v>
      </c>
      <c r="I1348">
        <v>223.96</v>
      </c>
      <c r="J1348" t="s">
        <v>2532</v>
      </c>
      <c r="K1348" t="s">
        <v>38</v>
      </c>
      <c r="L1348" t="s">
        <v>27</v>
      </c>
      <c r="M1348">
        <v>4</v>
      </c>
      <c r="N1348">
        <v>1791.68</v>
      </c>
    </row>
    <row r="1349" spans="1:14" x14ac:dyDescent="0.3">
      <c r="A1349" t="s">
        <v>2533</v>
      </c>
      <c r="B1349" t="s">
        <v>11</v>
      </c>
      <c r="C1349" s="1">
        <v>45424</v>
      </c>
      <c r="D1349" s="2">
        <f>YEAR(Table1[[#This Row],[PurchaseDate]])</f>
        <v>2024</v>
      </c>
      <c r="E1349" s="2" t="str">
        <f>"Q"&amp;ROUNDUP(MONTH(Table1[[#This Row],[PurchaseDate]])/3,0)</f>
        <v>Q2</v>
      </c>
      <c r="F1349" s="2">
        <f>MONTH(Table1[[#This Row],[PurchaseDate]])</f>
        <v>5</v>
      </c>
      <c r="G1349" s="2" t="str">
        <f>TEXT(Table1[[#This Row],[PurchaseDate]],"MMM")</f>
        <v>May</v>
      </c>
      <c r="H1349">
        <v>8</v>
      </c>
      <c r="I1349">
        <v>126.49</v>
      </c>
      <c r="J1349" t="s">
        <v>2534</v>
      </c>
      <c r="K1349" t="s">
        <v>18</v>
      </c>
      <c r="L1349" t="s">
        <v>14</v>
      </c>
      <c r="M1349">
        <v>5</v>
      </c>
      <c r="N1349">
        <v>1011.92</v>
      </c>
    </row>
    <row r="1350" spans="1:14" x14ac:dyDescent="0.3">
      <c r="A1350" t="s">
        <v>2535</v>
      </c>
      <c r="B1350" t="s">
        <v>29</v>
      </c>
      <c r="C1350" s="1">
        <v>45467</v>
      </c>
      <c r="D1350" s="2">
        <f>YEAR(Table1[[#This Row],[PurchaseDate]])</f>
        <v>2024</v>
      </c>
      <c r="E1350" s="2" t="str">
        <f>"Q"&amp;ROUNDUP(MONTH(Table1[[#This Row],[PurchaseDate]])/3,0)</f>
        <v>Q2</v>
      </c>
      <c r="F1350" s="2">
        <f>MONTH(Table1[[#This Row],[PurchaseDate]])</f>
        <v>6</v>
      </c>
      <c r="G1350" s="2" t="str">
        <f>TEXT(Table1[[#This Row],[PurchaseDate]],"MMM")</f>
        <v>Jun</v>
      </c>
      <c r="H1350">
        <v>3</v>
      </c>
      <c r="I1350">
        <v>194.63</v>
      </c>
      <c r="J1350" t="s">
        <v>2536</v>
      </c>
      <c r="K1350" t="s">
        <v>18</v>
      </c>
      <c r="L1350" t="s">
        <v>14</v>
      </c>
      <c r="M1350">
        <v>1</v>
      </c>
      <c r="N1350">
        <v>583.89</v>
      </c>
    </row>
    <row r="1351" spans="1:14" x14ac:dyDescent="0.3">
      <c r="A1351" t="s">
        <v>2537</v>
      </c>
      <c r="B1351" t="s">
        <v>16</v>
      </c>
      <c r="C1351" s="1">
        <v>45049</v>
      </c>
      <c r="D1351" s="2">
        <f>YEAR(Table1[[#This Row],[PurchaseDate]])</f>
        <v>2023</v>
      </c>
      <c r="E1351" s="2" t="str">
        <f>"Q"&amp;ROUNDUP(MONTH(Table1[[#This Row],[PurchaseDate]])/3,0)</f>
        <v>Q2</v>
      </c>
      <c r="F1351" s="2">
        <f>MONTH(Table1[[#This Row],[PurchaseDate]])</f>
        <v>5</v>
      </c>
      <c r="G1351" s="2" t="str">
        <f>TEXT(Table1[[#This Row],[PurchaseDate]],"MMM")</f>
        <v>May</v>
      </c>
      <c r="H1351">
        <v>6</v>
      </c>
      <c r="I1351">
        <v>779.23</v>
      </c>
      <c r="J1351" t="s">
        <v>2538</v>
      </c>
      <c r="K1351" t="s">
        <v>38</v>
      </c>
      <c r="L1351" t="s">
        <v>19</v>
      </c>
      <c r="M1351">
        <v>5</v>
      </c>
      <c r="N1351">
        <v>4675.38</v>
      </c>
    </row>
    <row r="1352" spans="1:14" x14ac:dyDescent="0.3">
      <c r="A1352" t="s">
        <v>2539</v>
      </c>
      <c r="B1352" t="s">
        <v>34</v>
      </c>
      <c r="C1352" s="1">
        <v>45307</v>
      </c>
      <c r="D1352" s="2">
        <f>YEAR(Table1[[#This Row],[PurchaseDate]])</f>
        <v>2024</v>
      </c>
      <c r="E1352" s="2" t="str">
        <f>"Q"&amp;ROUNDUP(MONTH(Table1[[#This Row],[PurchaseDate]])/3,0)</f>
        <v>Q1</v>
      </c>
      <c r="F1352" s="2">
        <f>MONTH(Table1[[#This Row],[PurchaseDate]])</f>
        <v>1</v>
      </c>
      <c r="G1352" s="2" t="str">
        <f>TEXT(Table1[[#This Row],[PurchaseDate]],"MMM")</f>
        <v>Jan</v>
      </c>
      <c r="H1352">
        <v>5</v>
      </c>
      <c r="I1352">
        <v>711.73</v>
      </c>
      <c r="J1352" t="s">
        <v>2540</v>
      </c>
      <c r="K1352" t="s">
        <v>18</v>
      </c>
      <c r="L1352" t="s">
        <v>19</v>
      </c>
      <c r="M1352">
        <v>1</v>
      </c>
      <c r="N1352">
        <v>3558.65</v>
      </c>
    </row>
    <row r="1353" spans="1:14" x14ac:dyDescent="0.3">
      <c r="A1353" t="s">
        <v>2541</v>
      </c>
      <c r="B1353" t="s">
        <v>34</v>
      </c>
      <c r="C1353" s="1">
        <v>45498</v>
      </c>
      <c r="D1353" s="2">
        <f>YEAR(Table1[[#This Row],[PurchaseDate]])</f>
        <v>2024</v>
      </c>
      <c r="E1353" s="2" t="str">
        <f>"Q"&amp;ROUNDUP(MONTH(Table1[[#This Row],[PurchaseDate]])/3,0)</f>
        <v>Q3</v>
      </c>
      <c r="F1353" s="2">
        <f>MONTH(Table1[[#This Row],[PurchaseDate]])</f>
        <v>7</v>
      </c>
      <c r="G1353" s="2" t="str">
        <f>TEXT(Table1[[#This Row],[PurchaseDate]],"MMM")</f>
        <v>Jul</v>
      </c>
      <c r="H1353">
        <v>3</v>
      </c>
      <c r="I1353">
        <v>24.41</v>
      </c>
      <c r="J1353" t="s">
        <v>2542</v>
      </c>
      <c r="K1353" t="s">
        <v>38</v>
      </c>
      <c r="L1353" t="s">
        <v>19</v>
      </c>
      <c r="M1353">
        <v>2</v>
      </c>
      <c r="N1353">
        <v>73.23</v>
      </c>
    </row>
    <row r="1354" spans="1:14" x14ac:dyDescent="0.3">
      <c r="A1354" t="s">
        <v>2543</v>
      </c>
      <c r="B1354" t="s">
        <v>16</v>
      </c>
      <c r="C1354" s="1">
        <v>45436</v>
      </c>
      <c r="D1354" s="2">
        <f>YEAR(Table1[[#This Row],[PurchaseDate]])</f>
        <v>2024</v>
      </c>
      <c r="E1354" s="2" t="str">
        <f>"Q"&amp;ROUNDUP(MONTH(Table1[[#This Row],[PurchaseDate]])/3,0)</f>
        <v>Q2</v>
      </c>
      <c r="F1354" s="2">
        <f>MONTH(Table1[[#This Row],[PurchaseDate]])</f>
        <v>5</v>
      </c>
      <c r="G1354" s="2" t="str">
        <f>TEXT(Table1[[#This Row],[PurchaseDate]],"MMM")</f>
        <v>May</v>
      </c>
      <c r="H1354">
        <v>1</v>
      </c>
      <c r="I1354">
        <v>621.01</v>
      </c>
      <c r="J1354" t="s">
        <v>2544</v>
      </c>
      <c r="K1354" t="s">
        <v>38</v>
      </c>
      <c r="L1354" t="s">
        <v>58</v>
      </c>
      <c r="M1354">
        <v>1</v>
      </c>
      <c r="N1354">
        <v>621.01</v>
      </c>
    </row>
    <row r="1355" spans="1:14" x14ac:dyDescent="0.3">
      <c r="A1355" t="s">
        <v>2545</v>
      </c>
      <c r="B1355" t="s">
        <v>16</v>
      </c>
      <c r="C1355" s="1">
        <v>44963</v>
      </c>
      <c r="D1355" s="2">
        <f>YEAR(Table1[[#This Row],[PurchaseDate]])</f>
        <v>2023</v>
      </c>
      <c r="E1355" s="2" t="str">
        <f>"Q"&amp;ROUNDUP(MONTH(Table1[[#This Row],[PurchaseDate]])/3,0)</f>
        <v>Q1</v>
      </c>
      <c r="F1355" s="2">
        <f>MONTH(Table1[[#This Row],[PurchaseDate]])</f>
        <v>2</v>
      </c>
      <c r="G1355" s="2" t="str">
        <f>TEXT(Table1[[#This Row],[PurchaseDate]],"MMM")</f>
        <v>Feb</v>
      </c>
      <c r="H1355">
        <v>7</v>
      </c>
      <c r="I1355">
        <v>770.7</v>
      </c>
      <c r="J1355" t="s">
        <v>2546</v>
      </c>
      <c r="K1355" t="s">
        <v>38</v>
      </c>
      <c r="L1355" t="s">
        <v>27</v>
      </c>
      <c r="M1355">
        <v>1</v>
      </c>
      <c r="N1355">
        <v>5394.9</v>
      </c>
    </row>
    <row r="1356" spans="1:14" x14ac:dyDescent="0.3">
      <c r="A1356" t="s">
        <v>2547</v>
      </c>
      <c r="B1356" t="s">
        <v>29</v>
      </c>
      <c r="C1356" s="1">
        <v>44955</v>
      </c>
      <c r="D1356" s="2">
        <f>YEAR(Table1[[#This Row],[PurchaseDate]])</f>
        <v>2023</v>
      </c>
      <c r="E1356" s="2" t="str">
        <f>"Q"&amp;ROUNDUP(MONTH(Table1[[#This Row],[PurchaseDate]])/3,0)</f>
        <v>Q1</v>
      </c>
      <c r="F1356" s="2">
        <f>MONTH(Table1[[#This Row],[PurchaseDate]])</f>
        <v>1</v>
      </c>
      <c r="G1356" s="2" t="str">
        <f>TEXT(Table1[[#This Row],[PurchaseDate]],"MMM")</f>
        <v>Jan</v>
      </c>
      <c r="H1356">
        <v>2</v>
      </c>
      <c r="I1356">
        <v>748.38</v>
      </c>
      <c r="J1356" t="s">
        <v>2548</v>
      </c>
      <c r="K1356" t="s">
        <v>13</v>
      </c>
      <c r="L1356" t="s">
        <v>27</v>
      </c>
      <c r="M1356">
        <v>5</v>
      </c>
      <c r="N1356">
        <v>1496.76</v>
      </c>
    </row>
    <row r="1357" spans="1:14" x14ac:dyDescent="0.3">
      <c r="A1357" t="s">
        <v>2549</v>
      </c>
      <c r="B1357" t="s">
        <v>11</v>
      </c>
      <c r="C1357" s="1">
        <v>45732</v>
      </c>
      <c r="D1357" s="2">
        <f>YEAR(Table1[[#This Row],[PurchaseDate]])</f>
        <v>2025</v>
      </c>
      <c r="E1357" s="2" t="str">
        <f>"Q"&amp;ROUNDUP(MONTH(Table1[[#This Row],[PurchaseDate]])/3,0)</f>
        <v>Q1</v>
      </c>
      <c r="F1357" s="2">
        <f>MONTH(Table1[[#This Row],[PurchaseDate]])</f>
        <v>3</v>
      </c>
      <c r="G1357" s="2" t="str">
        <f>TEXT(Table1[[#This Row],[PurchaseDate]],"MMM")</f>
        <v>Mar</v>
      </c>
      <c r="H1357">
        <v>4</v>
      </c>
      <c r="I1357">
        <v>589.85</v>
      </c>
      <c r="J1357" t="s">
        <v>2550</v>
      </c>
      <c r="K1357" t="s">
        <v>18</v>
      </c>
      <c r="L1357" t="s">
        <v>19</v>
      </c>
      <c r="M1357">
        <v>3</v>
      </c>
      <c r="N1357">
        <v>2359.4</v>
      </c>
    </row>
    <row r="1358" spans="1:14" x14ac:dyDescent="0.3">
      <c r="A1358" t="s">
        <v>2551</v>
      </c>
      <c r="B1358" t="s">
        <v>34</v>
      </c>
      <c r="C1358" s="1">
        <v>44976</v>
      </c>
      <c r="D1358" s="2">
        <f>YEAR(Table1[[#This Row],[PurchaseDate]])</f>
        <v>2023</v>
      </c>
      <c r="E1358" s="2" t="str">
        <f>"Q"&amp;ROUNDUP(MONTH(Table1[[#This Row],[PurchaseDate]])/3,0)</f>
        <v>Q1</v>
      </c>
      <c r="F1358" s="2">
        <f>MONTH(Table1[[#This Row],[PurchaseDate]])</f>
        <v>2</v>
      </c>
      <c r="G1358" s="2" t="str">
        <f>TEXT(Table1[[#This Row],[PurchaseDate]],"MMM")</f>
        <v>Feb</v>
      </c>
      <c r="H1358">
        <v>3</v>
      </c>
      <c r="I1358">
        <v>38.57</v>
      </c>
      <c r="J1358" t="s">
        <v>2552</v>
      </c>
      <c r="K1358" t="s">
        <v>18</v>
      </c>
      <c r="L1358" t="s">
        <v>14</v>
      </c>
      <c r="M1358">
        <v>2</v>
      </c>
      <c r="N1358">
        <v>115.71</v>
      </c>
    </row>
    <row r="1359" spans="1:14" x14ac:dyDescent="0.3">
      <c r="A1359" t="s">
        <v>2553</v>
      </c>
      <c r="B1359" t="s">
        <v>29</v>
      </c>
      <c r="C1359" s="1">
        <v>45136</v>
      </c>
      <c r="D1359" s="2">
        <f>YEAR(Table1[[#This Row],[PurchaseDate]])</f>
        <v>2023</v>
      </c>
      <c r="E1359" s="2" t="str">
        <f>"Q"&amp;ROUNDUP(MONTH(Table1[[#This Row],[PurchaseDate]])/3,0)</f>
        <v>Q3</v>
      </c>
      <c r="F1359" s="2">
        <f>MONTH(Table1[[#This Row],[PurchaseDate]])</f>
        <v>7</v>
      </c>
      <c r="G1359" s="2" t="str">
        <f>TEXT(Table1[[#This Row],[PurchaseDate]],"MMM")</f>
        <v>Jul</v>
      </c>
      <c r="H1359">
        <v>6</v>
      </c>
      <c r="I1359">
        <v>536.55999999999995</v>
      </c>
      <c r="J1359" t="s">
        <v>2554</v>
      </c>
      <c r="K1359" t="s">
        <v>38</v>
      </c>
      <c r="L1359" t="s">
        <v>23</v>
      </c>
      <c r="M1359">
        <v>4</v>
      </c>
      <c r="N1359">
        <v>3219.36</v>
      </c>
    </row>
    <row r="1360" spans="1:14" x14ac:dyDescent="0.3">
      <c r="A1360" t="s">
        <v>2555</v>
      </c>
      <c r="B1360" t="s">
        <v>25</v>
      </c>
      <c r="C1360" s="1">
        <v>44938</v>
      </c>
      <c r="D1360" s="2">
        <f>YEAR(Table1[[#This Row],[PurchaseDate]])</f>
        <v>2023</v>
      </c>
      <c r="E1360" s="2" t="str">
        <f>"Q"&amp;ROUNDUP(MONTH(Table1[[#This Row],[PurchaseDate]])/3,0)</f>
        <v>Q1</v>
      </c>
      <c r="F1360" s="2">
        <f>MONTH(Table1[[#This Row],[PurchaseDate]])</f>
        <v>1</v>
      </c>
      <c r="G1360" s="2" t="str">
        <f>TEXT(Table1[[#This Row],[PurchaseDate]],"MMM")</f>
        <v>Jan</v>
      </c>
      <c r="H1360">
        <v>6</v>
      </c>
      <c r="I1360">
        <v>799.91</v>
      </c>
      <c r="J1360" t="s">
        <v>2556</v>
      </c>
      <c r="K1360" t="s">
        <v>13</v>
      </c>
      <c r="L1360" t="s">
        <v>23</v>
      </c>
      <c r="M1360">
        <v>4</v>
      </c>
      <c r="N1360">
        <v>4799.46</v>
      </c>
    </row>
    <row r="1361" spans="1:14" x14ac:dyDescent="0.3">
      <c r="A1361" t="s">
        <v>2557</v>
      </c>
      <c r="B1361" t="s">
        <v>29</v>
      </c>
      <c r="C1361" s="1">
        <v>45147</v>
      </c>
      <c r="D1361" s="2">
        <f>YEAR(Table1[[#This Row],[PurchaseDate]])</f>
        <v>2023</v>
      </c>
      <c r="E1361" s="2" t="str">
        <f>"Q"&amp;ROUNDUP(MONTH(Table1[[#This Row],[PurchaseDate]])/3,0)</f>
        <v>Q3</v>
      </c>
      <c r="F1361" s="2">
        <f>MONTH(Table1[[#This Row],[PurchaseDate]])</f>
        <v>8</v>
      </c>
      <c r="G1361" s="2" t="str">
        <f>TEXT(Table1[[#This Row],[PurchaseDate]],"MMM")</f>
        <v>Aug</v>
      </c>
      <c r="H1361">
        <v>3</v>
      </c>
      <c r="I1361">
        <v>646.65</v>
      </c>
      <c r="J1361" t="s">
        <v>2558</v>
      </c>
      <c r="K1361" t="s">
        <v>13</v>
      </c>
      <c r="L1361" t="s">
        <v>14</v>
      </c>
      <c r="M1361">
        <v>4</v>
      </c>
      <c r="N1361">
        <v>1939.95</v>
      </c>
    </row>
    <row r="1362" spans="1:14" x14ac:dyDescent="0.3">
      <c r="A1362" t="s">
        <v>2559</v>
      </c>
      <c r="B1362" t="s">
        <v>11</v>
      </c>
      <c r="C1362" s="1">
        <v>45572</v>
      </c>
      <c r="D1362" s="2">
        <f>YEAR(Table1[[#This Row],[PurchaseDate]])</f>
        <v>2024</v>
      </c>
      <c r="E1362" s="2" t="str">
        <f>"Q"&amp;ROUNDUP(MONTH(Table1[[#This Row],[PurchaseDate]])/3,0)</f>
        <v>Q4</v>
      </c>
      <c r="F1362" s="2">
        <f>MONTH(Table1[[#This Row],[PurchaseDate]])</f>
        <v>10</v>
      </c>
      <c r="G1362" s="2" t="str">
        <f>TEXT(Table1[[#This Row],[PurchaseDate]],"MMM")</f>
        <v>Oct</v>
      </c>
      <c r="H1362">
        <v>1</v>
      </c>
      <c r="I1362">
        <v>87.28</v>
      </c>
      <c r="J1362" t="s">
        <v>2560</v>
      </c>
      <c r="K1362" t="s">
        <v>18</v>
      </c>
      <c r="L1362" t="s">
        <v>14</v>
      </c>
      <c r="M1362">
        <v>3</v>
      </c>
      <c r="N1362">
        <v>87.28</v>
      </c>
    </row>
    <row r="1363" spans="1:14" x14ac:dyDescent="0.3">
      <c r="A1363" t="s">
        <v>2561</v>
      </c>
      <c r="B1363" t="s">
        <v>16</v>
      </c>
      <c r="C1363" s="1">
        <v>45183</v>
      </c>
      <c r="D1363" s="2">
        <f>YEAR(Table1[[#This Row],[PurchaseDate]])</f>
        <v>2023</v>
      </c>
      <c r="E1363" s="2" t="str">
        <f>"Q"&amp;ROUNDUP(MONTH(Table1[[#This Row],[PurchaseDate]])/3,0)</f>
        <v>Q3</v>
      </c>
      <c r="F1363" s="2">
        <f>MONTH(Table1[[#This Row],[PurchaseDate]])</f>
        <v>9</v>
      </c>
      <c r="G1363" s="2" t="str">
        <f>TEXT(Table1[[#This Row],[PurchaseDate]],"MMM")</f>
        <v>Sep</v>
      </c>
      <c r="H1363">
        <v>7</v>
      </c>
      <c r="I1363">
        <v>693.18</v>
      </c>
      <c r="J1363" t="s">
        <v>2562</v>
      </c>
      <c r="K1363" t="s">
        <v>13</v>
      </c>
      <c r="L1363" t="s">
        <v>14</v>
      </c>
      <c r="M1363">
        <v>2</v>
      </c>
      <c r="N1363">
        <v>4852.26</v>
      </c>
    </row>
    <row r="1364" spans="1:14" x14ac:dyDescent="0.3">
      <c r="A1364" t="s">
        <v>2563</v>
      </c>
      <c r="B1364" t="s">
        <v>42</v>
      </c>
      <c r="C1364" s="1">
        <v>45371</v>
      </c>
      <c r="D1364" s="2">
        <f>YEAR(Table1[[#This Row],[PurchaseDate]])</f>
        <v>2024</v>
      </c>
      <c r="E1364" s="2" t="str">
        <f>"Q"&amp;ROUNDUP(MONTH(Table1[[#This Row],[PurchaseDate]])/3,0)</f>
        <v>Q1</v>
      </c>
      <c r="F1364" s="2">
        <f>MONTH(Table1[[#This Row],[PurchaseDate]])</f>
        <v>3</v>
      </c>
      <c r="G1364" s="2" t="str">
        <f>TEXT(Table1[[#This Row],[PurchaseDate]],"MMM")</f>
        <v>Mar</v>
      </c>
      <c r="H1364">
        <v>7</v>
      </c>
      <c r="I1364">
        <v>584.78</v>
      </c>
      <c r="J1364" t="s">
        <v>2564</v>
      </c>
      <c r="K1364" t="s">
        <v>18</v>
      </c>
      <c r="L1364" t="s">
        <v>58</v>
      </c>
      <c r="M1364">
        <v>1</v>
      </c>
      <c r="N1364">
        <v>4093.46</v>
      </c>
    </row>
    <row r="1365" spans="1:14" x14ac:dyDescent="0.3">
      <c r="A1365" t="s">
        <v>2565</v>
      </c>
      <c r="B1365" t="s">
        <v>21</v>
      </c>
      <c r="C1365" s="1">
        <v>45108</v>
      </c>
      <c r="D1365" s="2">
        <f>YEAR(Table1[[#This Row],[PurchaseDate]])</f>
        <v>2023</v>
      </c>
      <c r="E1365" s="2" t="str">
        <f>"Q"&amp;ROUNDUP(MONTH(Table1[[#This Row],[PurchaseDate]])/3,0)</f>
        <v>Q3</v>
      </c>
      <c r="F1365" s="2">
        <f>MONTH(Table1[[#This Row],[PurchaseDate]])</f>
        <v>7</v>
      </c>
      <c r="G1365" s="2" t="str">
        <f>TEXT(Table1[[#This Row],[PurchaseDate]],"MMM")</f>
        <v>Jul</v>
      </c>
      <c r="H1365">
        <v>3</v>
      </c>
      <c r="I1365">
        <v>98.62</v>
      </c>
      <c r="J1365" t="s">
        <v>2566</v>
      </c>
      <c r="K1365" t="s">
        <v>13</v>
      </c>
      <c r="L1365" t="s">
        <v>58</v>
      </c>
      <c r="M1365">
        <v>1</v>
      </c>
      <c r="N1365">
        <v>295.86</v>
      </c>
    </row>
    <row r="1366" spans="1:14" x14ac:dyDescent="0.3">
      <c r="A1366" t="s">
        <v>2567</v>
      </c>
      <c r="B1366" t="s">
        <v>34</v>
      </c>
      <c r="C1366" s="1">
        <v>45514</v>
      </c>
      <c r="D1366" s="2">
        <f>YEAR(Table1[[#This Row],[PurchaseDate]])</f>
        <v>2024</v>
      </c>
      <c r="E1366" s="2" t="str">
        <f>"Q"&amp;ROUNDUP(MONTH(Table1[[#This Row],[PurchaseDate]])/3,0)</f>
        <v>Q3</v>
      </c>
      <c r="F1366" s="2">
        <f>MONTH(Table1[[#This Row],[PurchaseDate]])</f>
        <v>8</v>
      </c>
      <c r="G1366" s="2" t="str">
        <f>TEXT(Table1[[#This Row],[PurchaseDate]],"MMM")</f>
        <v>Aug</v>
      </c>
      <c r="H1366">
        <v>2</v>
      </c>
      <c r="I1366">
        <v>299.45999999999998</v>
      </c>
      <c r="J1366" t="s">
        <v>2568</v>
      </c>
      <c r="K1366" t="s">
        <v>18</v>
      </c>
      <c r="L1366" t="s">
        <v>27</v>
      </c>
      <c r="M1366">
        <v>3</v>
      </c>
      <c r="N1366">
        <v>598.91999999999996</v>
      </c>
    </row>
    <row r="1367" spans="1:14" x14ac:dyDescent="0.3">
      <c r="A1367" t="s">
        <v>2569</v>
      </c>
      <c r="B1367" t="s">
        <v>42</v>
      </c>
      <c r="C1367" s="1">
        <v>45645</v>
      </c>
      <c r="D1367" s="2">
        <f>YEAR(Table1[[#This Row],[PurchaseDate]])</f>
        <v>2024</v>
      </c>
      <c r="E1367" s="2" t="str">
        <f>"Q"&amp;ROUNDUP(MONTH(Table1[[#This Row],[PurchaseDate]])/3,0)</f>
        <v>Q4</v>
      </c>
      <c r="F1367" s="2">
        <f>MONTH(Table1[[#This Row],[PurchaseDate]])</f>
        <v>12</v>
      </c>
      <c r="G1367" s="2" t="str">
        <f>TEXT(Table1[[#This Row],[PurchaseDate]],"MMM")</f>
        <v>Dec</v>
      </c>
      <c r="H1367">
        <v>5</v>
      </c>
      <c r="I1367">
        <v>172.17</v>
      </c>
      <c r="J1367" t="s">
        <v>2570</v>
      </c>
      <c r="K1367" t="s">
        <v>18</v>
      </c>
      <c r="L1367" t="s">
        <v>27</v>
      </c>
      <c r="M1367">
        <v>4</v>
      </c>
      <c r="N1367">
        <v>860.85</v>
      </c>
    </row>
    <row r="1368" spans="1:14" x14ac:dyDescent="0.3">
      <c r="A1368" t="s">
        <v>2571</v>
      </c>
      <c r="B1368" t="s">
        <v>29</v>
      </c>
      <c r="C1368" s="1">
        <v>45828</v>
      </c>
      <c r="D1368" s="2">
        <f>YEAR(Table1[[#This Row],[PurchaseDate]])</f>
        <v>2025</v>
      </c>
      <c r="E1368" s="2" t="str">
        <f>"Q"&amp;ROUNDUP(MONTH(Table1[[#This Row],[PurchaseDate]])/3,0)</f>
        <v>Q2</v>
      </c>
      <c r="F1368" s="2">
        <f>MONTH(Table1[[#This Row],[PurchaseDate]])</f>
        <v>6</v>
      </c>
      <c r="G1368" s="2" t="str">
        <f>TEXT(Table1[[#This Row],[PurchaseDate]],"MMM")</f>
        <v>Jun</v>
      </c>
      <c r="H1368">
        <v>1</v>
      </c>
      <c r="I1368">
        <v>220.45</v>
      </c>
      <c r="J1368" t="s">
        <v>2572</v>
      </c>
      <c r="K1368" t="s">
        <v>13</v>
      </c>
      <c r="L1368" t="s">
        <v>58</v>
      </c>
      <c r="M1368">
        <v>3</v>
      </c>
      <c r="N1368">
        <v>220.45</v>
      </c>
    </row>
    <row r="1369" spans="1:14" x14ac:dyDescent="0.3">
      <c r="A1369" t="s">
        <v>2573</v>
      </c>
      <c r="B1369" t="s">
        <v>29</v>
      </c>
      <c r="C1369" s="1">
        <v>45480</v>
      </c>
      <c r="D1369" s="2">
        <f>YEAR(Table1[[#This Row],[PurchaseDate]])</f>
        <v>2024</v>
      </c>
      <c r="E1369" s="2" t="str">
        <f>"Q"&amp;ROUNDUP(MONTH(Table1[[#This Row],[PurchaseDate]])/3,0)</f>
        <v>Q3</v>
      </c>
      <c r="F1369" s="2">
        <f>MONTH(Table1[[#This Row],[PurchaseDate]])</f>
        <v>7</v>
      </c>
      <c r="G1369" s="2" t="str">
        <f>TEXT(Table1[[#This Row],[PurchaseDate]],"MMM")</f>
        <v>Jul</v>
      </c>
      <c r="H1369">
        <v>4</v>
      </c>
      <c r="I1369">
        <v>77.31</v>
      </c>
      <c r="J1369" t="s">
        <v>2574</v>
      </c>
      <c r="K1369" t="s">
        <v>18</v>
      </c>
      <c r="L1369" t="s">
        <v>27</v>
      </c>
      <c r="M1369">
        <v>3</v>
      </c>
      <c r="N1369">
        <v>309.24</v>
      </c>
    </row>
    <row r="1370" spans="1:14" x14ac:dyDescent="0.3">
      <c r="A1370" t="s">
        <v>2575</v>
      </c>
      <c r="B1370" t="s">
        <v>34</v>
      </c>
      <c r="C1370" s="1">
        <v>45436</v>
      </c>
      <c r="D1370" s="2">
        <f>YEAR(Table1[[#This Row],[PurchaseDate]])</f>
        <v>2024</v>
      </c>
      <c r="E1370" s="2" t="str">
        <f>"Q"&amp;ROUNDUP(MONTH(Table1[[#This Row],[PurchaseDate]])/3,0)</f>
        <v>Q2</v>
      </c>
      <c r="F1370" s="2">
        <f>MONTH(Table1[[#This Row],[PurchaseDate]])</f>
        <v>5</v>
      </c>
      <c r="G1370" s="2" t="str">
        <f>TEXT(Table1[[#This Row],[PurchaseDate]],"MMM")</f>
        <v>May</v>
      </c>
      <c r="H1370">
        <v>8</v>
      </c>
      <c r="I1370">
        <v>594.75</v>
      </c>
      <c r="J1370" t="s">
        <v>2576</v>
      </c>
      <c r="K1370" t="s">
        <v>13</v>
      </c>
      <c r="L1370" t="s">
        <v>27</v>
      </c>
      <c r="M1370">
        <v>5</v>
      </c>
      <c r="N1370">
        <v>4758</v>
      </c>
    </row>
    <row r="1371" spans="1:14" x14ac:dyDescent="0.3">
      <c r="A1371" t="s">
        <v>2577</v>
      </c>
      <c r="B1371" t="s">
        <v>25</v>
      </c>
      <c r="C1371" s="1">
        <v>45080</v>
      </c>
      <c r="D1371" s="2">
        <f>YEAR(Table1[[#This Row],[PurchaseDate]])</f>
        <v>2023</v>
      </c>
      <c r="E1371" s="2" t="str">
        <f>"Q"&amp;ROUNDUP(MONTH(Table1[[#This Row],[PurchaseDate]])/3,0)</f>
        <v>Q2</v>
      </c>
      <c r="F1371" s="2">
        <f>MONTH(Table1[[#This Row],[PurchaseDate]])</f>
        <v>6</v>
      </c>
      <c r="G1371" s="2" t="str">
        <f>TEXT(Table1[[#This Row],[PurchaseDate]],"MMM")</f>
        <v>Jun</v>
      </c>
      <c r="H1371">
        <v>7</v>
      </c>
      <c r="I1371">
        <v>346.05</v>
      </c>
      <c r="J1371" t="s">
        <v>2578</v>
      </c>
      <c r="K1371" t="s">
        <v>18</v>
      </c>
      <c r="L1371" t="s">
        <v>27</v>
      </c>
      <c r="M1371">
        <v>1</v>
      </c>
      <c r="N1371">
        <v>2422.35</v>
      </c>
    </row>
    <row r="1372" spans="1:14" x14ac:dyDescent="0.3">
      <c r="A1372" t="s">
        <v>2579</v>
      </c>
      <c r="B1372" t="s">
        <v>42</v>
      </c>
      <c r="C1372" s="1">
        <v>45641</v>
      </c>
      <c r="D1372" s="2">
        <f>YEAR(Table1[[#This Row],[PurchaseDate]])</f>
        <v>2024</v>
      </c>
      <c r="E1372" s="2" t="str">
        <f>"Q"&amp;ROUNDUP(MONTH(Table1[[#This Row],[PurchaseDate]])/3,0)</f>
        <v>Q4</v>
      </c>
      <c r="F1372" s="2">
        <f>MONTH(Table1[[#This Row],[PurchaseDate]])</f>
        <v>12</v>
      </c>
      <c r="G1372" s="2" t="str">
        <f>TEXT(Table1[[#This Row],[PurchaseDate]],"MMM")</f>
        <v>Dec</v>
      </c>
      <c r="H1372">
        <v>4</v>
      </c>
      <c r="I1372">
        <v>169.16</v>
      </c>
      <c r="J1372" t="s">
        <v>2580</v>
      </c>
      <c r="K1372" t="s">
        <v>18</v>
      </c>
      <c r="L1372" t="s">
        <v>23</v>
      </c>
      <c r="M1372">
        <v>1</v>
      </c>
      <c r="N1372">
        <v>676.64</v>
      </c>
    </row>
    <row r="1373" spans="1:14" x14ac:dyDescent="0.3">
      <c r="A1373" t="s">
        <v>2581</v>
      </c>
      <c r="B1373" t="s">
        <v>42</v>
      </c>
      <c r="C1373" s="1">
        <v>45018</v>
      </c>
      <c r="D1373" s="2">
        <f>YEAR(Table1[[#This Row],[PurchaseDate]])</f>
        <v>2023</v>
      </c>
      <c r="E1373" s="2" t="str">
        <f>"Q"&amp;ROUNDUP(MONTH(Table1[[#This Row],[PurchaseDate]])/3,0)</f>
        <v>Q2</v>
      </c>
      <c r="F1373" s="2">
        <f>MONTH(Table1[[#This Row],[PurchaseDate]])</f>
        <v>4</v>
      </c>
      <c r="G1373" s="2" t="str">
        <f>TEXT(Table1[[#This Row],[PurchaseDate]],"MMM")</f>
        <v>Apr</v>
      </c>
      <c r="H1373">
        <v>2</v>
      </c>
      <c r="I1373">
        <v>289.02</v>
      </c>
      <c r="J1373" t="s">
        <v>2582</v>
      </c>
      <c r="K1373" t="s">
        <v>38</v>
      </c>
      <c r="L1373" t="s">
        <v>19</v>
      </c>
      <c r="M1373">
        <v>2</v>
      </c>
      <c r="N1373">
        <v>578.04</v>
      </c>
    </row>
    <row r="1374" spans="1:14" x14ac:dyDescent="0.3">
      <c r="A1374" t="s">
        <v>2583</v>
      </c>
      <c r="B1374" t="s">
        <v>42</v>
      </c>
      <c r="C1374" s="1">
        <v>45415</v>
      </c>
      <c r="D1374" s="2">
        <f>YEAR(Table1[[#This Row],[PurchaseDate]])</f>
        <v>2024</v>
      </c>
      <c r="E1374" s="2" t="str">
        <f>"Q"&amp;ROUNDUP(MONTH(Table1[[#This Row],[PurchaseDate]])/3,0)</f>
        <v>Q2</v>
      </c>
      <c r="F1374" s="2">
        <f>MONTH(Table1[[#This Row],[PurchaseDate]])</f>
        <v>5</v>
      </c>
      <c r="G1374" s="2" t="str">
        <f>TEXT(Table1[[#This Row],[PurchaseDate]],"MMM")</f>
        <v>May</v>
      </c>
      <c r="H1374">
        <v>8</v>
      </c>
      <c r="I1374">
        <v>258.83999999999997</v>
      </c>
      <c r="J1374" t="s">
        <v>2584</v>
      </c>
      <c r="K1374" t="s">
        <v>38</v>
      </c>
      <c r="L1374" t="s">
        <v>23</v>
      </c>
      <c r="M1374">
        <v>2</v>
      </c>
      <c r="N1374">
        <v>2070.7199999999998</v>
      </c>
    </row>
    <row r="1375" spans="1:14" x14ac:dyDescent="0.3">
      <c r="A1375" t="s">
        <v>2585</v>
      </c>
      <c r="B1375" t="s">
        <v>25</v>
      </c>
      <c r="C1375" s="1">
        <v>45798</v>
      </c>
      <c r="D1375" s="2">
        <f>YEAR(Table1[[#This Row],[PurchaseDate]])</f>
        <v>2025</v>
      </c>
      <c r="E1375" s="2" t="str">
        <f>"Q"&amp;ROUNDUP(MONTH(Table1[[#This Row],[PurchaseDate]])/3,0)</f>
        <v>Q2</v>
      </c>
      <c r="F1375" s="2">
        <f>MONTH(Table1[[#This Row],[PurchaseDate]])</f>
        <v>5</v>
      </c>
      <c r="G1375" s="2" t="str">
        <f>TEXT(Table1[[#This Row],[PurchaseDate]],"MMM")</f>
        <v>May</v>
      </c>
      <c r="H1375">
        <v>1</v>
      </c>
      <c r="I1375">
        <v>52.91</v>
      </c>
      <c r="J1375" t="s">
        <v>2586</v>
      </c>
      <c r="K1375" t="s">
        <v>18</v>
      </c>
      <c r="L1375" t="s">
        <v>58</v>
      </c>
      <c r="M1375">
        <v>3</v>
      </c>
      <c r="N1375">
        <v>52.91</v>
      </c>
    </row>
    <row r="1376" spans="1:14" x14ac:dyDescent="0.3">
      <c r="A1376" t="s">
        <v>2587</v>
      </c>
      <c r="B1376" t="s">
        <v>34</v>
      </c>
      <c r="C1376" s="1">
        <v>45139</v>
      </c>
      <c r="D1376" s="2">
        <f>YEAR(Table1[[#This Row],[PurchaseDate]])</f>
        <v>2023</v>
      </c>
      <c r="E1376" s="2" t="str">
        <f>"Q"&amp;ROUNDUP(MONTH(Table1[[#This Row],[PurchaseDate]])/3,0)</f>
        <v>Q3</v>
      </c>
      <c r="F1376" s="2">
        <f>MONTH(Table1[[#This Row],[PurchaseDate]])</f>
        <v>8</v>
      </c>
      <c r="G1376" s="2" t="str">
        <f>TEXT(Table1[[#This Row],[PurchaseDate]],"MMM")</f>
        <v>Aug</v>
      </c>
      <c r="H1376">
        <v>6</v>
      </c>
      <c r="I1376">
        <v>633.4</v>
      </c>
      <c r="J1376" t="s">
        <v>2588</v>
      </c>
      <c r="K1376" t="s">
        <v>13</v>
      </c>
      <c r="L1376" t="s">
        <v>14</v>
      </c>
      <c r="M1376">
        <v>2</v>
      </c>
      <c r="N1376">
        <v>3800.4</v>
      </c>
    </row>
    <row r="1377" spans="1:14" x14ac:dyDescent="0.3">
      <c r="A1377" t="s">
        <v>2589</v>
      </c>
      <c r="B1377" t="s">
        <v>11</v>
      </c>
      <c r="C1377" s="1">
        <v>45547</v>
      </c>
      <c r="D1377" s="2">
        <f>YEAR(Table1[[#This Row],[PurchaseDate]])</f>
        <v>2024</v>
      </c>
      <c r="E1377" s="2" t="str">
        <f>"Q"&amp;ROUNDUP(MONTH(Table1[[#This Row],[PurchaseDate]])/3,0)</f>
        <v>Q3</v>
      </c>
      <c r="F1377" s="2">
        <f>MONTH(Table1[[#This Row],[PurchaseDate]])</f>
        <v>9</v>
      </c>
      <c r="G1377" s="2" t="str">
        <f>TEXT(Table1[[#This Row],[PurchaseDate]],"MMM")</f>
        <v>Sep</v>
      </c>
      <c r="H1377">
        <v>1</v>
      </c>
      <c r="I1377">
        <v>417.04</v>
      </c>
      <c r="J1377" t="s">
        <v>2590</v>
      </c>
      <c r="K1377" t="s">
        <v>13</v>
      </c>
      <c r="L1377" t="s">
        <v>27</v>
      </c>
      <c r="M1377">
        <v>3</v>
      </c>
      <c r="N1377">
        <v>417.04</v>
      </c>
    </row>
    <row r="1378" spans="1:14" x14ac:dyDescent="0.3">
      <c r="A1378" t="s">
        <v>2591</v>
      </c>
      <c r="B1378" t="s">
        <v>21</v>
      </c>
      <c r="C1378" s="1">
        <v>44943</v>
      </c>
      <c r="D1378" s="2">
        <f>YEAR(Table1[[#This Row],[PurchaseDate]])</f>
        <v>2023</v>
      </c>
      <c r="E1378" s="2" t="str">
        <f>"Q"&amp;ROUNDUP(MONTH(Table1[[#This Row],[PurchaseDate]])/3,0)</f>
        <v>Q1</v>
      </c>
      <c r="F1378" s="2">
        <f>MONTH(Table1[[#This Row],[PurchaseDate]])</f>
        <v>1</v>
      </c>
      <c r="G1378" s="2" t="str">
        <f>TEXT(Table1[[#This Row],[PurchaseDate]],"MMM")</f>
        <v>Jan</v>
      </c>
      <c r="H1378">
        <v>3</v>
      </c>
      <c r="I1378">
        <v>199.86</v>
      </c>
      <c r="J1378" t="s">
        <v>2592</v>
      </c>
      <c r="K1378" t="s">
        <v>18</v>
      </c>
      <c r="L1378" t="s">
        <v>58</v>
      </c>
      <c r="M1378">
        <v>2</v>
      </c>
      <c r="N1378">
        <v>599.58000000000004</v>
      </c>
    </row>
    <row r="1379" spans="1:14" x14ac:dyDescent="0.3">
      <c r="A1379" t="s">
        <v>2593</v>
      </c>
      <c r="B1379" t="s">
        <v>25</v>
      </c>
      <c r="C1379" s="1">
        <v>44990</v>
      </c>
      <c r="D1379" s="2">
        <f>YEAR(Table1[[#This Row],[PurchaseDate]])</f>
        <v>2023</v>
      </c>
      <c r="E1379" s="2" t="str">
        <f>"Q"&amp;ROUNDUP(MONTH(Table1[[#This Row],[PurchaseDate]])/3,0)</f>
        <v>Q1</v>
      </c>
      <c r="F1379" s="2">
        <f>MONTH(Table1[[#This Row],[PurchaseDate]])</f>
        <v>3</v>
      </c>
      <c r="G1379" s="2" t="str">
        <f>TEXT(Table1[[#This Row],[PurchaseDate]],"MMM")</f>
        <v>Mar</v>
      </c>
      <c r="H1379">
        <v>2</v>
      </c>
      <c r="I1379">
        <v>523.38</v>
      </c>
      <c r="J1379" t="s">
        <v>2594</v>
      </c>
      <c r="K1379" t="s">
        <v>38</v>
      </c>
      <c r="L1379" t="s">
        <v>23</v>
      </c>
      <c r="M1379">
        <v>3</v>
      </c>
      <c r="N1379">
        <v>1046.76</v>
      </c>
    </row>
    <row r="1380" spans="1:14" x14ac:dyDescent="0.3">
      <c r="A1380" t="s">
        <v>2595</v>
      </c>
      <c r="B1380" t="s">
        <v>16</v>
      </c>
      <c r="C1380" s="1">
        <v>45486</v>
      </c>
      <c r="D1380" s="2">
        <f>YEAR(Table1[[#This Row],[PurchaseDate]])</f>
        <v>2024</v>
      </c>
      <c r="E1380" s="2" t="str">
        <f>"Q"&amp;ROUNDUP(MONTH(Table1[[#This Row],[PurchaseDate]])/3,0)</f>
        <v>Q3</v>
      </c>
      <c r="F1380" s="2">
        <f>MONTH(Table1[[#This Row],[PurchaseDate]])</f>
        <v>7</v>
      </c>
      <c r="G1380" s="2" t="str">
        <f>TEXT(Table1[[#This Row],[PurchaseDate]],"MMM")</f>
        <v>Jul</v>
      </c>
      <c r="H1380">
        <v>8</v>
      </c>
      <c r="I1380">
        <v>598.48</v>
      </c>
      <c r="J1380" t="s">
        <v>2596</v>
      </c>
      <c r="K1380" t="s">
        <v>38</v>
      </c>
      <c r="L1380" t="s">
        <v>19</v>
      </c>
      <c r="M1380">
        <v>1</v>
      </c>
      <c r="N1380">
        <v>4787.84</v>
      </c>
    </row>
    <row r="1381" spans="1:14" x14ac:dyDescent="0.3">
      <c r="A1381" t="s">
        <v>2597</v>
      </c>
      <c r="B1381" t="s">
        <v>11</v>
      </c>
      <c r="C1381" s="1">
        <v>45568</v>
      </c>
      <c r="D1381" s="2">
        <f>YEAR(Table1[[#This Row],[PurchaseDate]])</f>
        <v>2024</v>
      </c>
      <c r="E1381" s="2" t="str">
        <f>"Q"&amp;ROUNDUP(MONTH(Table1[[#This Row],[PurchaseDate]])/3,0)</f>
        <v>Q4</v>
      </c>
      <c r="F1381" s="2">
        <f>MONTH(Table1[[#This Row],[PurchaseDate]])</f>
        <v>10</v>
      </c>
      <c r="G1381" s="2" t="str">
        <f>TEXT(Table1[[#This Row],[PurchaseDate]],"MMM")</f>
        <v>Oct</v>
      </c>
      <c r="H1381">
        <v>8</v>
      </c>
      <c r="I1381">
        <v>645.74</v>
      </c>
      <c r="J1381" t="s">
        <v>2598</v>
      </c>
      <c r="K1381" t="s">
        <v>13</v>
      </c>
      <c r="L1381" t="s">
        <v>27</v>
      </c>
      <c r="M1381">
        <v>5</v>
      </c>
      <c r="N1381">
        <v>5165.92</v>
      </c>
    </row>
    <row r="1382" spans="1:14" x14ac:dyDescent="0.3">
      <c r="A1382" t="s">
        <v>2599</v>
      </c>
      <c r="B1382" t="s">
        <v>21</v>
      </c>
      <c r="C1382" s="1">
        <v>45328</v>
      </c>
      <c r="D1382" s="2">
        <f>YEAR(Table1[[#This Row],[PurchaseDate]])</f>
        <v>2024</v>
      </c>
      <c r="E1382" s="2" t="str">
        <f>"Q"&amp;ROUNDUP(MONTH(Table1[[#This Row],[PurchaseDate]])/3,0)</f>
        <v>Q1</v>
      </c>
      <c r="F1382" s="2">
        <f>MONTH(Table1[[#This Row],[PurchaseDate]])</f>
        <v>2</v>
      </c>
      <c r="G1382" s="2" t="str">
        <f>TEXT(Table1[[#This Row],[PurchaseDate]],"MMM")</f>
        <v>Feb</v>
      </c>
      <c r="H1382">
        <v>3</v>
      </c>
      <c r="I1382">
        <v>107.73</v>
      </c>
      <c r="J1382" t="s">
        <v>2600</v>
      </c>
      <c r="K1382" t="s">
        <v>38</v>
      </c>
      <c r="L1382" t="s">
        <v>58</v>
      </c>
      <c r="M1382">
        <v>5</v>
      </c>
      <c r="N1382">
        <v>323.19</v>
      </c>
    </row>
    <row r="1383" spans="1:14" x14ac:dyDescent="0.3">
      <c r="A1383" t="s">
        <v>2601</v>
      </c>
      <c r="B1383" t="s">
        <v>34</v>
      </c>
      <c r="C1383" s="1">
        <v>45174</v>
      </c>
      <c r="D1383" s="2">
        <f>YEAR(Table1[[#This Row],[PurchaseDate]])</f>
        <v>2023</v>
      </c>
      <c r="E1383" s="2" t="str">
        <f>"Q"&amp;ROUNDUP(MONTH(Table1[[#This Row],[PurchaseDate]])/3,0)</f>
        <v>Q3</v>
      </c>
      <c r="F1383" s="2">
        <f>MONTH(Table1[[#This Row],[PurchaseDate]])</f>
        <v>9</v>
      </c>
      <c r="G1383" s="2" t="str">
        <f>TEXT(Table1[[#This Row],[PurchaseDate]],"MMM")</f>
        <v>Sep</v>
      </c>
      <c r="H1383">
        <v>5</v>
      </c>
      <c r="I1383">
        <v>192.39</v>
      </c>
      <c r="J1383" t="s">
        <v>2602</v>
      </c>
      <c r="K1383" t="s">
        <v>18</v>
      </c>
      <c r="L1383" t="s">
        <v>27</v>
      </c>
      <c r="M1383">
        <v>1</v>
      </c>
      <c r="N1383">
        <v>961.95</v>
      </c>
    </row>
    <row r="1384" spans="1:14" x14ac:dyDescent="0.3">
      <c r="A1384" t="s">
        <v>2603</v>
      </c>
      <c r="B1384" t="s">
        <v>29</v>
      </c>
      <c r="C1384" s="1">
        <v>45628</v>
      </c>
      <c r="D1384" s="2">
        <f>YEAR(Table1[[#This Row],[PurchaseDate]])</f>
        <v>2024</v>
      </c>
      <c r="E1384" s="2" t="str">
        <f>"Q"&amp;ROUNDUP(MONTH(Table1[[#This Row],[PurchaseDate]])/3,0)</f>
        <v>Q4</v>
      </c>
      <c r="F1384" s="2">
        <f>MONTH(Table1[[#This Row],[PurchaseDate]])</f>
        <v>12</v>
      </c>
      <c r="G1384" s="2" t="str">
        <f>TEXT(Table1[[#This Row],[PurchaseDate]],"MMM")</f>
        <v>Dec</v>
      </c>
      <c r="H1384">
        <v>2</v>
      </c>
      <c r="I1384">
        <v>479.88</v>
      </c>
      <c r="J1384" t="s">
        <v>2604</v>
      </c>
      <c r="K1384" t="s">
        <v>18</v>
      </c>
      <c r="L1384" t="s">
        <v>27</v>
      </c>
      <c r="M1384">
        <v>5</v>
      </c>
      <c r="N1384">
        <v>959.76</v>
      </c>
    </row>
    <row r="1385" spans="1:14" x14ac:dyDescent="0.3">
      <c r="A1385" t="s">
        <v>2605</v>
      </c>
      <c r="B1385" t="s">
        <v>25</v>
      </c>
      <c r="C1385" s="1">
        <v>45271</v>
      </c>
      <c r="D1385" s="2">
        <f>YEAR(Table1[[#This Row],[PurchaseDate]])</f>
        <v>2023</v>
      </c>
      <c r="E1385" s="2" t="str">
        <f>"Q"&amp;ROUNDUP(MONTH(Table1[[#This Row],[PurchaseDate]])/3,0)</f>
        <v>Q4</v>
      </c>
      <c r="F1385" s="2">
        <f>MONTH(Table1[[#This Row],[PurchaseDate]])</f>
        <v>12</v>
      </c>
      <c r="G1385" s="2" t="str">
        <f>TEXT(Table1[[#This Row],[PurchaseDate]],"MMM")</f>
        <v>Dec</v>
      </c>
      <c r="H1385">
        <v>8</v>
      </c>
      <c r="I1385">
        <v>785.49</v>
      </c>
      <c r="J1385" t="s">
        <v>2606</v>
      </c>
      <c r="K1385" t="s">
        <v>13</v>
      </c>
      <c r="L1385" t="s">
        <v>14</v>
      </c>
      <c r="M1385">
        <v>5</v>
      </c>
      <c r="N1385">
        <v>6283.92</v>
      </c>
    </row>
    <row r="1386" spans="1:14" x14ac:dyDescent="0.3">
      <c r="A1386" t="s">
        <v>2607</v>
      </c>
      <c r="B1386" t="s">
        <v>29</v>
      </c>
      <c r="C1386" s="1">
        <v>45802</v>
      </c>
      <c r="D1386" s="2">
        <f>YEAR(Table1[[#This Row],[PurchaseDate]])</f>
        <v>2025</v>
      </c>
      <c r="E1386" s="2" t="str">
        <f>"Q"&amp;ROUNDUP(MONTH(Table1[[#This Row],[PurchaseDate]])/3,0)</f>
        <v>Q2</v>
      </c>
      <c r="F1386" s="2">
        <f>MONTH(Table1[[#This Row],[PurchaseDate]])</f>
        <v>5</v>
      </c>
      <c r="G1386" s="2" t="str">
        <f>TEXT(Table1[[#This Row],[PurchaseDate]],"MMM")</f>
        <v>May</v>
      </c>
      <c r="H1386">
        <v>5</v>
      </c>
      <c r="I1386">
        <v>323.88</v>
      </c>
      <c r="J1386" t="s">
        <v>2608</v>
      </c>
      <c r="K1386" t="s">
        <v>38</v>
      </c>
      <c r="L1386" t="s">
        <v>27</v>
      </c>
      <c r="M1386">
        <v>2</v>
      </c>
      <c r="N1386">
        <v>1619.4</v>
      </c>
    </row>
    <row r="1387" spans="1:14" x14ac:dyDescent="0.3">
      <c r="A1387" t="s">
        <v>2609</v>
      </c>
      <c r="B1387" t="s">
        <v>29</v>
      </c>
      <c r="C1387" s="1">
        <v>45261</v>
      </c>
      <c r="D1387" s="2">
        <f>YEAR(Table1[[#This Row],[PurchaseDate]])</f>
        <v>2023</v>
      </c>
      <c r="E1387" s="2" t="str">
        <f>"Q"&amp;ROUNDUP(MONTH(Table1[[#This Row],[PurchaseDate]])/3,0)</f>
        <v>Q4</v>
      </c>
      <c r="F1387" s="2">
        <f>MONTH(Table1[[#This Row],[PurchaseDate]])</f>
        <v>12</v>
      </c>
      <c r="G1387" s="2" t="str">
        <f>TEXT(Table1[[#This Row],[PurchaseDate]],"MMM")</f>
        <v>Dec</v>
      </c>
      <c r="H1387">
        <v>2</v>
      </c>
      <c r="I1387">
        <v>86.85</v>
      </c>
      <c r="J1387" t="s">
        <v>2610</v>
      </c>
      <c r="K1387" t="s">
        <v>18</v>
      </c>
      <c r="L1387" t="s">
        <v>19</v>
      </c>
      <c r="M1387">
        <v>1</v>
      </c>
      <c r="N1387">
        <v>173.7</v>
      </c>
    </row>
    <row r="1388" spans="1:14" x14ac:dyDescent="0.3">
      <c r="A1388" t="s">
        <v>2611</v>
      </c>
      <c r="B1388" t="s">
        <v>16</v>
      </c>
      <c r="C1388" s="1">
        <v>45147</v>
      </c>
      <c r="D1388" s="2">
        <f>YEAR(Table1[[#This Row],[PurchaseDate]])</f>
        <v>2023</v>
      </c>
      <c r="E1388" s="2" t="str">
        <f>"Q"&amp;ROUNDUP(MONTH(Table1[[#This Row],[PurchaseDate]])/3,0)</f>
        <v>Q3</v>
      </c>
      <c r="F1388" s="2">
        <f>MONTH(Table1[[#This Row],[PurchaseDate]])</f>
        <v>8</v>
      </c>
      <c r="G1388" s="2" t="str">
        <f>TEXT(Table1[[#This Row],[PurchaseDate]],"MMM")</f>
        <v>Aug</v>
      </c>
      <c r="H1388">
        <v>2</v>
      </c>
      <c r="I1388">
        <v>531.20000000000005</v>
      </c>
      <c r="J1388" t="s">
        <v>2612</v>
      </c>
      <c r="K1388" t="s">
        <v>18</v>
      </c>
      <c r="L1388" t="s">
        <v>23</v>
      </c>
      <c r="M1388">
        <v>5</v>
      </c>
      <c r="N1388">
        <v>1062.4000000000001</v>
      </c>
    </row>
    <row r="1389" spans="1:14" x14ac:dyDescent="0.3">
      <c r="A1389" t="s">
        <v>2613</v>
      </c>
      <c r="B1389" t="s">
        <v>34</v>
      </c>
      <c r="C1389" s="1">
        <v>45214</v>
      </c>
      <c r="D1389" s="2">
        <f>YEAR(Table1[[#This Row],[PurchaseDate]])</f>
        <v>2023</v>
      </c>
      <c r="E1389" s="2" t="str">
        <f>"Q"&amp;ROUNDUP(MONTH(Table1[[#This Row],[PurchaseDate]])/3,0)</f>
        <v>Q4</v>
      </c>
      <c r="F1389" s="2">
        <f>MONTH(Table1[[#This Row],[PurchaseDate]])</f>
        <v>10</v>
      </c>
      <c r="G1389" s="2" t="str">
        <f>TEXT(Table1[[#This Row],[PurchaseDate]],"MMM")</f>
        <v>Oct</v>
      </c>
      <c r="H1389">
        <v>7</v>
      </c>
      <c r="I1389">
        <v>692.66</v>
      </c>
      <c r="J1389" t="s">
        <v>2614</v>
      </c>
      <c r="K1389" t="s">
        <v>13</v>
      </c>
      <c r="L1389" t="s">
        <v>19</v>
      </c>
      <c r="M1389">
        <v>5</v>
      </c>
      <c r="N1389">
        <v>4848.62</v>
      </c>
    </row>
    <row r="1390" spans="1:14" x14ac:dyDescent="0.3">
      <c r="A1390" t="s">
        <v>2615</v>
      </c>
      <c r="B1390" t="s">
        <v>42</v>
      </c>
      <c r="C1390" s="1">
        <v>45707</v>
      </c>
      <c r="D1390" s="2">
        <f>YEAR(Table1[[#This Row],[PurchaseDate]])</f>
        <v>2025</v>
      </c>
      <c r="E1390" s="2" t="str">
        <f>"Q"&amp;ROUNDUP(MONTH(Table1[[#This Row],[PurchaseDate]])/3,0)</f>
        <v>Q1</v>
      </c>
      <c r="F1390" s="2">
        <f>MONTH(Table1[[#This Row],[PurchaseDate]])</f>
        <v>2</v>
      </c>
      <c r="G1390" s="2" t="str">
        <f>TEXT(Table1[[#This Row],[PurchaseDate]],"MMM")</f>
        <v>Feb</v>
      </c>
      <c r="H1390">
        <v>7</v>
      </c>
      <c r="I1390">
        <v>209.87</v>
      </c>
      <c r="J1390" t="s">
        <v>2616</v>
      </c>
      <c r="K1390" t="s">
        <v>38</v>
      </c>
      <c r="L1390" t="s">
        <v>58</v>
      </c>
      <c r="M1390">
        <v>2</v>
      </c>
      <c r="N1390">
        <v>1469.09</v>
      </c>
    </row>
    <row r="1391" spans="1:14" x14ac:dyDescent="0.3">
      <c r="A1391" t="s">
        <v>2617</v>
      </c>
      <c r="B1391" t="s">
        <v>42</v>
      </c>
      <c r="C1391" s="1">
        <v>45258</v>
      </c>
      <c r="D1391" s="2">
        <f>YEAR(Table1[[#This Row],[PurchaseDate]])</f>
        <v>2023</v>
      </c>
      <c r="E1391" s="2" t="str">
        <f>"Q"&amp;ROUNDUP(MONTH(Table1[[#This Row],[PurchaseDate]])/3,0)</f>
        <v>Q4</v>
      </c>
      <c r="F1391" s="2">
        <f>MONTH(Table1[[#This Row],[PurchaseDate]])</f>
        <v>11</v>
      </c>
      <c r="G1391" s="2" t="str">
        <f>TEXT(Table1[[#This Row],[PurchaseDate]],"MMM")</f>
        <v>Nov</v>
      </c>
      <c r="H1391">
        <v>3</v>
      </c>
      <c r="I1391">
        <v>450.18</v>
      </c>
      <c r="J1391" t="s">
        <v>2618</v>
      </c>
      <c r="K1391" t="s">
        <v>38</v>
      </c>
      <c r="L1391" t="s">
        <v>27</v>
      </c>
      <c r="M1391">
        <v>1</v>
      </c>
      <c r="N1391">
        <v>1350.54</v>
      </c>
    </row>
    <row r="1392" spans="1:14" x14ac:dyDescent="0.3">
      <c r="A1392" t="s">
        <v>2619</v>
      </c>
      <c r="B1392" t="s">
        <v>16</v>
      </c>
      <c r="C1392" s="1">
        <v>45058</v>
      </c>
      <c r="D1392" s="2">
        <f>YEAR(Table1[[#This Row],[PurchaseDate]])</f>
        <v>2023</v>
      </c>
      <c r="E1392" s="2" t="str">
        <f>"Q"&amp;ROUNDUP(MONTH(Table1[[#This Row],[PurchaseDate]])/3,0)</f>
        <v>Q2</v>
      </c>
      <c r="F1392" s="2">
        <f>MONTH(Table1[[#This Row],[PurchaseDate]])</f>
        <v>5</v>
      </c>
      <c r="G1392" s="2" t="str">
        <f>TEXT(Table1[[#This Row],[PurchaseDate]],"MMM")</f>
        <v>May</v>
      </c>
      <c r="H1392">
        <v>3</v>
      </c>
      <c r="I1392">
        <v>484.69</v>
      </c>
      <c r="J1392" t="s">
        <v>2620</v>
      </c>
      <c r="K1392" t="s">
        <v>13</v>
      </c>
      <c r="L1392" t="s">
        <v>14</v>
      </c>
      <c r="M1392">
        <v>3</v>
      </c>
      <c r="N1392">
        <v>1454.07</v>
      </c>
    </row>
    <row r="1393" spans="1:14" x14ac:dyDescent="0.3">
      <c r="A1393" t="s">
        <v>2621</v>
      </c>
      <c r="B1393" t="s">
        <v>34</v>
      </c>
      <c r="C1393" s="1">
        <v>45348</v>
      </c>
      <c r="D1393" s="2">
        <f>YEAR(Table1[[#This Row],[PurchaseDate]])</f>
        <v>2024</v>
      </c>
      <c r="E1393" s="2" t="str">
        <f>"Q"&amp;ROUNDUP(MONTH(Table1[[#This Row],[PurchaseDate]])/3,0)</f>
        <v>Q1</v>
      </c>
      <c r="F1393" s="2">
        <f>MONTH(Table1[[#This Row],[PurchaseDate]])</f>
        <v>2</v>
      </c>
      <c r="G1393" s="2" t="str">
        <f>TEXT(Table1[[#This Row],[PurchaseDate]],"MMM")</f>
        <v>Feb</v>
      </c>
      <c r="H1393">
        <v>5</v>
      </c>
      <c r="I1393">
        <v>664.51</v>
      </c>
      <c r="J1393" t="s">
        <v>2622</v>
      </c>
      <c r="K1393" t="s">
        <v>13</v>
      </c>
      <c r="L1393" t="s">
        <v>58</v>
      </c>
      <c r="M1393">
        <v>1</v>
      </c>
      <c r="N1393">
        <v>3322.55</v>
      </c>
    </row>
    <row r="1394" spans="1:14" x14ac:dyDescent="0.3">
      <c r="A1394" t="s">
        <v>2623</v>
      </c>
      <c r="B1394" t="s">
        <v>34</v>
      </c>
      <c r="C1394" s="1">
        <v>45232</v>
      </c>
      <c r="D1394" s="2">
        <f>YEAR(Table1[[#This Row],[PurchaseDate]])</f>
        <v>2023</v>
      </c>
      <c r="E1394" s="2" t="str">
        <f>"Q"&amp;ROUNDUP(MONTH(Table1[[#This Row],[PurchaseDate]])/3,0)</f>
        <v>Q4</v>
      </c>
      <c r="F1394" s="2">
        <f>MONTH(Table1[[#This Row],[PurchaseDate]])</f>
        <v>11</v>
      </c>
      <c r="G1394" s="2" t="str">
        <f>TEXT(Table1[[#This Row],[PurchaseDate]],"MMM")</f>
        <v>Nov</v>
      </c>
      <c r="H1394">
        <v>2</v>
      </c>
      <c r="I1394">
        <v>237.63</v>
      </c>
      <c r="J1394" t="s">
        <v>2624</v>
      </c>
      <c r="K1394" t="s">
        <v>13</v>
      </c>
      <c r="L1394" t="s">
        <v>58</v>
      </c>
      <c r="M1394">
        <v>3</v>
      </c>
      <c r="N1394">
        <v>475.26</v>
      </c>
    </row>
    <row r="1395" spans="1:14" x14ac:dyDescent="0.3">
      <c r="A1395" t="s">
        <v>2625</v>
      </c>
      <c r="B1395" t="s">
        <v>25</v>
      </c>
      <c r="C1395" s="1">
        <v>45716</v>
      </c>
      <c r="D1395" s="2">
        <f>YEAR(Table1[[#This Row],[PurchaseDate]])</f>
        <v>2025</v>
      </c>
      <c r="E1395" s="2" t="str">
        <f>"Q"&amp;ROUNDUP(MONTH(Table1[[#This Row],[PurchaseDate]])/3,0)</f>
        <v>Q1</v>
      </c>
      <c r="F1395" s="2">
        <f>MONTH(Table1[[#This Row],[PurchaseDate]])</f>
        <v>2</v>
      </c>
      <c r="G1395" s="2" t="str">
        <f>TEXT(Table1[[#This Row],[PurchaseDate]],"MMM")</f>
        <v>Feb</v>
      </c>
      <c r="H1395">
        <v>7</v>
      </c>
      <c r="I1395">
        <v>666.21</v>
      </c>
      <c r="J1395" t="s">
        <v>2626</v>
      </c>
      <c r="K1395" t="s">
        <v>38</v>
      </c>
      <c r="L1395" t="s">
        <v>23</v>
      </c>
      <c r="M1395">
        <v>2</v>
      </c>
      <c r="N1395">
        <v>4663.47</v>
      </c>
    </row>
    <row r="1396" spans="1:14" x14ac:dyDescent="0.3">
      <c r="A1396" t="s">
        <v>2627</v>
      </c>
      <c r="B1396" t="s">
        <v>21</v>
      </c>
      <c r="C1396" s="1">
        <v>45397</v>
      </c>
      <c r="D1396" s="2">
        <f>YEAR(Table1[[#This Row],[PurchaseDate]])</f>
        <v>2024</v>
      </c>
      <c r="E1396" s="2" t="str">
        <f>"Q"&amp;ROUNDUP(MONTH(Table1[[#This Row],[PurchaseDate]])/3,0)</f>
        <v>Q2</v>
      </c>
      <c r="F1396" s="2">
        <f>MONTH(Table1[[#This Row],[PurchaseDate]])</f>
        <v>4</v>
      </c>
      <c r="G1396" s="2" t="str">
        <f>TEXT(Table1[[#This Row],[PurchaseDate]],"MMM")</f>
        <v>Apr</v>
      </c>
      <c r="H1396">
        <v>6</v>
      </c>
      <c r="I1396">
        <v>278.04000000000002</v>
      </c>
      <c r="J1396" t="s">
        <v>2628</v>
      </c>
      <c r="K1396" t="s">
        <v>13</v>
      </c>
      <c r="L1396" t="s">
        <v>19</v>
      </c>
      <c r="M1396">
        <v>3</v>
      </c>
      <c r="N1396">
        <v>1668.24</v>
      </c>
    </row>
    <row r="1397" spans="1:14" x14ac:dyDescent="0.3">
      <c r="A1397" t="s">
        <v>683</v>
      </c>
      <c r="B1397" t="s">
        <v>21</v>
      </c>
      <c r="C1397" s="1">
        <v>45276</v>
      </c>
      <c r="D1397" s="2">
        <f>YEAR(Table1[[#This Row],[PurchaseDate]])</f>
        <v>2023</v>
      </c>
      <c r="E1397" s="2" t="str">
        <f>"Q"&amp;ROUNDUP(MONTH(Table1[[#This Row],[PurchaseDate]])/3,0)</f>
        <v>Q4</v>
      </c>
      <c r="F1397" s="2">
        <f>MONTH(Table1[[#This Row],[PurchaseDate]])</f>
        <v>12</v>
      </c>
      <c r="G1397" s="2" t="str">
        <f>TEXT(Table1[[#This Row],[PurchaseDate]],"MMM")</f>
        <v>Dec</v>
      </c>
      <c r="H1397">
        <v>3</v>
      </c>
      <c r="I1397">
        <v>603.87</v>
      </c>
      <c r="J1397" t="s">
        <v>684</v>
      </c>
      <c r="K1397" t="s">
        <v>18</v>
      </c>
      <c r="L1397" t="s">
        <v>27</v>
      </c>
      <c r="M1397">
        <v>4</v>
      </c>
      <c r="N1397">
        <v>1811.61</v>
      </c>
    </row>
    <row r="1398" spans="1:14" x14ac:dyDescent="0.3">
      <c r="A1398" t="s">
        <v>2629</v>
      </c>
      <c r="B1398" t="s">
        <v>29</v>
      </c>
      <c r="C1398" s="1">
        <v>45425</v>
      </c>
      <c r="D1398" s="2">
        <f>YEAR(Table1[[#This Row],[PurchaseDate]])</f>
        <v>2024</v>
      </c>
      <c r="E1398" s="2" t="str">
        <f>"Q"&amp;ROUNDUP(MONTH(Table1[[#This Row],[PurchaseDate]])/3,0)</f>
        <v>Q2</v>
      </c>
      <c r="F1398" s="2">
        <f>MONTH(Table1[[#This Row],[PurchaseDate]])</f>
        <v>5</v>
      </c>
      <c r="G1398" s="2" t="str">
        <f>TEXT(Table1[[#This Row],[PurchaseDate]],"MMM")</f>
        <v>May</v>
      </c>
      <c r="H1398">
        <v>3</v>
      </c>
      <c r="I1398">
        <v>321.86</v>
      </c>
      <c r="J1398" t="s">
        <v>2630</v>
      </c>
      <c r="K1398" t="s">
        <v>18</v>
      </c>
      <c r="L1398" t="s">
        <v>14</v>
      </c>
      <c r="M1398">
        <v>3</v>
      </c>
      <c r="N1398">
        <v>965.58</v>
      </c>
    </row>
    <row r="1399" spans="1:14" x14ac:dyDescent="0.3">
      <c r="A1399" t="s">
        <v>2631</v>
      </c>
      <c r="B1399" t="s">
        <v>29</v>
      </c>
      <c r="C1399" s="1">
        <v>45731</v>
      </c>
      <c r="D1399" s="2">
        <f>YEAR(Table1[[#This Row],[PurchaseDate]])</f>
        <v>2025</v>
      </c>
      <c r="E1399" s="2" t="str">
        <f>"Q"&amp;ROUNDUP(MONTH(Table1[[#This Row],[PurchaseDate]])/3,0)</f>
        <v>Q1</v>
      </c>
      <c r="F1399" s="2">
        <f>MONTH(Table1[[#This Row],[PurchaseDate]])</f>
        <v>3</v>
      </c>
      <c r="G1399" s="2" t="str">
        <f>TEXT(Table1[[#This Row],[PurchaseDate]],"MMM")</f>
        <v>Mar</v>
      </c>
      <c r="H1399">
        <v>6</v>
      </c>
      <c r="I1399">
        <v>78.52</v>
      </c>
      <c r="J1399" t="s">
        <v>2632</v>
      </c>
      <c r="K1399" t="s">
        <v>38</v>
      </c>
      <c r="L1399" t="s">
        <v>23</v>
      </c>
      <c r="M1399">
        <v>2</v>
      </c>
      <c r="N1399">
        <v>471.12</v>
      </c>
    </row>
    <row r="1400" spans="1:14" x14ac:dyDescent="0.3">
      <c r="A1400" t="s">
        <v>2633</v>
      </c>
      <c r="B1400" t="s">
        <v>42</v>
      </c>
      <c r="C1400" s="1">
        <v>45353</v>
      </c>
      <c r="D1400" s="2">
        <f>YEAR(Table1[[#This Row],[PurchaseDate]])</f>
        <v>2024</v>
      </c>
      <c r="E1400" s="2" t="str">
        <f>"Q"&amp;ROUNDUP(MONTH(Table1[[#This Row],[PurchaseDate]])/3,0)</f>
        <v>Q1</v>
      </c>
      <c r="F1400" s="2">
        <f>MONTH(Table1[[#This Row],[PurchaseDate]])</f>
        <v>3</v>
      </c>
      <c r="G1400" s="2" t="str">
        <f>TEXT(Table1[[#This Row],[PurchaseDate]],"MMM")</f>
        <v>Mar</v>
      </c>
      <c r="H1400">
        <v>7</v>
      </c>
      <c r="I1400">
        <v>212.84</v>
      </c>
      <c r="J1400" t="s">
        <v>2634</v>
      </c>
      <c r="K1400" t="s">
        <v>38</v>
      </c>
      <c r="L1400" t="s">
        <v>14</v>
      </c>
      <c r="M1400">
        <v>2</v>
      </c>
      <c r="N1400">
        <v>1489.88</v>
      </c>
    </row>
    <row r="1401" spans="1:14" x14ac:dyDescent="0.3">
      <c r="A1401" t="s">
        <v>2635</v>
      </c>
      <c r="B1401" t="s">
        <v>29</v>
      </c>
      <c r="C1401" s="1">
        <v>45747</v>
      </c>
      <c r="D1401" s="2">
        <f>YEAR(Table1[[#This Row],[PurchaseDate]])</f>
        <v>2025</v>
      </c>
      <c r="E1401" s="2" t="str">
        <f>"Q"&amp;ROUNDUP(MONTH(Table1[[#This Row],[PurchaseDate]])/3,0)</f>
        <v>Q1</v>
      </c>
      <c r="F1401" s="2">
        <f>MONTH(Table1[[#This Row],[PurchaseDate]])</f>
        <v>3</v>
      </c>
      <c r="G1401" s="2" t="str">
        <f>TEXT(Table1[[#This Row],[PurchaseDate]],"MMM")</f>
        <v>Mar</v>
      </c>
      <c r="H1401">
        <v>3</v>
      </c>
      <c r="I1401">
        <v>316.77999999999997</v>
      </c>
      <c r="J1401" t="s">
        <v>2636</v>
      </c>
      <c r="K1401" t="s">
        <v>38</v>
      </c>
      <c r="L1401" t="s">
        <v>27</v>
      </c>
      <c r="M1401">
        <v>5</v>
      </c>
      <c r="N1401">
        <v>950.34</v>
      </c>
    </row>
    <row r="1402" spans="1:14" x14ac:dyDescent="0.3">
      <c r="A1402" t="s">
        <v>1527</v>
      </c>
      <c r="B1402" t="s">
        <v>29</v>
      </c>
      <c r="C1402" s="1">
        <v>45646</v>
      </c>
      <c r="D1402" s="2">
        <f>YEAR(Table1[[#This Row],[PurchaseDate]])</f>
        <v>2024</v>
      </c>
      <c r="E1402" s="2" t="str">
        <f>"Q"&amp;ROUNDUP(MONTH(Table1[[#This Row],[PurchaseDate]])/3,0)</f>
        <v>Q4</v>
      </c>
      <c r="F1402" s="2">
        <f>MONTH(Table1[[#This Row],[PurchaseDate]])</f>
        <v>12</v>
      </c>
      <c r="G1402" s="2" t="str">
        <f>TEXT(Table1[[#This Row],[PurchaseDate]],"MMM")</f>
        <v>Dec</v>
      </c>
      <c r="H1402">
        <v>6</v>
      </c>
      <c r="I1402">
        <v>665.94</v>
      </c>
      <c r="J1402" t="s">
        <v>1528</v>
      </c>
      <c r="K1402" t="s">
        <v>13</v>
      </c>
      <c r="L1402" t="s">
        <v>27</v>
      </c>
      <c r="M1402">
        <v>5</v>
      </c>
      <c r="N1402">
        <v>3995.64</v>
      </c>
    </row>
    <row r="1403" spans="1:14" x14ac:dyDescent="0.3">
      <c r="A1403" t="s">
        <v>2637</v>
      </c>
      <c r="B1403" t="s">
        <v>21</v>
      </c>
      <c r="C1403" s="1">
        <v>45430</v>
      </c>
      <c r="D1403" s="2">
        <f>YEAR(Table1[[#This Row],[PurchaseDate]])</f>
        <v>2024</v>
      </c>
      <c r="E1403" s="2" t="str">
        <f>"Q"&amp;ROUNDUP(MONTH(Table1[[#This Row],[PurchaseDate]])/3,0)</f>
        <v>Q2</v>
      </c>
      <c r="F1403" s="2">
        <f>MONTH(Table1[[#This Row],[PurchaseDate]])</f>
        <v>5</v>
      </c>
      <c r="G1403" s="2" t="str">
        <f>TEXT(Table1[[#This Row],[PurchaseDate]],"MMM")</f>
        <v>May</v>
      </c>
      <c r="H1403">
        <v>2</v>
      </c>
      <c r="I1403">
        <v>307.39</v>
      </c>
      <c r="J1403" t="s">
        <v>2638</v>
      </c>
      <c r="K1403" t="s">
        <v>18</v>
      </c>
      <c r="L1403" t="s">
        <v>19</v>
      </c>
      <c r="M1403">
        <v>3</v>
      </c>
      <c r="N1403">
        <v>614.78</v>
      </c>
    </row>
    <row r="1404" spans="1:14" x14ac:dyDescent="0.3">
      <c r="A1404" t="s">
        <v>2639</v>
      </c>
      <c r="B1404" t="s">
        <v>16</v>
      </c>
      <c r="C1404" s="1">
        <v>45333</v>
      </c>
      <c r="D1404" s="2">
        <f>YEAR(Table1[[#This Row],[PurchaseDate]])</f>
        <v>2024</v>
      </c>
      <c r="E1404" s="2" t="str">
        <f>"Q"&amp;ROUNDUP(MONTH(Table1[[#This Row],[PurchaseDate]])/3,0)</f>
        <v>Q1</v>
      </c>
      <c r="F1404" s="2">
        <f>MONTH(Table1[[#This Row],[PurchaseDate]])</f>
        <v>2</v>
      </c>
      <c r="G1404" s="2" t="str">
        <f>TEXT(Table1[[#This Row],[PurchaseDate]],"MMM")</f>
        <v>Feb</v>
      </c>
      <c r="H1404">
        <v>7</v>
      </c>
      <c r="I1404">
        <v>482.42</v>
      </c>
      <c r="J1404" t="s">
        <v>2640</v>
      </c>
      <c r="K1404" t="s">
        <v>38</v>
      </c>
      <c r="L1404" t="s">
        <v>19</v>
      </c>
      <c r="M1404">
        <v>4</v>
      </c>
      <c r="N1404">
        <v>3376.94</v>
      </c>
    </row>
    <row r="1405" spans="1:14" x14ac:dyDescent="0.3">
      <c r="A1405" t="s">
        <v>1903</v>
      </c>
      <c r="B1405" t="s">
        <v>11</v>
      </c>
      <c r="C1405" s="1">
        <v>45052</v>
      </c>
      <c r="D1405" s="2">
        <f>YEAR(Table1[[#This Row],[PurchaseDate]])</f>
        <v>2023</v>
      </c>
      <c r="E1405" s="2" t="str">
        <f>"Q"&amp;ROUNDUP(MONTH(Table1[[#This Row],[PurchaseDate]])/3,0)</f>
        <v>Q2</v>
      </c>
      <c r="F1405" s="2">
        <f>MONTH(Table1[[#This Row],[PurchaseDate]])</f>
        <v>5</v>
      </c>
      <c r="G1405" s="2" t="str">
        <f>TEXT(Table1[[#This Row],[PurchaseDate]],"MMM")</f>
        <v>May</v>
      </c>
      <c r="H1405">
        <v>5</v>
      </c>
      <c r="I1405">
        <v>726.07</v>
      </c>
      <c r="J1405" t="s">
        <v>1904</v>
      </c>
      <c r="K1405" t="s">
        <v>13</v>
      </c>
      <c r="L1405" t="s">
        <v>23</v>
      </c>
      <c r="M1405">
        <v>2</v>
      </c>
      <c r="N1405">
        <v>3630.35</v>
      </c>
    </row>
    <row r="1406" spans="1:14" x14ac:dyDescent="0.3">
      <c r="A1406" t="s">
        <v>497</v>
      </c>
      <c r="B1406" t="s">
        <v>16</v>
      </c>
      <c r="C1406" s="1">
        <v>45685</v>
      </c>
      <c r="D1406" s="2">
        <f>YEAR(Table1[[#This Row],[PurchaseDate]])</f>
        <v>2025</v>
      </c>
      <c r="E1406" s="2" t="str">
        <f>"Q"&amp;ROUNDUP(MONTH(Table1[[#This Row],[PurchaseDate]])/3,0)</f>
        <v>Q1</v>
      </c>
      <c r="F1406" s="2">
        <f>MONTH(Table1[[#This Row],[PurchaseDate]])</f>
        <v>1</v>
      </c>
      <c r="G1406" s="2" t="str">
        <f>TEXT(Table1[[#This Row],[PurchaseDate]],"MMM")</f>
        <v>Jan</v>
      </c>
      <c r="H1406">
        <v>5</v>
      </c>
      <c r="I1406">
        <v>433.22</v>
      </c>
      <c r="J1406" t="s">
        <v>498</v>
      </c>
      <c r="K1406" t="s">
        <v>18</v>
      </c>
      <c r="L1406" t="s">
        <v>58</v>
      </c>
      <c r="M1406">
        <v>3</v>
      </c>
      <c r="N1406">
        <v>2166.1</v>
      </c>
    </row>
    <row r="1407" spans="1:14" x14ac:dyDescent="0.3">
      <c r="A1407" t="s">
        <v>2641</v>
      </c>
      <c r="B1407" t="s">
        <v>42</v>
      </c>
      <c r="C1407" s="1">
        <v>45756</v>
      </c>
      <c r="D1407" s="2">
        <f>YEAR(Table1[[#This Row],[PurchaseDate]])</f>
        <v>2025</v>
      </c>
      <c r="E1407" s="2" t="str">
        <f>"Q"&amp;ROUNDUP(MONTH(Table1[[#This Row],[PurchaseDate]])/3,0)</f>
        <v>Q2</v>
      </c>
      <c r="F1407" s="2">
        <f>MONTH(Table1[[#This Row],[PurchaseDate]])</f>
        <v>4</v>
      </c>
      <c r="G1407" s="2" t="str">
        <f>TEXT(Table1[[#This Row],[PurchaseDate]],"MMM")</f>
        <v>Apr</v>
      </c>
      <c r="H1407">
        <v>2</v>
      </c>
      <c r="I1407">
        <v>461.16</v>
      </c>
      <c r="J1407" t="s">
        <v>2642</v>
      </c>
      <c r="K1407" t="s">
        <v>13</v>
      </c>
      <c r="L1407" t="s">
        <v>27</v>
      </c>
      <c r="M1407">
        <v>1</v>
      </c>
      <c r="N1407">
        <v>922.32</v>
      </c>
    </row>
    <row r="1408" spans="1:14" x14ac:dyDescent="0.3">
      <c r="A1408" t="s">
        <v>2643</v>
      </c>
      <c r="B1408" t="s">
        <v>21</v>
      </c>
      <c r="C1408" s="1">
        <v>45037</v>
      </c>
      <c r="D1408" s="2">
        <f>YEAR(Table1[[#This Row],[PurchaseDate]])</f>
        <v>2023</v>
      </c>
      <c r="E1408" s="2" t="str">
        <f>"Q"&amp;ROUNDUP(MONTH(Table1[[#This Row],[PurchaseDate]])/3,0)</f>
        <v>Q2</v>
      </c>
      <c r="F1408" s="2">
        <f>MONTH(Table1[[#This Row],[PurchaseDate]])</f>
        <v>4</v>
      </c>
      <c r="G1408" s="2" t="str">
        <f>TEXT(Table1[[#This Row],[PurchaseDate]],"MMM")</f>
        <v>Apr</v>
      </c>
      <c r="H1408">
        <v>7</v>
      </c>
      <c r="I1408">
        <v>230.88</v>
      </c>
      <c r="J1408" t="s">
        <v>2644</v>
      </c>
      <c r="K1408" t="s">
        <v>38</v>
      </c>
      <c r="L1408" t="s">
        <v>14</v>
      </c>
      <c r="M1408">
        <v>5</v>
      </c>
      <c r="N1408">
        <v>1616.16</v>
      </c>
    </row>
    <row r="1409" spans="1:14" x14ac:dyDescent="0.3">
      <c r="A1409" t="s">
        <v>2645</v>
      </c>
      <c r="B1409" t="s">
        <v>34</v>
      </c>
      <c r="C1409" s="1">
        <v>45145</v>
      </c>
      <c r="D1409" s="2">
        <f>YEAR(Table1[[#This Row],[PurchaseDate]])</f>
        <v>2023</v>
      </c>
      <c r="E1409" s="2" t="str">
        <f>"Q"&amp;ROUNDUP(MONTH(Table1[[#This Row],[PurchaseDate]])/3,0)</f>
        <v>Q3</v>
      </c>
      <c r="F1409" s="2">
        <f>MONTH(Table1[[#This Row],[PurchaseDate]])</f>
        <v>8</v>
      </c>
      <c r="G1409" s="2" t="str">
        <f>TEXT(Table1[[#This Row],[PurchaseDate]],"MMM")</f>
        <v>Aug</v>
      </c>
      <c r="H1409">
        <v>5</v>
      </c>
      <c r="I1409">
        <v>793.17</v>
      </c>
      <c r="J1409" t="s">
        <v>2646</v>
      </c>
      <c r="K1409" t="s">
        <v>18</v>
      </c>
      <c r="L1409" t="s">
        <v>14</v>
      </c>
      <c r="M1409">
        <v>3</v>
      </c>
      <c r="N1409">
        <v>3965.85</v>
      </c>
    </row>
    <row r="1410" spans="1:14" x14ac:dyDescent="0.3">
      <c r="A1410" t="s">
        <v>2647</v>
      </c>
      <c r="B1410" t="s">
        <v>16</v>
      </c>
      <c r="C1410" s="1">
        <v>45421</v>
      </c>
      <c r="D1410" s="2">
        <f>YEAR(Table1[[#This Row],[PurchaseDate]])</f>
        <v>2024</v>
      </c>
      <c r="E1410" s="2" t="str">
        <f>"Q"&amp;ROUNDUP(MONTH(Table1[[#This Row],[PurchaseDate]])/3,0)</f>
        <v>Q2</v>
      </c>
      <c r="F1410" s="2">
        <f>MONTH(Table1[[#This Row],[PurchaseDate]])</f>
        <v>5</v>
      </c>
      <c r="G1410" s="2" t="str">
        <f>TEXT(Table1[[#This Row],[PurchaseDate]],"MMM")</f>
        <v>May</v>
      </c>
      <c r="H1410">
        <v>1</v>
      </c>
      <c r="I1410">
        <v>152.57</v>
      </c>
      <c r="J1410" t="s">
        <v>2648</v>
      </c>
      <c r="K1410" t="s">
        <v>38</v>
      </c>
      <c r="L1410" t="s">
        <v>19</v>
      </c>
      <c r="M1410">
        <v>3</v>
      </c>
      <c r="N1410">
        <v>152.57</v>
      </c>
    </row>
    <row r="1411" spans="1:14" x14ac:dyDescent="0.3">
      <c r="A1411" t="s">
        <v>2649</v>
      </c>
      <c r="B1411" t="s">
        <v>16</v>
      </c>
      <c r="C1411" s="1">
        <v>45797</v>
      </c>
      <c r="D1411" s="2">
        <f>YEAR(Table1[[#This Row],[PurchaseDate]])</f>
        <v>2025</v>
      </c>
      <c r="E1411" s="2" t="str">
        <f>"Q"&amp;ROUNDUP(MONTH(Table1[[#This Row],[PurchaseDate]])/3,0)</f>
        <v>Q2</v>
      </c>
      <c r="F1411" s="2">
        <f>MONTH(Table1[[#This Row],[PurchaseDate]])</f>
        <v>5</v>
      </c>
      <c r="G1411" s="2" t="str">
        <f>TEXT(Table1[[#This Row],[PurchaseDate]],"MMM")</f>
        <v>May</v>
      </c>
      <c r="H1411">
        <v>5</v>
      </c>
      <c r="I1411">
        <v>282.24</v>
      </c>
      <c r="J1411" t="s">
        <v>2650</v>
      </c>
      <c r="K1411" t="s">
        <v>38</v>
      </c>
      <c r="L1411" t="s">
        <v>14</v>
      </c>
      <c r="M1411">
        <v>1</v>
      </c>
      <c r="N1411">
        <v>1411.2</v>
      </c>
    </row>
    <row r="1412" spans="1:14" x14ac:dyDescent="0.3">
      <c r="A1412" t="s">
        <v>2651</v>
      </c>
      <c r="B1412" t="s">
        <v>34</v>
      </c>
      <c r="C1412" s="1">
        <v>44979</v>
      </c>
      <c r="D1412" s="2">
        <f>YEAR(Table1[[#This Row],[PurchaseDate]])</f>
        <v>2023</v>
      </c>
      <c r="E1412" s="2" t="str">
        <f>"Q"&amp;ROUNDUP(MONTH(Table1[[#This Row],[PurchaseDate]])/3,0)</f>
        <v>Q1</v>
      </c>
      <c r="F1412" s="2">
        <f>MONTH(Table1[[#This Row],[PurchaseDate]])</f>
        <v>2</v>
      </c>
      <c r="G1412" s="2" t="str">
        <f>TEXT(Table1[[#This Row],[PurchaseDate]],"MMM")</f>
        <v>Feb</v>
      </c>
      <c r="H1412">
        <v>4</v>
      </c>
      <c r="I1412">
        <v>389.11</v>
      </c>
      <c r="J1412" t="s">
        <v>2652</v>
      </c>
      <c r="K1412" t="s">
        <v>18</v>
      </c>
      <c r="L1412" t="s">
        <v>14</v>
      </c>
      <c r="M1412">
        <v>5</v>
      </c>
      <c r="N1412">
        <v>1556.44</v>
      </c>
    </row>
    <row r="1413" spans="1:14" x14ac:dyDescent="0.3">
      <c r="A1413" t="s">
        <v>727</v>
      </c>
      <c r="B1413" t="s">
        <v>34</v>
      </c>
      <c r="C1413" s="1">
        <v>45033</v>
      </c>
      <c r="D1413" s="2">
        <f>YEAR(Table1[[#This Row],[PurchaseDate]])</f>
        <v>2023</v>
      </c>
      <c r="E1413" s="2" t="str">
        <f>"Q"&amp;ROUNDUP(MONTH(Table1[[#This Row],[PurchaseDate]])/3,0)</f>
        <v>Q2</v>
      </c>
      <c r="F1413" s="2">
        <f>MONTH(Table1[[#This Row],[PurchaseDate]])</f>
        <v>4</v>
      </c>
      <c r="G1413" s="2" t="str">
        <f>TEXT(Table1[[#This Row],[PurchaseDate]],"MMM")</f>
        <v>Apr</v>
      </c>
      <c r="H1413">
        <v>2</v>
      </c>
      <c r="I1413">
        <v>477</v>
      </c>
      <c r="J1413" t="s">
        <v>728</v>
      </c>
      <c r="K1413" t="s">
        <v>13</v>
      </c>
      <c r="L1413" t="s">
        <v>23</v>
      </c>
      <c r="M1413">
        <v>2</v>
      </c>
      <c r="N1413">
        <v>954</v>
      </c>
    </row>
    <row r="1414" spans="1:14" x14ac:dyDescent="0.3">
      <c r="A1414" t="s">
        <v>2653</v>
      </c>
      <c r="B1414" t="s">
        <v>11</v>
      </c>
      <c r="C1414" s="1">
        <v>45159</v>
      </c>
      <c r="D1414" s="2">
        <f>YEAR(Table1[[#This Row],[PurchaseDate]])</f>
        <v>2023</v>
      </c>
      <c r="E1414" s="2" t="str">
        <f>"Q"&amp;ROUNDUP(MONTH(Table1[[#This Row],[PurchaseDate]])/3,0)</f>
        <v>Q3</v>
      </c>
      <c r="F1414" s="2">
        <f>MONTH(Table1[[#This Row],[PurchaseDate]])</f>
        <v>8</v>
      </c>
      <c r="G1414" s="2" t="str">
        <f>TEXT(Table1[[#This Row],[PurchaseDate]],"MMM")</f>
        <v>Aug</v>
      </c>
      <c r="H1414">
        <v>7</v>
      </c>
      <c r="I1414">
        <v>790.77</v>
      </c>
      <c r="J1414" t="s">
        <v>2654</v>
      </c>
      <c r="K1414" t="s">
        <v>13</v>
      </c>
      <c r="L1414" t="s">
        <v>23</v>
      </c>
      <c r="M1414">
        <v>3</v>
      </c>
      <c r="N1414">
        <v>5535.39</v>
      </c>
    </row>
    <row r="1415" spans="1:14" x14ac:dyDescent="0.3">
      <c r="A1415" t="s">
        <v>1465</v>
      </c>
      <c r="B1415" t="s">
        <v>11</v>
      </c>
      <c r="C1415" s="1">
        <v>45520</v>
      </c>
      <c r="D1415" s="2">
        <f>YEAR(Table1[[#This Row],[PurchaseDate]])</f>
        <v>2024</v>
      </c>
      <c r="E1415" s="2" t="str">
        <f>"Q"&amp;ROUNDUP(MONTH(Table1[[#This Row],[PurchaseDate]])/3,0)</f>
        <v>Q3</v>
      </c>
      <c r="F1415" s="2">
        <f>MONTH(Table1[[#This Row],[PurchaseDate]])</f>
        <v>8</v>
      </c>
      <c r="G1415" s="2" t="str">
        <f>TEXT(Table1[[#This Row],[PurchaseDate]],"MMM")</f>
        <v>Aug</v>
      </c>
      <c r="H1415">
        <v>4</v>
      </c>
      <c r="I1415">
        <v>234.89</v>
      </c>
      <c r="J1415" t="s">
        <v>1466</v>
      </c>
      <c r="K1415" t="s">
        <v>13</v>
      </c>
      <c r="L1415" t="s">
        <v>14</v>
      </c>
      <c r="M1415">
        <v>1</v>
      </c>
      <c r="N1415">
        <v>939.56</v>
      </c>
    </row>
    <row r="1416" spans="1:14" x14ac:dyDescent="0.3">
      <c r="A1416" t="s">
        <v>1481</v>
      </c>
      <c r="B1416" t="s">
        <v>29</v>
      </c>
      <c r="C1416" s="1">
        <v>45150</v>
      </c>
      <c r="D1416" s="2">
        <f>YEAR(Table1[[#This Row],[PurchaseDate]])</f>
        <v>2023</v>
      </c>
      <c r="E1416" s="2" t="str">
        <f>"Q"&amp;ROUNDUP(MONTH(Table1[[#This Row],[PurchaseDate]])/3,0)</f>
        <v>Q3</v>
      </c>
      <c r="F1416" s="2">
        <f>MONTH(Table1[[#This Row],[PurchaseDate]])</f>
        <v>8</v>
      </c>
      <c r="G1416" s="2" t="str">
        <f>TEXT(Table1[[#This Row],[PurchaseDate]],"MMM")</f>
        <v>Aug</v>
      </c>
      <c r="H1416">
        <v>2</v>
      </c>
      <c r="I1416">
        <v>226.03</v>
      </c>
      <c r="J1416" t="s">
        <v>1482</v>
      </c>
      <c r="K1416" t="s">
        <v>18</v>
      </c>
      <c r="L1416" t="s">
        <v>14</v>
      </c>
      <c r="M1416">
        <v>5</v>
      </c>
      <c r="N1416">
        <v>452.06</v>
      </c>
    </row>
    <row r="1417" spans="1:14" x14ac:dyDescent="0.3">
      <c r="A1417" t="s">
        <v>2071</v>
      </c>
      <c r="B1417" t="s">
        <v>11</v>
      </c>
      <c r="C1417" s="1">
        <v>45813</v>
      </c>
      <c r="D1417" s="2">
        <f>YEAR(Table1[[#This Row],[PurchaseDate]])</f>
        <v>2025</v>
      </c>
      <c r="E1417" s="2" t="str">
        <f>"Q"&amp;ROUNDUP(MONTH(Table1[[#This Row],[PurchaseDate]])/3,0)</f>
        <v>Q2</v>
      </c>
      <c r="F1417" s="2">
        <f>MONTH(Table1[[#This Row],[PurchaseDate]])</f>
        <v>6</v>
      </c>
      <c r="G1417" s="2" t="str">
        <f>TEXT(Table1[[#This Row],[PurchaseDate]],"MMM")</f>
        <v>Jun</v>
      </c>
      <c r="H1417">
        <v>1</v>
      </c>
      <c r="I1417">
        <v>522.42999999999995</v>
      </c>
      <c r="J1417" t="s">
        <v>2072</v>
      </c>
      <c r="K1417" t="s">
        <v>18</v>
      </c>
      <c r="L1417" t="s">
        <v>58</v>
      </c>
      <c r="M1417">
        <v>3</v>
      </c>
      <c r="N1417">
        <v>522.42999999999995</v>
      </c>
    </row>
    <row r="1418" spans="1:14" x14ac:dyDescent="0.3">
      <c r="A1418" t="s">
        <v>2655</v>
      </c>
      <c r="B1418" t="s">
        <v>29</v>
      </c>
      <c r="C1418" s="1">
        <v>45828</v>
      </c>
      <c r="D1418" s="2">
        <f>YEAR(Table1[[#This Row],[PurchaseDate]])</f>
        <v>2025</v>
      </c>
      <c r="E1418" s="2" t="str">
        <f>"Q"&amp;ROUNDUP(MONTH(Table1[[#This Row],[PurchaseDate]])/3,0)</f>
        <v>Q2</v>
      </c>
      <c r="F1418" s="2">
        <f>MONTH(Table1[[#This Row],[PurchaseDate]])</f>
        <v>6</v>
      </c>
      <c r="G1418" s="2" t="str">
        <f>TEXT(Table1[[#This Row],[PurchaseDate]],"MMM")</f>
        <v>Jun</v>
      </c>
      <c r="H1418">
        <v>4</v>
      </c>
      <c r="I1418">
        <v>219.75</v>
      </c>
      <c r="J1418" t="s">
        <v>2656</v>
      </c>
      <c r="K1418" t="s">
        <v>13</v>
      </c>
      <c r="L1418" t="s">
        <v>14</v>
      </c>
      <c r="M1418">
        <v>3</v>
      </c>
      <c r="N1418">
        <v>879</v>
      </c>
    </row>
    <row r="1419" spans="1:14" x14ac:dyDescent="0.3">
      <c r="A1419" t="s">
        <v>2657</v>
      </c>
      <c r="B1419" t="s">
        <v>34</v>
      </c>
      <c r="C1419" s="1">
        <v>45614</v>
      </c>
      <c r="D1419" s="2">
        <f>YEAR(Table1[[#This Row],[PurchaseDate]])</f>
        <v>2024</v>
      </c>
      <c r="E1419" s="2" t="str">
        <f>"Q"&amp;ROUNDUP(MONTH(Table1[[#This Row],[PurchaseDate]])/3,0)</f>
        <v>Q4</v>
      </c>
      <c r="F1419" s="2">
        <f>MONTH(Table1[[#This Row],[PurchaseDate]])</f>
        <v>11</v>
      </c>
      <c r="G1419" s="2" t="str">
        <f>TEXT(Table1[[#This Row],[PurchaseDate]],"MMM")</f>
        <v>Nov</v>
      </c>
      <c r="H1419">
        <v>3</v>
      </c>
      <c r="I1419">
        <v>660.31</v>
      </c>
      <c r="J1419" t="s">
        <v>2658</v>
      </c>
      <c r="K1419" t="s">
        <v>13</v>
      </c>
      <c r="L1419" t="s">
        <v>23</v>
      </c>
      <c r="M1419">
        <v>1</v>
      </c>
      <c r="N1419">
        <v>1980.93</v>
      </c>
    </row>
    <row r="1420" spans="1:14" x14ac:dyDescent="0.3">
      <c r="A1420" t="s">
        <v>2659</v>
      </c>
      <c r="B1420" t="s">
        <v>11</v>
      </c>
      <c r="C1420" s="1">
        <v>45114</v>
      </c>
      <c r="D1420" s="2">
        <f>YEAR(Table1[[#This Row],[PurchaseDate]])</f>
        <v>2023</v>
      </c>
      <c r="E1420" s="2" t="str">
        <f>"Q"&amp;ROUNDUP(MONTH(Table1[[#This Row],[PurchaseDate]])/3,0)</f>
        <v>Q3</v>
      </c>
      <c r="F1420" s="2">
        <f>MONTH(Table1[[#This Row],[PurchaseDate]])</f>
        <v>7</v>
      </c>
      <c r="G1420" s="2" t="str">
        <f>TEXT(Table1[[#This Row],[PurchaseDate]],"MMM")</f>
        <v>Jul</v>
      </c>
      <c r="H1420">
        <v>6</v>
      </c>
      <c r="I1420">
        <v>699.01</v>
      </c>
      <c r="J1420" t="s">
        <v>2660</v>
      </c>
      <c r="K1420" t="s">
        <v>38</v>
      </c>
      <c r="L1420" t="s">
        <v>23</v>
      </c>
      <c r="M1420">
        <v>5</v>
      </c>
      <c r="N1420">
        <v>4194.0600000000004</v>
      </c>
    </row>
    <row r="1421" spans="1:14" x14ac:dyDescent="0.3">
      <c r="A1421" t="s">
        <v>2661</v>
      </c>
      <c r="B1421" t="s">
        <v>21</v>
      </c>
      <c r="C1421" s="1">
        <v>45672</v>
      </c>
      <c r="D1421" s="2">
        <f>YEAR(Table1[[#This Row],[PurchaseDate]])</f>
        <v>2025</v>
      </c>
      <c r="E1421" s="2" t="str">
        <f>"Q"&amp;ROUNDUP(MONTH(Table1[[#This Row],[PurchaseDate]])/3,0)</f>
        <v>Q1</v>
      </c>
      <c r="F1421" s="2">
        <f>MONTH(Table1[[#This Row],[PurchaseDate]])</f>
        <v>1</v>
      </c>
      <c r="G1421" s="2" t="str">
        <f>TEXT(Table1[[#This Row],[PurchaseDate]],"MMM")</f>
        <v>Jan</v>
      </c>
      <c r="H1421">
        <v>1</v>
      </c>
      <c r="I1421">
        <v>212.45</v>
      </c>
      <c r="J1421" t="s">
        <v>2662</v>
      </c>
      <c r="K1421" t="s">
        <v>38</v>
      </c>
      <c r="L1421" t="s">
        <v>27</v>
      </c>
      <c r="M1421">
        <v>1</v>
      </c>
      <c r="N1421">
        <v>212.45</v>
      </c>
    </row>
    <row r="1422" spans="1:14" x14ac:dyDescent="0.3">
      <c r="A1422" t="s">
        <v>1575</v>
      </c>
      <c r="B1422" t="s">
        <v>29</v>
      </c>
      <c r="C1422" s="1">
        <v>45673</v>
      </c>
      <c r="D1422" s="2">
        <f>YEAR(Table1[[#This Row],[PurchaseDate]])</f>
        <v>2025</v>
      </c>
      <c r="E1422" s="2" t="str">
        <f>"Q"&amp;ROUNDUP(MONTH(Table1[[#This Row],[PurchaseDate]])/3,0)</f>
        <v>Q1</v>
      </c>
      <c r="F1422" s="2">
        <f>MONTH(Table1[[#This Row],[PurchaseDate]])</f>
        <v>1</v>
      </c>
      <c r="G1422" s="2" t="str">
        <f>TEXT(Table1[[#This Row],[PurchaseDate]],"MMM")</f>
        <v>Jan</v>
      </c>
      <c r="H1422">
        <v>8</v>
      </c>
      <c r="I1422">
        <v>793.36</v>
      </c>
      <c r="J1422" t="s">
        <v>1576</v>
      </c>
      <c r="K1422" t="s">
        <v>13</v>
      </c>
      <c r="L1422" t="s">
        <v>23</v>
      </c>
      <c r="M1422">
        <v>3</v>
      </c>
      <c r="N1422">
        <v>6346.88</v>
      </c>
    </row>
    <row r="1423" spans="1:14" x14ac:dyDescent="0.3">
      <c r="A1423" t="s">
        <v>1437</v>
      </c>
      <c r="B1423" t="s">
        <v>21</v>
      </c>
      <c r="C1423" s="1">
        <v>45613</v>
      </c>
      <c r="D1423" s="2">
        <f>YEAR(Table1[[#This Row],[PurchaseDate]])</f>
        <v>2024</v>
      </c>
      <c r="E1423" s="2" t="str">
        <f>"Q"&amp;ROUNDUP(MONTH(Table1[[#This Row],[PurchaseDate]])/3,0)</f>
        <v>Q4</v>
      </c>
      <c r="F1423" s="2">
        <f>MONTH(Table1[[#This Row],[PurchaseDate]])</f>
        <v>11</v>
      </c>
      <c r="G1423" s="2" t="str">
        <f>TEXT(Table1[[#This Row],[PurchaseDate]],"MMM")</f>
        <v>Nov</v>
      </c>
      <c r="H1423">
        <v>1</v>
      </c>
      <c r="I1423">
        <v>776.01</v>
      </c>
      <c r="J1423" t="s">
        <v>1438</v>
      </c>
      <c r="K1423" t="s">
        <v>18</v>
      </c>
      <c r="L1423" t="s">
        <v>58</v>
      </c>
      <c r="M1423">
        <v>2</v>
      </c>
      <c r="N1423">
        <v>776.01</v>
      </c>
    </row>
    <row r="1424" spans="1:14" x14ac:dyDescent="0.3">
      <c r="A1424" t="s">
        <v>2663</v>
      </c>
      <c r="B1424" t="s">
        <v>25</v>
      </c>
      <c r="C1424" s="1">
        <v>44990</v>
      </c>
      <c r="D1424" s="2">
        <f>YEAR(Table1[[#This Row],[PurchaseDate]])</f>
        <v>2023</v>
      </c>
      <c r="E1424" s="2" t="str">
        <f>"Q"&amp;ROUNDUP(MONTH(Table1[[#This Row],[PurchaseDate]])/3,0)</f>
        <v>Q1</v>
      </c>
      <c r="F1424" s="2">
        <f>MONTH(Table1[[#This Row],[PurchaseDate]])</f>
        <v>3</v>
      </c>
      <c r="G1424" s="2" t="str">
        <f>TEXT(Table1[[#This Row],[PurchaseDate]],"MMM")</f>
        <v>Mar</v>
      </c>
      <c r="H1424">
        <v>7</v>
      </c>
      <c r="I1424">
        <v>409.52</v>
      </c>
      <c r="J1424" t="s">
        <v>2664</v>
      </c>
      <c r="K1424" t="s">
        <v>13</v>
      </c>
      <c r="L1424" t="s">
        <v>23</v>
      </c>
      <c r="M1424">
        <v>1</v>
      </c>
      <c r="N1424">
        <v>2866.64</v>
      </c>
    </row>
    <row r="1425" spans="1:14" x14ac:dyDescent="0.3">
      <c r="A1425" t="s">
        <v>2665</v>
      </c>
      <c r="B1425" t="s">
        <v>16</v>
      </c>
      <c r="C1425" s="1">
        <v>45043</v>
      </c>
      <c r="D1425" s="2">
        <f>YEAR(Table1[[#This Row],[PurchaseDate]])</f>
        <v>2023</v>
      </c>
      <c r="E1425" s="2" t="str">
        <f>"Q"&amp;ROUNDUP(MONTH(Table1[[#This Row],[PurchaseDate]])/3,0)</f>
        <v>Q2</v>
      </c>
      <c r="F1425" s="2">
        <f>MONTH(Table1[[#This Row],[PurchaseDate]])</f>
        <v>4</v>
      </c>
      <c r="G1425" s="2" t="str">
        <f>TEXT(Table1[[#This Row],[PurchaseDate]],"MMM")</f>
        <v>Apr</v>
      </c>
      <c r="H1425">
        <v>4</v>
      </c>
      <c r="I1425">
        <v>43.41</v>
      </c>
      <c r="J1425" t="s">
        <v>2666</v>
      </c>
      <c r="K1425" t="s">
        <v>18</v>
      </c>
      <c r="L1425" t="s">
        <v>58</v>
      </c>
      <c r="M1425">
        <v>4</v>
      </c>
      <c r="N1425">
        <v>173.64</v>
      </c>
    </row>
    <row r="1426" spans="1:14" x14ac:dyDescent="0.3">
      <c r="A1426" t="s">
        <v>2667</v>
      </c>
      <c r="B1426" t="s">
        <v>16</v>
      </c>
      <c r="C1426" s="1">
        <v>45236</v>
      </c>
      <c r="D1426" s="2">
        <f>YEAR(Table1[[#This Row],[PurchaseDate]])</f>
        <v>2023</v>
      </c>
      <c r="E1426" s="2" t="str">
        <f>"Q"&amp;ROUNDUP(MONTH(Table1[[#This Row],[PurchaseDate]])/3,0)</f>
        <v>Q4</v>
      </c>
      <c r="F1426" s="2">
        <f>MONTH(Table1[[#This Row],[PurchaseDate]])</f>
        <v>11</v>
      </c>
      <c r="G1426" s="2" t="str">
        <f>TEXT(Table1[[#This Row],[PurchaseDate]],"MMM")</f>
        <v>Nov</v>
      </c>
      <c r="H1426">
        <v>6</v>
      </c>
      <c r="I1426">
        <v>256.17</v>
      </c>
      <c r="J1426" t="s">
        <v>2668</v>
      </c>
      <c r="K1426" t="s">
        <v>38</v>
      </c>
      <c r="L1426" t="s">
        <v>14</v>
      </c>
      <c r="M1426">
        <v>2</v>
      </c>
      <c r="N1426">
        <v>1537.02</v>
      </c>
    </row>
    <row r="1427" spans="1:14" x14ac:dyDescent="0.3">
      <c r="A1427" t="s">
        <v>2669</v>
      </c>
      <c r="B1427" t="s">
        <v>42</v>
      </c>
      <c r="C1427" s="1">
        <v>45758</v>
      </c>
      <c r="D1427" s="2">
        <f>YEAR(Table1[[#This Row],[PurchaseDate]])</f>
        <v>2025</v>
      </c>
      <c r="E1427" s="2" t="str">
        <f>"Q"&amp;ROUNDUP(MONTH(Table1[[#This Row],[PurchaseDate]])/3,0)</f>
        <v>Q2</v>
      </c>
      <c r="F1427" s="2">
        <f>MONTH(Table1[[#This Row],[PurchaseDate]])</f>
        <v>4</v>
      </c>
      <c r="G1427" s="2" t="str">
        <f>TEXT(Table1[[#This Row],[PurchaseDate]],"MMM")</f>
        <v>Apr</v>
      </c>
      <c r="H1427">
        <v>3</v>
      </c>
      <c r="I1427">
        <v>367.65</v>
      </c>
      <c r="J1427" t="s">
        <v>2670</v>
      </c>
      <c r="K1427" t="s">
        <v>18</v>
      </c>
      <c r="L1427" t="s">
        <v>14</v>
      </c>
      <c r="M1427">
        <v>5</v>
      </c>
      <c r="N1427">
        <v>1102.95</v>
      </c>
    </row>
    <row r="1428" spans="1:14" x14ac:dyDescent="0.3">
      <c r="A1428" t="s">
        <v>2671</v>
      </c>
      <c r="B1428" t="s">
        <v>11</v>
      </c>
      <c r="C1428" s="1">
        <v>45030</v>
      </c>
      <c r="D1428" s="2">
        <f>YEAR(Table1[[#This Row],[PurchaseDate]])</f>
        <v>2023</v>
      </c>
      <c r="E1428" s="2" t="str">
        <f>"Q"&amp;ROUNDUP(MONTH(Table1[[#This Row],[PurchaseDate]])/3,0)</f>
        <v>Q2</v>
      </c>
      <c r="F1428" s="2">
        <f>MONTH(Table1[[#This Row],[PurchaseDate]])</f>
        <v>4</v>
      </c>
      <c r="G1428" s="2" t="str">
        <f>TEXT(Table1[[#This Row],[PurchaseDate]],"MMM")</f>
        <v>Apr</v>
      </c>
      <c r="H1428">
        <v>2</v>
      </c>
      <c r="I1428">
        <v>524.03</v>
      </c>
      <c r="J1428" t="s">
        <v>2672</v>
      </c>
      <c r="K1428" t="s">
        <v>13</v>
      </c>
      <c r="L1428" t="s">
        <v>19</v>
      </c>
      <c r="M1428">
        <v>4</v>
      </c>
      <c r="N1428">
        <v>1048.06</v>
      </c>
    </row>
    <row r="1429" spans="1:14" x14ac:dyDescent="0.3">
      <c r="A1429" t="s">
        <v>2673</v>
      </c>
      <c r="B1429" t="s">
        <v>34</v>
      </c>
      <c r="C1429" s="1">
        <v>44951</v>
      </c>
      <c r="D1429" s="2">
        <f>YEAR(Table1[[#This Row],[PurchaseDate]])</f>
        <v>2023</v>
      </c>
      <c r="E1429" s="2" t="str">
        <f>"Q"&amp;ROUNDUP(MONTH(Table1[[#This Row],[PurchaseDate]])/3,0)</f>
        <v>Q1</v>
      </c>
      <c r="F1429" s="2">
        <f>MONTH(Table1[[#This Row],[PurchaseDate]])</f>
        <v>1</v>
      </c>
      <c r="G1429" s="2" t="str">
        <f>TEXT(Table1[[#This Row],[PurchaseDate]],"MMM")</f>
        <v>Jan</v>
      </c>
      <c r="H1429">
        <v>8</v>
      </c>
      <c r="I1429">
        <v>570.88</v>
      </c>
      <c r="J1429" t="s">
        <v>2674</v>
      </c>
      <c r="K1429" t="s">
        <v>18</v>
      </c>
      <c r="L1429" t="s">
        <v>14</v>
      </c>
      <c r="M1429">
        <v>4</v>
      </c>
      <c r="N1429">
        <v>4567.04</v>
      </c>
    </row>
    <row r="1430" spans="1:14" x14ac:dyDescent="0.3">
      <c r="A1430" t="s">
        <v>2675</v>
      </c>
      <c r="B1430" t="s">
        <v>25</v>
      </c>
      <c r="C1430" s="1">
        <v>45342</v>
      </c>
      <c r="D1430" s="2">
        <f>YEAR(Table1[[#This Row],[PurchaseDate]])</f>
        <v>2024</v>
      </c>
      <c r="E1430" s="2" t="str">
        <f>"Q"&amp;ROUNDUP(MONTH(Table1[[#This Row],[PurchaseDate]])/3,0)</f>
        <v>Q1</v>
      </c>
      <c r="F1430" s="2">
        <f>MONTH(Table1[[#This Row],[PurchaseDate]])</f>
        <v>2</v>
      </c>
      <c r="G1430" s="2" t="str">
        <f>TEXT(Table1[[#This Row],[PurchaseDate]],"MMM")</f>
        <v>Feb</v>
      </c>
      <c r="H1430">
        <v>7</v>
      </c>
      <c r="I1430">
        <v>580.99</v>
      </c>
      <c r="J1430" t="s">
        <v>2676</v>
      </c>
      <c r="K1430" t="s">
        <v>38</v>
      </c>
      <c r="L1430" t="s">
        <v>14</v>
      </c>
      <c r="M1430">
        <v>1</v>
      </c>
      <c r="N1430">
        <v>4066.93</v>
      </c>
    </row>
    <row r="1431" spans="1:14" x14ac:dyDescent="0.3">
      <c r="A1431" t="s">
        <v>2677</v>
      </c>
      <c r="B1431" t="s">
        <v>16</v>
      </c>
      <c r="C1431" s="1">
        <v>45756</v>
      </c>
      <c r="D1431" s="2">
        <f>YEAR(Table1[[#This Row],[PurchaseDate]])</f>
        <v>2025</v>
      </c>
      <c r="E1431" s="2" t="str">
        <f>"Q"&amp;ROUNDUP(MONTH(Table1[[#This Row],[PurchaseDate]])/3,0)</f>
        <v>Q2</v>
      </c>
      <c r="F1431" s="2">
        <f>MONTH(Table1[[#This Row],[PurchaseDate]])</f>
        <v>4</v>
      </c>
      <c r="G1431" s="2" t="str">
        <f>TEXT(Table1[[#This Row],[PurchaseDate]],"MMM")</f>
        <v>Apr</v>
      </c>
      <c r="H1431">
        <v>1</v>
      </c>
      <c r="I1431">
        <v>102.28</v>
      </c>
      <c r="J1431" t="s">
        <v>2678</v>
      </c>
      <c r="K1431" t="s">
        <v>18</v>
      </c>
      <c r="L1431" t="s">
        <v>19</v>
      </c>
      <c r="M1431">
        <v>2</v>
      </c>
      <c r="N1431">
        <v>102.28</v>
      </c>
    </row>
    <row r="1432" spans="1:14" x14ac:dyDescent="0.3">
      <c r="A1432" t="s">
        <v>2679</v>
      </c>
      <c r="B1432" t="s">
        <v>34</v>
      </c>
      <c r="C1432" s="1">
        <v>45219</v>
      </c>
      <c r="D1432" s="2">
        <f>YEAR(Table1[[#This Row],[PurchaseDate]])</f>
        <v>2023</v>
      </c>
      <c r="E1432" s="2" t="str">
        <f>"Q"&amp;ROUNDUP(MONTH(Table1[[#This Row],[PurchaseDate]])/3,0)</f>
        <v>Q4</v>
      </c>
      <c r="F1432" s="2">
        <f>MONTH(Table1[[#This Row],[PurchaseDate]])</f>
        <v>10</v>
      </c>
      <c r="G1432" s="2" t="str">
        <f>TEXT(Table1[[#This Row],[PurchaseDate]],"MMM")</f>
        <v>Oct</v>
      </c>
      <c r="H1432">
        <v>1</v>
      </c>
      <c r="I1432">
        <v>6.06</v>
      </c>
      <c r="J1432" t="s">
        <v>2680</v>
      </c>
      <c r="K1432" t="s">
        <v>13</v>
      </c>
      <c r="L1432" t="s">
        <v>14</v>
      </c>
      <c r="M1432">
        <v>4</v>
      </c>
      <c r="N1432">
        <v>6.06</v>
      </c>
    </row>
    <row r="1433" spans="1:14" x14ac:dyDescent="0.3">
      <c r="A1433" t="s">
        <v>2681</v>
      </c>
      <c r="B1433" t="s">
        <v>34</v>
      </c>
      <c r="C1433" s="1">
        <v>45825</v>
      </c>
      <c r="D1433" s="2">
        <f>YEAR(Table1[[#This Row],[PurchaseDate]])</f>
        <v>2025</v>
      </c>
      <c r="E1433" s="2" t="str">
        <f>"Q"&amp;ROUNDUP(MONTH(Table1[[#This Row],[PurchaseDate]])/3,0)</f>
        <v>Q2</v>
      </c>
      <c r="F1433" s="2">
        <f>MONTH(Table1[[#This Row],[PurchaseDate]])</f>
        <v>6</v>
      </c>
      <c r="G1433" s="2" t="str">
        <f>TEXT(Table1[[#This Row],[PurchaseDate]],"MMM")</f>
        <v>Jun</v>
      </c>
      <c r="H1433">
        <v>5</v>
      </c>
      <c r="I1433">
        <v>663.64</v>
      </c>
      <c r="J1433" t="s">
        <v>2682</v>
      </c>
      <c r="K1433" t="s">
        <v>38</v>
      </c>
      <c r="L1433" t="s">
        <v>27</v>
      </c>
      <c r="M1433">
        <v>4</v>
      </c>
      <c r="N1433">
        <v>3318.2</v>
      </c>
    </row>
    <row r="1434" spans="1:14" x14ac:dyDescent="0.3">
      <c r="A1434" t="s">
        <v>2683</v>
      </c>
      <c r="B1434" t="s">
        <v>21</v>
      </c>
      <c r="C1434" s="1">
        <v>45423</v>
      </c>
      <c r="D1434" s="2">
        <f>YEAR(Table1[[#This Row],[PurchaseDate]])</f>
        <v>2024</v>
      </c>
      <c r="E1434" s="2" t="str">
        <f>"Q"&amp;ROUNDUP(MONTH(Table1[[#This Row],[PurchaseDate]])/3,0)</f>
        <v>Q2</v>
      </c>
      <c r="F1434" s="2">
        <f>MONTH(Table1[[#This Row],[PurchaseDate]])</f>
        <v>5</v>
      </c>
      <c r="G1434" s="2" t="str">
        <f>TEXT(Table1[[#This Row],[PurchaseDate]],"MMM")</f>
        <v>May</v>
      </c>
      <c r="H1434">
        <v>3</v>
      </c>
      <c r="I1434">
        <v>418.46</v>
      </c>
      <c r="J1434" t="s">
        <v>2684</v>
      </c>
      <c r="K1434" t="s">
        <v>18</v>
      </c>
      <c r="L1434" t="s">
        <v>19</v>
      </c>
      <c r="M1434">
        <v>3</v>
      </c>
      <c r="N1434">
        <v>1255.3800000000001</v>
      </c>
    </row>
    <row r="1435" spans="1:14" x14ac:dyDescent="0.3">
      <c r="A1435" t="s">
        <v>2685</v>
      </c>
      <c r="B1435" t="s">
        <v>34</v>
      </c>
      <c r="C1435" s="1">
        <v>45276</v>
      </c>
      <c r="D1435" s="2">
        <f>YEAR(Table1[[#This Row],[PurchaseDate]])</f>
        <v>2023</v>
      </c>
      <c r="E1435" s="2" t="str">
        <f>"Q"&amp;ROUNDUP(MONTH(Table1[[#This Row],[PurchaseDate]])/3,0)</f>
        <v>Q4</v>
      </c>
      <c r="F1435" s="2">
        <f>MONTH(Table1[[#This Row],[PurchaseDate]])</f>
        <v>12</v>
      </c>
      <c r="G1435" s="2" t="str">
        <f>TEXT(Table1[[#This Row],[PurchaseDate]],"MMM")</f>
        <v>Dec</v>
      </c>
      <c r="H1435">
        <v>7</v>
      </c>
      <c r="I1435">
        <v>361.11</v>
      </c>
      <c r="J1435" t="s">
        <v>2686</v>
      </c>
      <c r="K1435" t="s">
        <v>13</v>
      </c>
      <c r="L1435" t="s">
        <v>58</v>
      </c>
      <c r="M1435">
        <v>2</v>
      </c>
      <c r="N1435">
        <v>2527.77</v>
      </c>
    </row>
    <row r="1436" spans="1:14" x14ac:dyDescent="0.3">
      <c r="A1436" t="s">
        <v>2687</v>
      </c>
      <c r="B1436" t="s">
        <v>29</v>
      </c>
      <c r="C1436" s="1">
        <v>45045</v>
      </c>
      <c r="D1436" s="2">
        <f>YEAR(Table1[[#This Row],[PurchaseDate]])</f>
        <v>2023</v>
      </c>
      <c r="E1436" s="2" t="str">
        <f>"Q"&amp;ROUNDUP(MONTH(Table1[[#This Row],[PurchaseDate]])/3,0)</f>
        <v>Q2</v>
      </c>
      <c r="F1436" s="2">
        <f>MONTH(Table1[[#This Row],[PurchaseDate]])</f>
        <v>4</v>
      </c>
      <c r="G1436" s="2" t="str">
        <f>TEXT(Table1[[#This Row],[PurchaseDate]],"MMM")</f>
        <v>Apr</v>
      </c>
      <c r="H1436">
        <v>7</v>
      </c>
      <c r="I1436">
        <v>791.44</v>
      </c>
      <c r="J1436" t="s">
        <v>2688</v>
      </c>
      <c r="K1436" t="s">
        <v>13</v>
      </c>
      <c r="L1436" t="s">
        <v>19</v>
      </c>
      <c r="M1436">
        <v>1</v>
      </c>
      <c r="N1436">
        <v>5540.08</v>
      </c>
    </row>
    <row r="1437" spans="1:14" x14ac:dyDescent="0.3">
      <c r="A1437" t="s">
        <v>2689</v>
      </c>
      <c r="B1437" t="s">
        <v>21</v>
      </c>
      <c r="C1437" s="1">
        <v>45055</v>
      </c>
      <c r="D1437" s="2">
        <f>YEAR(Table1[[#This Row],[PurchaseDate]])</f>
        <v>2023</v>
      </c>
      <c r="E1437" s="2" t="str">
        <f>"Q"&amp;ROUNDUP(MONTH(Table1[[#This Row],[PurchaseDate]])/3,0)</f>
        <v>Q2</v>
      </c>
      <c r="F1437" s="2">
        <f>MONTH(Table1[[#This Row],[PurchaseDate]])</f>
        <v>5</v>
      </c>
      <c r="G1437" s="2" t="str">
        <f>TEXT(Table1[[#This Row],[PurchaseDate]],"MMM")</f>
        <v>May</v>
      </c>
      <c r="H1437">
        <v>1</v>
      </c>
      <c r="I1437">
        <v>259.45</v>
      </c>
      <c r="J1437" t="s">
        <v>2690</v>
      </c>
      <c r="K1437" t="s">
        <v>13</v>
      </c>
      <c r="L1437" t="s">
        <v>27</v>
      </c>
      <c r="M1437">
        <v>4</v>
      </c>
      <c r="N1437">
        <v>259.45</v>
      </c>
    </row>
    <row r="1438" spans="1:14" x14ac:dyDescent="0.3">
      <c r="A1438" t="s">
        <v>2691</v>
      </c>
      <c r="B1438" t="s">
        <v>29</v>
      </c>
      <c r="C1438" s="1">
        <v>45596</v>
      </c>
      <c r="D1438" s="2">
        <f>YEAR(Table1[[#This Row],[PurchaseDate]])</f>
        <v>2024</v>
      </c>
      <c r="E1438" s="2" t="str">
        <f>"Q"&amp;ROUNDUP(MONTH(Table1[[#This Row],[PurchaseDate]])/3,0)</f>
        <v>Q4</v>
      </c>
      <c r="F1438" s="2">
        <f>MONTH(Table1[[#This Row],[PurchaseDate]])</f>
        <v>10</v>
      </c>
      <c r="G1438" s="2" t="str">
        <f>TEXT(Table1[[#This Row],[PurchaseDate]],"MMM")</f>
        <v>Oct</v>
      </c>
      <c r="H1438">
        <v>4</v>
      </c>
      <c r="I1438">
        <v>458.7</v>
      </c>
      <c r="J1438" t="s">
        <v>2692</v>
      </c>
      <c r="K1438" t="s">
        <v>38</v>
      </c>
      <c r="L1438" t="s">
        <v>23</v>
      </c>
      <c r="M1438">
        <v>1</v>
      </c>
      <c r="N1438">
        <v>1834.8</v>
      </c>
    </row>
    <row r="1439" spans="1:14" x14ac:dyDescent="0.3">
      <c r="A1439" t="s">
        <v>2693</v>
      </c>
      <c r="B1439" t="s">
        <v>34</v>
      </c>
      <c r="C1439" s="1">
        <v>45228</v>
      </c>
      <c r="D1439" s="2">
        <f>YEAR(Table1[[#This Row],[PurchaseDate]])</f>
        <v>2023</v>
      </c>
      <c r="E1439" s="2" t="str">
        <f>"Q"&amp;ROUNDUP(MONTH(Table1[[#This Row],[PurchaseDate]])/3,0)</f>
        <v>Q4</v>
      </c>
      <c r="F1439" s="2">
        <f>MONTH(Table1[[#This Row],[PurchaseDate]])</f>
        <v>10</v>
      </c>
      <c r="G1439" s="2" t="str">
        <f>TEXT(Table1[[#This Row],[PurchaseDate]],"MMM")</f>
        <v>Oct</v>
      </c>
      <c r="H1439">
        <v>2</v>
      </c>
      <c r="I1439">
        <v>71.75</v>
      </c>
      <c r="J1439" t="s">
        <v>2694</v>
      </c>
      <c r="K1439" t="s">
        <v>18</v>
      </c>
      <c r="L1439" t="s">
        <v>14</v>
      </c>
      <c r="M1439">
        <v>1</v>
      </c>
      <c r="N1439">
        <v>143.5</v>
      </c>
    </row>
    <row r="1440" spans="1:14" x14ac:dyDescent="0.3">
      <c r="A1440" t="s">
        <v>2695</v>
      </c>
      <c r="B1440" t="s">
        <v>29</v>
      </c>
      <c r="C1440" s="1">
        <v>45765</v>
      </c>
      <c r="D1440" s="2">
        <f>YEAR(Table1[[#This Row],[PurchaseDate]])</f>
        <v>2025</v>
      </c>
      <c r="E1440" s="2" t="str">
        <f>"Q"&amp;ROUNDUP(MONTH(Table1[[#This Row],[PurchaseDate]])/3,0)</f>
        <v>Q2</v>
      </c>
      <c r="F1440" s="2">
        <f>MONTH(Table1[[#This Row],[PurchaseDate]])</f>
        <v>4</v>
      </c>
      <c r="G1440" s="2" t="str">
        <f>TEXT(Table1[[#This Row],[PurchaseDate]],"MMM")</f>
        <v>Apr</v>
      </c>
      <c r="H1440">
        <v>3</v>
      </c>
      <c r="I1440">
        <v>728.49</v>
      </c>
      <c r="J1440" t="s">
        <v>2696</v>
      </c>
      <c r="K1440" t="s">
        <v>13</v>
      </c>
      <c r="L1440" t="s">
        <v>23</v>
      </c>
      <c r="M1440">
        <v>3</v>
      </c>
      <c r="N1440">
        <v>2185.4699999999998</v>
      </c>
    </row>
    <row r="1441" spans="1:14" x14ac:dyDescent="0.3">
      <c r="A1441" t="s">
        <v>687</v>
      </c>
      <c r="B1441" t="s">
        <v>25</v>
      </c>
      <c r="C1441" s="1">
        <v>45242</v>
      </c>
      <c r="D1441" s="2">
        <f>YEAR(Table1[[#This Row],[PurchaseDate]])</f>
        <v>2023</v>
      </c>
      <c r="E1441" s="2" t="str">
        <f>"Q"&amp;ROUNDUP(MONTH(Table1[[#This Row],[PurchaseDate]])/3,0)</f>
        <v>Q4</v>
      </c>
      <c r="F1441" s="2">
        <f>MONTH(Table1[[#This Row],[PurchaseDate]])</f>
        <v>11</v>
      </c>
      <c r="G1441" s="2" t="str">
        <f>TEXT(Table1[[#This Row],[PurchaseDate]],"MMM")</f>
        <v>Nov</v>
      </c>
      <c r="H1441">
        <v>6</v>
      </c>
      <c r="I1441">
        <v>764.64</v>
      </c>
      <c r="J1441" t="s">
        <v>688</v>
      </c>
      <c r="K1441" t="s">
        <v>13</v>
      </c>
      <c r="L1441" t="s">
        <v>27</v>
      </c>
      <c r="M1441">
        <v>1</v>
      </c>
      <c r="N1441">
        <v>4587.84</v>
      </c>
    </row>
    <row r="1442" spans="1:14" x14ac:dyDescent="0.3">
      <c r="A1442" t="s">
        <v>2697</v>
      </c>
      <c r="B1442" t="s">
        <v>11</v>
      </c>
      <c r="C1442" s="1">
        <v>44971</v>
      </c>
      <c r="D1442" s="2">
        <f>YEAR(Table1[[#This Row],[PurchaseDate]])</f>
        <v>2023</v>
      </c>
      <c r="E1442" s="2" t="str">
        <f>"Q"&amp;ROUNDUP(MONTH(Table1[[#This Row],[PurchaseDate]])/3,0)</f>
        <v>Q1</v>
      </c>
      <c r="F1442" s="2">
        <f>MONTH(Table1[[#This Row],[PurchaseDate]])</f>
        <v>2</v>
      </c>
      <c r="G1442" s="2" t="str">
        <f>TEXT(Table1[[#This Row],[PurchaseDate]],"MMM")</f>
        <v>Feb</v>
      </c>
      <c r="H1442">
        <v>2</v>
      </c>
      <c r="I1442">
        <v>354.76</v>
      </c>
      <c r="J1442" t="s">
        <v>2698</v>
      </c>
      <c r="K1442" t="s">
        <v>13</v>
      </c>
      <c r="L1442" t="s">
        <v>19</v>
      </c>
      <c r="M1442">
        <v>3</v>
      </c>
      <c r="N1442">
        <v>709.52</v>
      </c>
    </row>
    <row r="1443" spans="1:14" x14ac:dyDescent="0.3">
      <c r="A1443" t="s">
        <v>2699</v>
      </c>
      <c r="B1443" t="s">
        <v>42</v>
      </c>
      <c r="C1443" s="1">
        <v>45183</v>
      </c>
      <c r="D1443" s="2">
        <f>YEAR(Table1[[#This Row],[PurchaseDate]])</f>
        <v>2023</v>
      </c>
      <c r="E1443" s="2" t="str">
        <f>"Q"&amp;ROUNDUP(MONTH(Table1[[#This Row],[PurchaseDate]])/3,0)</f>
        <v>Q3</v>
      </c>
      <c r="F1443" s="2">
        <f>MONTH(Table1[[#This Row],[PurchaseDate]])</f>
        <v>9</v>
      </c>
      <c r="G1443" s="2" t="str">
        <f>TEXT(Table1[[#This Row],[PurchaseDate]],"MMM")</f>
        <v>Sep</v>
      </c>
      <c r="H1443">
        <v>7</v>
      </c>
      <c r="I1443">
        <v>431.76</v>
      </c>
      <c r="J1443" t="s">
        <v>2700</v>
      </c>
      <c r="K1443" t="s">
        <v>13</v>
      </c>
      <c r="L1443" t="s">
        <v>19</v>
      </c>
      <c r="M1443">
        <v>1</v>
      </c>
      <c r="N1443">
        <v>3022.32</v>
      </c>
    </row>
    <row r="1444" spans="1:14" x14ac:dyDescent="0.3">
      <c r="A1444" t="s">
        <v>2701</v>
      </c>
      <c r="B1444" t="s">
        <v>42</v>
      </c>
      <c r="C1444" s="1">
        <v>45596</v>
      </c>
      <c r="D1444" s="2">
        <f>YEAR(Table1[[#This Row],[PurchaseDate]])</f>
        <v>2024</v>
      </c>
      <c r="E1444" s="2" t="str">
        <f>"Q"&amp;ROUNDUP(MONTH(Table1[[#This Row],[PurchaseDate]])/3,0)</f>
        <v>Q4</v>
      </c>
      <c r="F1444" s="2">
        <f>MONTH(Table1[[#This Row],[PurchaseDate]])</f>
        <v>10</v>
      </c>
      <c r="G1444" s="2" t="str">
        <f>TEXT(Table1[[#This Row],[PurchaseDate]],"MMM")</f>
        <v>Oct</v>
      </c>
      <c r="H1444">
        <v>3</v>
      </c>
      <c r="I1444">
        <v>326.95999999999998</v>
      </c>
      <c r="J1444" t="s">
        <v>2702</v>
      </c>
      <c r="K1444" t="s">
        <v>38</v>
      </c>
      <c r="L1444" t="s">
        <v>19</v>
      </c>
      <c r="M1444">
        <v>4</v>
      </c>
      <c r="N1444">
        <v>980.88</v>
      </c>
    </row>
    <row r="1445" spans="1:14" x14ac:dyDescent="0.3">
      <c r="A1445" t="s">
        <v>2703</v>
      </c>
      <c r="B1445" t="s">
        <v>34</v>
      </c>
      <c r="C1445" s="1">
        <v>45695</v>
      </c>
      <c r="D1445" s="2">
        <f>YEAR(Table1[[#This Row],[PurchaseDate]])</f>
        <v>2025</v>
      </c>
      <c r="E1445" s="2" t="str">
        <f>"Q"&amp;ROUNDUP(MONTH(Table1[[#This Row],[PurchaseDate]])/3,0)</f>
        <v>Q1</v>
      </c>
      <c r="F1445" s="2">
        <f>MONTH(Table1[[#This Row],[PurchaseDate]])</f>
        <v>2</v>
      </c>
      <c r="G1445" s="2" t="str">
        <f>TEXT(Table1[[#This Row],[PurchaseDate]],"MMM")</f>
        <v>Feb</v>
      </c>
      <c r="H1445">
        <v>7</v>
      </c>
      <c r="I1445">
        <v>58.87</v>
      </c>
      <c r="J1445" t="s">
        <v>2704</v>
      </c>
      <c r="K1445" t="s">
        <v>13</v>
      </c>
      <c r="L1445" t="s">
        <v>19</v>
      </c>
      <c r="M1445">
        <v>2</v>
      </c>
      <c r="N1445">
        <v>412.09</v>
      </c>
    </row>
    <row r="1446" spans="1:14" x14ac:dyDescent="0.3">
      <c r="A1446" t="s">
        <v>2705</v>
      </c>
      <c r="B1446" t="s">
        <v>34</v>
      </c>
      <c r="C1446" s="1">
        <v>44982</v>
      </c>
      <c r="D1446" s="2">
        <f>YEAR(Table1[[#This Row],[PurchaseDate]])</f>
        <v>2023</v>
      </c>
      <c r="E1446" s="2" t="str">
        <f>"Q"&amp;ROUNDUP(MONTH(Table1[[#This Row],[PurchaseDate]])/3,0)</f>
        <v>Q1</v>
      </c>
      <c r="F1446" s="2">
        <f>MONTH(Table1[[#This Row],[PurchaseDate]])</f>
        <v>2</v>
      </c>
      <c r="G1446" s="2" t="str">
        <f>TEXT(Table1[[#This Row],[PurchaseDate]],"MMM")</f>
        <v>Feb</v>
      </c>
      <c r="H1446">
        <v>8</v>
      </c>
      <c r="I1446">
        <v>304.66000000000003</v>
      </c>
      <c r="J1446" t="s">
        <v>2706</v>
      </c>
      <c r="K1446" t="s">
        <v>38</v>
      </c>
      <c r="L1446" t="s">
        <v>58</v>
      </c>
      <c r="M1446">
        <v>3</v>
      </c>
      <c r="N1446">
        <v>2437.2800000000002</v>
      </c>
    </row>
    <row r="1447" spans="1:14" x14ac:dyDescent="0.3">
      <c r="A1447" t="s">
        <v>2707</v>
      </c>
      <c r="B1447" t="s">
        <v>16</v>
      </c>
      <c r="C1447" s="1">
        <v>45710</v>
      </c>
      <c r="D1447" s="2">
        <f>YEAR(Table1[[#This Row],[PurchaseDate]])</f>
        <v>2025</v>
      </c>
      <c r="E1447" s="2" t="str">
        <f>"Q"&amp;ROUNDUP(MONTH(Table1[[#This Row],[PurchaseDate]])/3,0)</f>
        <v>Q1</v>
      </c>
      <c r="F1447" s="2">
        <f>MONTH(Table1[[#This Row],[PurchaseDate]])</f>
        <v>2</v>
      </c>
      <c r="G1447" s="2" t="str">
        <f>TEXT(Table1[[#This Row],[PurchaseDate]],"MMM")</f>
        <v>Feb</v>
      </c>
      <c r="H1447">
        <v>8</v>
      </c>
      <c r="I1447">
        <v>371.46</v>
      </c>
      <c r="J1447" t="s">
        <v>2708</v>
      </c>
      <c r="K1447" t="s">
        <v>13</v>
      </c>
      <c r="L1447" t="s">
        <v>27</v>
      </c>
      <c r="M1447">
        <v>4</v>
      </c>
      <c r="N1447">
        <v>2971.68</v>
      </c>
    </row>
    <row r="1448" spans="1:14" x14ac:dyDescent="0.3">
      <c r="A1448" t="s">
        <v>2709</v>
      </c>
      <c r="B1448" t="s">
        <v>21</v>
      </c>
      <c r="C1448" s="1">
        <v>44929</v>
      </c>
      <c r="D1448" s="2">
        <f>YEAR(Table1[[#This Row],[PurchaseDate]])</f>
        <v>2023</v>
      </c>
      <c r="E1448" s="2" t="str">
        <f>"Q"&amp;ROUNDUP(MONTH(Table1[[#This Row],[PurchaseDate]])/3,0)</f>
        <v>Q1</v>
      </c>
      <c r="F1448" s="2">
        <f>MONTH(Table1[[#This Row],[PurchaseDate]])</f>
        <v>1</v>
      </c>
      <c r="G1448" s="2" t="str">
        <f>TEXT(Table1[[#This Row],[PurchaseDate]],"MMM")</f>
        <v>Jan</v>
      </c>
      <c r="H1448">
        <v>4</v>
      </c>
      <c r="I1448">
        <v>576.95000000000005</v>
      </c>
      <c r="J1448" t="s">
        <v>2710</v>
      </c>
      <c r="K1448" t="s">
        <v>13</v>
      </c>
      <c r="L1448" t="s">
        <v>14</v>
      </c>
      <c r="M1448">
        <v>5</v>
      </c>
      <c r="N1448">
        <v>2307.8000000000002</v>
      </c>
    </row>
    <row r="1449" spans="1:14" x14ac:dyDescent="0.3">
      <c r="A1449" t="s">
        <v>2711</v>
      </c>
      <c r="B1449" t="s">
        <v>29</v>
      </c>
      <c r="C1449" s="1">
        <v>45754</v>
      </c>
      <c r="D1449" s="2">
        <f>YEAR(Table1[[#This Row],[PurchaseDate]])</f>
        <v>2025</v>
      </c>
      <c r="E1449" s="2" t="str">
        <f>"Q"&amp;ROUNDUP(MONTH(Table1[[#This Row],[PurchaseDate]])/3,0)</f>
        <v>Q2</v>
      </c>
      <c r="F1449" s="2">
        <f>MONTH(Table1[[#This Row],[PurchaseDate]])</f>
        <v>4</v>
      </c>
      <c r="G1449" s="2" t="str">
        <f>TEXT(Table1[[#This Row],[PurchaseDate]],"MMM")</f>
        <v>Apr</v>
      </c>
      <c r="H1449">
        <v>6</v>
      </c>
      <c r="I1449">
        <v>46.22</v>
      </c>
      <c r="J1449" t="s">
        <v>2712</v>
      </c>
      <c r="K1449" t="s">
        <v>18</v>
      </c>
      <c r="L1449" t="s">
        <v>19</v>
      </c>
      <c r="M1449">
        <v>1</v>
      </c>
      <c r="N1449">
        <v>277.32</v>
      </c>
    </row>
    <row r="1450" spans="1:14" x14ac:dyDescent="0.3">
      <c r="A1450" t="s">
        <v>2713</v>
      </c>
      <c r="B1450" t="s">
        <v>34</v>
      </c>
      <c r="C1450" s="1">
        <v>45270</v>
      </c>
      <c r="D1450" s="2">
        <f>YEAR(Table1[[#This Row],[PurchaseDate]])</f>
        <v>2023</v>
      </c>
      <c r="E1450" s="2" t="str">
        <f>"Q"&amp;ROUNDUP(MONTH(Table1[[#This Row],[PurchaseDate]])/3,0)</f>
        <v>Q4</v>
      </c>
      <c r="F1450" s="2">
        <f>MONTH(Table1[[#This Row],[PurchaseDate]])</f>
        <v>12</v>
      </c>
      <c r="G1450" s="2" t="str">
        <f>TEXT(Table1[[#This Row],[PurchaseDate]],"MMM")</f>
        <v>Dec</v>
      </c>
      <c r="H1450">
        <v>1</v>
      </c>
      <c r="I1450">
        <v>766.75</v>
      </c>
      <c r="J1450" t="s">
        <v>2714</v>
      </c>
      <c r="K1450" t="s">
        <v>18</v>
      </c>
      <c r="L1450" t="s">
        <v>19</v>
      </c>
      <c r="M1450">
        <v>4</v>
      </c>
      <c r="N1450">
        <v>766.75</v>
      </c>
    </row>
    <row r="1451" spans="1:14" x14ac:dyDescent="0.3">
      <c r="A1451" t="s">
        <v>2715</v>
      </c>
      <c r="B1451" t="s">
        <v>21</v>
      </c>
      <c r="C1451" s="1">
        <v>45231</v>
      </c>
      <c r="D1451" s="2">
        <f>YEAR(Table1[[#This Row],[PurchaseDate]])</f>
        <v>2023</v>
      </c>
      <c r="E1451" s="2" t="str">
        <f>"Q"&amp;ROUNDUP(MONTH(Table1[[#This Row],[PurchaseDate]])/3,0)</f>
        <v>Q4</v>
      </c>
      <c r="F1451" s="2">
        <f>MONTH(Table1[[#This Row],[PurchaseDate]])</f>
        <v>11</v>
      </c>
      <c r="G1451" s="2" t="str">
        <f>TEXT(Table1[[#This Row],[PurchaseDate]],"MMM")</f>
        <v>Nov</v>
      </c>
      <c r="H1451">
        <v>3</v>
      </c>
      <c r="I1451">
        <v>569.72</v>
      </c>
      <c r="J1451" t="s">
        <v>2716</v>
      </c>
      <c r="K1451" t="s">
        <v>38</v>
      </c>
      <c r="L1451" t="s">
        <v>14</v>
      </c>
      <c r="M1451">
        <v>4</v>
      </c>
      <c r="N1451">
        <v>1709.16</v>
      </c>
    </row>
    <row r="1452" spans="1:14" x14ac:dyDescent="0.3">
      <c r="A1452" t="s">
        <v>1291</v>
      </c>
      <c r="B1452" t="s">
        <v>25</v>
      </c>
      <c r="C1452" s="1">
        <v>45245</v>
      </c>
      <c r="D1452" s="2">
        <f>YEAR(Table1[[#This Row],[PurchaseDate]])</f>
        <v>2023</v>
      </c>
      <c r="E1452" s="2" t="str">
        <f>"Q"&amp;ROUNDUP(MONTH(Table1[[#This Row],[PurchaseDate]])/3,0)</f>
        <v>Q4</v>
      </c>
      <c r="F1452" s="2">
        <f>MONTH(Table1[[#This Row],[PurchaseDate]])</f>
        <v>11</v>
      </c>
      <c r="G1452" s="2" t="str">
        <f>TEXT(Table1[[#This Row],[PurchaseDate]],"MMM")</f>
        <v>Nov</v>
      </c>
      <c r="H1452">
        <v>2</v>
      </c>
      <c r="I1452">
        <v>399.01</v>
      </c>
      <c r="J1452" t="s">
        <v>1292</v>
      </c>
      <c r="K1452" t="s">
        <v>38</v>
      </c>
      <c r="L1452" t="s">
        <v>19</v>
      </c>
      <c r="M1452">
        <v>5</v>
      </c>
      <c r="N1452">
        <v>798.02</v>
      </c>
    </row>
    <row r="1453" spans="1:14" x14ac:dyDescent="0.3">
      <c r="A1453" t="s">
        <v>2717</v>
      </c>
      <c r="B1453" t="s">
        <v>11</v>
      </c>
      <c r="C1453" s="1">
        <v>45128</v>
      </c>
      <c r="D1453" s="2">
        <f>YEAR(Table1[[#This Row],[PurchaseDate]])</f>
        <v>2023</v>
      </c>
      <c r="E1453" s="2" t="str">
        <f>"Q"&amp;ROUNDUP(MONTH(Table1[[#This Row],[PurchaseDate]])/3,0)</f>
        <v>Q3</v>
      </c>
      <c r="F1453" s="2">
        <f>MONTH(Table1[[#This Row],[PurchaseDate]])</f>
        <v>7</v>
      </c>
      <c r="G1453" s="2" t="str">
        <f>TEXT(Table1[[#This Row],[PurchaseDate]],"MMM")</f>
        <v>Jul</v>
      </c>
      <c r="H1453">
        <v>8</v>
      </c>
      <c r="I1453">
        <v>159.84</v>
      </c>
      <c r="J1453" t="s">
        <v>2718</v>
      </c>
      <c r="K1453" t="s">
        <v>38</v>
      </c>
      <c r="L1453" t="s">
        <v>19</v>
      </c>
      <c r="M1453">
        <v>3</v>
      </c>
      <c r="N1453">
        <v>1278.72</v>
      </c>
    </row>
    <row r="1454" spans="1:14" x14ac:dyDescent="0.3">
      <c r="A1454" t="s">
        <v>2719</v>
      </c>
      <c r="B1454" t="s">
        <v>42</v>
      </c>
      <c r="C1454" s="1">
        <v>45662</v>
      </c>
      <c r="D1454" s="2">
        <f>YEAR(Table1[[#This Row],[PurchaseDate]])</f>
        <v>2025</v>
      </c>
      <c r="E1454" s="2" t="str">
        <f>"Q"&amp;ROUNDUP(MONTH(Table1[[#This Row],[PurchaseDate]])/3,0)</f>
        <v>Q1</v>
      </c>
      <c r="F1454" s="2">
        <f>MONTH(Table1[[#This Row],[PurchaseDate]])</f>
        <v>1</v>
      </c>
      <c r="G1454" s="2" t="str">
        <f>TEXT(Table1[[#This Row],[PurchaseDate]],"MMM")</f>
        <v>Jan</v>
      </c>
      <c r="H1454">
        <v>3</v>
      </c>
      <c r="I1454">
        <v>55.83</v>
      </c>
      <c r="J1454" t="s">
        <v>2720</v>
      </c>
      <c r="K1454" t="s">
        <v>18</v>
      </c>
      <c r="L1454" t="s">
        <v>23</v>
      </c>
      <c r="M1454">
        <v>2</v>
      </c>
      <c r="N1454">
        <v>167.49</v>
      </c>
    </row>
    <row r="1455" spans="1:14" x14ac:dyDescent="0.3">
      <c r="A1455" t="s">
        <v>2721</v>
      </c>
      <c r="B1455" t="s">
        <v>42</v>
      </c>
      <c r="C1455" s="1">
        <v>45683</v>
      </c>
      <c r="D1455" s="2">
        <f>YEAR(Table1[[#This Row],[PurchaseDate]])</f>
        <v>2025</v>
      </c>
      <c r="E1455" s="2" t="str">
        <f>"Q"&amp;ROUNDUP(MONTH(Table1[[#This Row],[PurchaseDate]])/3,0)</f>
        <v>Q1</v>
      </c>
      <c r="F1455" s="2">
        <f>MONTH(Table1[[#This Row],[PurchaseDate]])</f>
        <v>1</v>
      </c>
      <c r="G1455" s="2" t="str">
        <f>TEXT(Table1[[#This Row],[PurchaseDate]],"MMM")</f>
        <v>Jan</v>
      </c>
      <c r="H1455">
        <v>8</v>
      </c>
      <c r="I1455">
        <v>751.94</v>
      </c>
      <c r="J1455" t="s">
        <v>2722</v>
      </c>
      <c r="K1455" t="s">
        <v>38</v>
      </c>
      <c r="L1455" t="s">
        <v>27</v>
      </c>
      <c r="M1455">
        <v>3</v>
      </c>
      <c r="N1455">
        <v>6015.52</v>
      </c>
    </row>
    <row r="1456" spans="1:14" x14ac:dyDescent="0.3">
      <c r="A1456" t="s">
        <v>2723</v>
      </c>
      <c r="B1456" t="s">
        <v>34</v>
      </c>
      <c r="C1456" s="1">
        <v>45436</v>
      </c>
      <c r="D1456" s="2">
        <f>YEAR(Table1[[#This Row],[PurchaseDate]])</f>
        <v>2024</v>
      </c>
      <c r="E1456" s="2" t="str">
        <f>"Q"&amp;ROUNDUP(MONTH(Table1[[#This Row],[PurchaseDate]])/3,0)</f>
        <v>Q2</v>
      </c>
      <c r="F1456" s="2">
        <f>MONTH(Table1[[#This Row],[PurchaseDate]])</f>
        <v>5</v>
      </c>
      <c r="G1456" s="2" t="str">
        <f>TEXT(Table1[[#This Row],[PurchaseDate]],"MMM")</f>
        <v>May</v>
      </c>
      <c r="H1456">
        <v>8</v>
      </c>
      <c r="I1456">
        <v>408.05</v>
      </c>
      <c r="J1456" t="s">
        <v>2724</v>
      </c>
      <c r="K1456" t="s">
        <v>13</v>
      </c>
      <c r="L1456" t="s">
        <v>23</v>
      </c>
      <c r="M1456">
        <v>5</v>
      </c>
      <c r="N1456">
        <v>3264.4</v>
      </c>
    </row>
    <row r="1457" spans="1:14" x14ac:dyDescent="0.3">
      <c r="A1457" t="s">
        <v>2725</v>
      </c>
      <c r="B1457" t="s">
        <v>29</v>
      </c>
      <c r="C1457" s="1">
        <v>45454</v>
      </c>
      <c r="D1457" s="2">
        <f>YEAR(Table1[[#This Row],[PurchaseDate]])</f>
        <v>2024</v>
      </c>
      <c r="E1457" s="2" t="str">
        <f>"Q"&amp;ROUNDUP(MONTH(Table1[[#This Row],[PurchaseDate]])/3,0)</f>
        <v>Q2</v>
      </c>
      <c r="F1457" s="2">
        <f>MONTH(Table1[[#This Row],[PurchaseDate]])</f>
        <v>6</v>
      </c>
      <c r="G1457" s="2" t="str">
        <f>TEXT(Table1[[#This Row],[PurchaseDate]],"MMM")</f>
        <v>Jun</v>
      </c>
      <c r="H1457">
        <v>2</v>
      </c>
      <c r="I1457">
        <v>355.97</v>
      </c>
      <c r="J1457" t="s">
        <v>2726</v>
      </c>
      <c r="K1457" t="s">
        <v>13</v>
      </c>
      <c r="L1457" t="s">
        <v>14</v>
      </c>
      <c r="M1457">
        <v>3</v>
      </c>
      <c r="N1457">
        <v>711.94</v>
      </c>
    </row>
    <row r="1458" spans="1:14" x14ac:dyDescent="0.3">
      <c r="A1458" t="s">
        <v>2727</v>
      </c>
      <c r="B1458" t="s">
        <v>21</v>
      </c>
      <c r="C1458" s="1">
        <v>45671</v>
      </c>
      <c r="D1458" s="2">
        <f>YEAR(Table1[[#This Row],[PurchaseDate]])</f>
        <v>2025</v>
      </c>
      <c r="E1458" s="2" t="str">
        <f>"Q"&amp;ROUNDUP(MONTH(Table1[[#This Row],[PurchaseDate]])/3,0)</f>
        <v>Q1</v>
      </c>
      <c r="F1458" s="2">
        <f>MONTH(Table1[[#This Row],[PurchaseDate]])</f>
        <v>1</v>
      </c>
      <c r="G1458" s="2" t="str">
        <f>TEXT(Table1[[#This Row],[PurchaseDate]],"MMM")</f>
        <v>Jan</v>
      </c>
      <c r="H1458">
        <v>5</v>
      </c>
      <c r="I1458">
        <v>367.34</v>
      </c>
      <c r="J1458" t="s">
        <v>2728</v>
      </c>
      <c r="K1458" t="s">
        <v>18</v>
      </c>
      <c r="L1458" t="s">
        <v>23</v>
      </c>
      <c r="M1458">
        <v>5</v>
      </c>
      <c r="N1458">
        <v>1836.7</v>
      </c>
    </row>
    <row r="1459" spans="1:14" x14ac:dyDescent="0.3">
      <c r="A1459" t="s">
        <v>2729</v>
      </c>
      <c r="B1459" t="s">
        <v>34</v>
      </c>
      <c r="C1459" s="1">
        <v>45493</v>
      </c>
      <c r="D1459" s="2">
        <f>YEAR(Table1[[#This Row],[PurchaseDate]])</f>
        <v>2024</v>
      </c>
      <c r="E1459" s="2" t="str">
        <f>"Q"&amp;ROUNDUP(MONTH(Table1[[#This Row],[PurchaseDate]])/3,0)</f>
        <v>Q3</v>
      </c>
      <c r="F1459" s="2">
        <f>MONTH(Table1[[#This Row],[PurchaseDate]])</f>
        <v>7</v>
      </c>
      <c r="G1459" s="2" t="str">
        <f>TEXT(Table1[[#This Row],[PurchaseDate]],"MMM")</f>
        <v>Jul</v>
      </c>
      <c r="H1459">
        <v>4</v>
      </c>
      <c r="I1459">
        <v>125.77</v>
      </c>
      <c r="J1459" t="s">
        <v>2730</v>
      </c>
      <c r="K1459" t="s">
        <v>13</v>
      </c>
      <c r="L1459" t="s">
        <v>19</v>
      </c>
      <c r="M1459">
        <v>2</v>
      </c>
      <c r="N1459">
        <v>503.08</v>
      </c>
    </row>
    <row r="1460" spans="1:14" x14ac:dyDescent="0.3">
      <c r="A1460" t="s">
        <v>2731</v>
      </c>
      <c r="B1460" t="s">
        <v>11</v>
      </c>
      <c r="C1460" s="1">
        <v>45098</v>
      </c>
      <c r="D1460" s="2">
        <f>YEAR(Table1[[#This Row],[PurchaseDate]])</f>
        <v>2023</v>
      </c>
      <c r="E1460" s="2" t="str">
        <f>"Q"&amp;ROUNDUP(MONTH(Table1[[#This Row],[PurchaseDate]])/3,0)</f>
        <v>Q2</v>
      </c>
      <c r="F1460" s="2">
        <f>MONTH(Table1[[#This Row],[PurchaseDate]])</f>
        <v>6</v>
      </c>
      <c r="G1460" s="2" t="str">
        <f>TEXT(Table1[[#This Row],[PurchaseDate]],"MMM")</f>
        <v>Jun</v>
      </c>
      <c r="H1460">
        <v>2</v>
      </c>
      <c r="I1460">
        <v>748.75</v>
      </c>
      <c r="J1460" t="s">
        <v>2732</v>
      </c>
      <c r="K1460" t="s">
        <v>13</v>
      </c>
      <c r="L1460" t="s">
        <v>19</v>
      </c>
      <c r="M1460">
        <v>4</v>
      </c>
      <c r="N1460">
        <v>1497.5</v>
      </c>
    </row>
    <row r="1461" spans="1:14" x14ac:dyDescent="0.3">
      <c r="A1461" t="s">
        <v>2733</v>
      </c>
      <c r="B1461" t="s">
        <v>25</v>
      </c>
      <c r="C1461" s="1">
        <v>45791</v>
      </c>
      <c r="D1461" s="2">
        <f>YEAR(Table1[[#This Row],[PurchaseDate]])</f>
        <v>2025</v>
      </c>
      <c r="E1461" s="2" t="str">
        <f>"Q"&amp;ROUNDUP(MONTH(Table1[[#This Row],[PurchaseDate]])/3,0)</f>
        <v>Q2</v>
      </c>
      <c r="F1461" s="2">
        <f>MONTH(Table1[[#This Row],[PurchaseDate]])</f>
        <v>5</v>
      </c>
      <c r="G1461" s="2" t="str">
        <f>TEXT(Table1[[#This Row],[PurchaseDate]],"MMM")</f>
        <v>May</v>
      </c>
      <c r="H1461">
        <v>6</v>
      </c>
      <c r="I1461">
        <v>474.95</v>
      </c>
      <c r="J1461" t="s">
        <v>2734</v>
      </c>
      <c r="K1461" t="s">
        <v>38</v>
      </c>
      <c r="L1461" t="s">
        <v>19</v>
      </c>
      <c r="M1461">
        <v>1</v>
      </c>
      <c r="N1461">
        <v>2849.7</v>
      </c>
    </row>
    <row r="1462" spans="1:14" x14ac:dyDescent="0.3">
      <c r="A1462" t="s">
        <v>2735</v>
      </c>
      <c r="B1462" t="s">
        <v>21</v>
      </c>
      <c r="C1462" s="1">
        <v>45474</v>
      </c>
      <c r="D1462" s="2">
        <f>YEAR(Table1[[#This Row],[PurchaseDate]])</f>
        <v>2024</v>
      </c>
      <c r="E1462" s="2" t="str">
        <f>"Q"&amp;ROUNDUP(MONTH(Table1[[#This Row],[PurchaseDate]])/3,0)</f>
        <v>Q3</v>
      </c>
      <c r="F1462" s="2">
        <f>MONTH(Table1[[#This Row],[PurchaseDate]])</f>
        <v>7</v>
      </c>
      <c r="G1462" s="2" t="str">
        <f>TEXT(Table1[[#This Row],[PurchaseDate]],"MMM")</f>
        <v>Jul</v>
      </c>
      <c r="H1462">
        <v>4</v>
      </c>
      <c r="I1462">
        <v>698.9</v>
      </c>
      <c r="J1462" t="s">
        <v>2736</v>
      </c>
      <c r="K1462" t="s">
        <v>38</v>
      </c>
      <c r="L1462" t="s">
        <v>23</v>
      </c>
      <c r="M1462">
        <v>4</v>
      </c>
      <c r="N1462">
        <v>2795.6</v>
      </c>
    </row>
    <row r="1463" spans="1:14" x14ac:dyDescent="0.3">
      <c r="A1463" t="s">
        <v>2737</v>
      </c>
      <c r="B1463" t="s">
        <v>21</v>
      </c>
      <c r="C1463" s="1">
        <v>45198</v>
      </c>
      <c r="D1463" s="2">
        <f>YEAR(Table1[[#This Row],[PurchaseDate]])</f>
        <v>2023</v>
      </c>
      <c r="E1463" s="2" t="str">
        <f>"Q"&amp;ROUNDUP(MONTH(Table1[[#This Row],[PurchaseDate]])/3,0)</f>
        <v>Q3</v>
      </c>
      <c r="F1463" s="2">
        <f>MONTH(Table1[[#This Row],[PurchaseDate]])</f>
        <v>9</v>
      </c>
      <c r="G1463" s="2" t="str">
        <f>TEXT(Table1[[#This Row],[PurchaseDate]],"MMM")</f>
        <v>Sep</v>
      </c>
      <c r="H1463">
        <v>8</v>
      </c>
      <c r="I1463">
        <v>136.12</v>
      </c>
      <c r="J1463" t="s">
        <v>2738</v>
      </c>
      <c r="K1463" t="s">
        <v>13</v>
      </c>
      <c r="L1463" t="s">
        <v>27</v>
      </c>
      <c r="M1463">
        <v>3</v>
      </c>
      <c r="N1463">
        <v>1088.96</v>
      </c>
    </row>
    <row r="1464" spans="1:14" x14ac:dyDescent="0.3">
      <c r="A1464" t="s">
        <v>2739</v>
      </c>
      <c r="B1464" t="s">
        <v>16</v>
      </c>
      <c r="C1464" s="1">
        <v>44996</v>
      </c>
      <c r="D1464" s="2">
        <f>YEAR(Table1[[#This Row],[PurchaseDate]])</f>
        <v>2023</v>
      </c>
      <c r="E1464" s="2" t="str">
        <f>"Q"&amp;ROUNDUP(MONTH(Table1[[#This Row],[PurchaseDate]])/3,0)</f>
        <v>Q1</v>
      </c>
      <c r="F1464" s="2">
        <f>MONTH(Table1[[#This Row],[PurchaseDate]])</f>
        <v>3</v>
      </c>
      <c r="G1464" s="2" t="str">
        <f>TEXT(Table1[[#This Row],[PurchaseDate]],"MMM")</f>
        <v>Mar</v>
      </c>
      <c r="H1464">
        <v>8</v>
      </c>
      <c r="I1464">
        <v>641.99</v>
      </c>
      <c r="J1464" t="s">
        <v>2740</v>
      </c>
      <c r="K1464" t="s">
        <v>18</v>
      </c>
      <c r="L1464" t="s">
        <v>58</v>
      </c>
      <c r="M1464">
        <v>3</v>
      </c>
      <c r="N1464">
        <v>5135.92</v>
      </c>
    </row>
    <row r="1465" spans="1:14" x14ac:dyDescent="0.3">
      <c r="A1465" t="s">
        <v>2741</v>
      </c>
      <c r="B1465" t="s">
        <v>21</v>
      </c>
      <c r="C1465" s="1">
        <v>45314</v>
      </c>
      <c r="D1465" s="2">
        <f>YEAR(Table1[[#This Row],[PurchaseDate]])</f>
        <v>2024</v>
      </c>
      <c r="E1465" s="2" t="str">
        <f>"Q"&amp;ROUNDUP(MONTH(Table1[[#This Row],[PurchaseDate]])/3,0)</f>
        <v>Q1</v>
      </c>
      <c r="F1465" s="2">
        <f>MONTH(Table1[[#This Row],[PurchaseDate]])</f>
        <v>1</v>
      </c>
      <c r="G1465" s="2" t="str">
        <f>TEXT(Table1[[#This Row],[PurchaseDate]],"MMM")</f>
        <v>Jan</v>
      </c>
      <c r="H1465">
        <v>2</v>
      </c>
      <c r="I1465">
        <v>451.32</v>
      </c>
      <c r="J1465" t="s">
        <v>2742</v>
      </c>
      <c r="K1465" t="s">
        <v>13</v>
      </c>
      <c r="L1465" t="s">
        <v>27</v>
      </c>
      <c r="M1465">
        <v>2</v>
      </c>
      <c r="N1465">
        <v>902.64</v>
      </c>
    </row>
    <row r="1466" spans="1:14" x14ac:dyDescent="0.3">
      <c r="A1466" t="s">
        <v>1461</v>
      </c>
      <c r="B1466" t="s">
        <v>42</v>
      </c>
      <c r="C1466" s="1">
        <v>45223</v>
      </c>
      <c r="D1466" s="2">
        <f>YEAR(Table1[[#This Row],[PurchaseDate]])</f>
        <v>2023</v>
      </c>
      <c r="E1466" s="2" t="str">
        <f>"Q"&amp;ROUNDUP(MONTH(Table1[[#This Row],[PurchaseDate]])/3,0)</f>
        <v>Q4</v>
      </c>
      <c r="F1466" s="2">
        <f>MONTH(Table1[[#This Row],[PurchaseDate]])</f>
        <v>10</v>
      </c>
      <c r="G1466" s="2" t="str">
        <f>TEXT(Table1[[#This Row],[PurchaseDate]],"MMM")</f>
        <v>Oct</v>
      </c>
      <c r="H1466">
        <v>4</v>
      </c>
      <c r="I1466">
        <v>240.87</v>
      </c>
      <c r="J1466" t="s">
        <v>1462</v>
      </c>
      <c r="K1466" t="s">
        <v>38</v>
      </c>
      <c r="L1466" t="s">
        <v>19</v>
      </c>
      <c r="M1466">
        <v>2</v>
      </c>
      <c r="N1466">
        <v>963.48</v>
      </c>
    </row>
    <row r="1467" spans="1:14" x14ac:dyDescent="0.3">
      <c r="A1467" t="s">
        <v>1337</v>
      </c>
      <c r="B1467" t="s">
        <v>42</v>
      </c>
      <c r="C1467" s="1">
        <v>45168</v>
      </c>
      <c r="D1467" s="2">
        <f>YEAR(Table1[[#This Row],[PurchaseDate]])</f>
        <v>2023</v>
      </c>
      <c r="E1467" s="2" t="str">
        <f>"Q"&amp;ROUNDUP(MONTH(Table1[[#This Row],[PurchaseDate]])/3,0)</f>
        <v>Q3</v>
      </c>
      <c r="F1467" s="2">
        <f>MONTH(Table1[[#This Row],[PurchaseDate]])</f>
        <v>8</v>
      </c>
      <c r="G1467" s="2" t="str">
        <f>TEXT(Table1[[#This Row],[PurchaseDate]],"MMM")</f>
        <v>Aug</v>
      </c>
      <c r="H1467">
        <v>3</v>
      </c>
      <c r="I1467">
        <v>274.81</v>
      </c>
      <c r="J1467" t="s">
        <v>1338</v>
      </c>
      <c r="K1467" t="s">
        <v>18</v>
      </c>
      <c r="L1467" t="s">
        <v>14</v>
      </c>
      <c r="M1467">
        <v>4</v>
      </c>
      <c r="N1467">
        <v>824.43</v>
      </c>
    </row>
    <row r="1468" spans="1:14" x14ac:dyDescent="0.3">
      <c r="A1468" t="s">
        <v>2743</v>
      </c>
      <c r="B1468" t="s">
        <v>42</v>
      </c>
      <c r="C1468" s="1">
        <v>44928</v>
      </c>
      <c r="D1468" s="2">
        <f>YEAR(Table1[[#This Row],[PurchaseDate]])</f>
        <v>2023</v>
      </c>
      <c r="E1468" s="2" t="str">
        <f>"Q"&amp;ROUNDUP(MONTH(Table1[[#This Row],[PurchaseDate]])/3,0)</f>
        <v>Q1</v>
      </c>
      <c r="F1468" s="2">
        <f>MONTH(Table1[[#This Row],[PurchaseDate]])</f>
        <v>1</v>
      </c>
      <c r="G1468" s="2" t="str">
        <f>TEXT(Table1[[#This Row],[PurchaseDate]],"MMM")</f>
        <v>Jan</v>
      </c>
      <c r="H1468">
        <v>5</v>
      </c>
      <c r="I1468">
        <v>138.97</v>
      </c>
      <c r="J1468" t="s">
        <v>2744</v>
      </c>
      <c r="K1468" t="s">
        <v>18</v>
      </c>
      <c r="L1468" t="s">
        <v>19</v>
      </c>
      <c r="M1468">
        <v>2</v>
      </c>
      <c r="N1468">
        <v>694.85</v>
      </c>
    </row>
    <row r="1469" spans="1:14" x14ac:dyDescent="0.3">
      <c r="A1469" t="s">
        <v>2745</v>
      </c>
      <c r="B1469" t="s">
        <v>16</v>
      </c>
      <c r="C1469" s="1">
        <v>44999</v>
      </c>
      <c r="D1469" s="2">
        <f>YEAR(Table1[[#This Row],[PurchaseDate]])</f>
        <v>2023</v>
      </c>
      <c r="E1469" s="2" t="str">
        <f>"Q"&amp;ROUNDUP(MONTH(Table1[[#This Row],[PurchaseDate]])/3,0)</f>
        <v>Q1</v>
      </c>
      <c r="F1469" s="2">
        <f>MONTH(Table1[[#This Row],[PurchaseDate]])</f>
        <v>3</v>
      </c>
      <c r="G1469" s="2" t="str">
        <f>TEXT(Table1[[#This Row],[PurchaseDate]],"MMM")</f>
        <v>Mar</v>
      </c>
      <c r="H1469">
        <v>1</v>
      </c>
      <c r="I1469">
        <v>261.2</v>
      </c>
      <c r="J1469" t="s">
        <v>2746</v>
      </c>
      <c r="K1469" t="s">
        <v>18</v>
      </c>
      <c r="L1469" t="s">
        <v>23</v>
      </c>
      <c r="M1469">
        <v>1</v>
      </c>
      <c r="N1469">
        <v>261.2</v>
      </c>
    </row>
    <row r="1470" spans="1:14" x14ac:dyDescent="0.3">
      <c r="A1470" t="s">
        <v>2359</v>
      </c>
      <c r="B1470" t="s">
        <v>34</v>
      </c>
      <c r="C1470" s="1">
        <v>45774</v>
      </c>
      <c r="D1470" s="2">
        <f>YEAR(Table1[[#This Row],[PurchaseDate]])</f>
        <v>2025</v>
      </c>
      <c r="E1470" s="2" t="str">
        <f>"Q"&amp;ROUNDUP(MONTH(Table1[[#This Row],[PurchaseDate]])/3,0)</f>
        <v>Q2</v>
      </c>
      <c r="F1470" s="2">
        <f>MONTH(Table1[[#This Row],[PurchaseDate]])</f>
        <v>4</v>
      </c>
      <c r="G1470" s="2" t="str">
        <f>TEXT(Table1[[#This Row],[PurchaseDate]],"MMM")</f>
        <v>Apr</v>
      </c>
      <c r="H1470">
        <v>6</v>
      </c>
      <c r="I1470">
        <v>529.47</v>
      </c>
      <c r="J1470" t="s">
        <v>2360</v>
      </c>
      <c r="K1470" t="s">
        <v>13</v>
      </c>
      <c r="L1470" t="s">
        <v>27</v>
      </c>
      <c r="M1470">
        <v>1</v>
      </c>
      <c r="N1470">
        <v>3176.82</v>
      </c>
    </row>
    <row r="1471" spans="1:14" x14ac:dyDescent="0.3">
      <c r="A1471" t="s">
        <v>2747</v>
      </c>
      <c r="B1471" t="s">
        <v>11</v>
      </c>
      <c r="C1471" s="1">
        <v>45369</v>
      </c>
      <c r="D1471" s="2">
        <f>YEAR(Table1[[#This Row],[PurchaseDate]])</f>
        <v>2024</v>
      </c>
      <c r="E1471" s="2" t="str">
        <f>"Q"&amp;ROUNDUP(MONTH(Table1[[#This Row],[PurchaseDate]])/3,0)</f>
        <v>Q1</v>
      </c>
      <c r="F1471" s="2">
        <f>MONTH(Table1[[#This Row],[PurchaseDate]])</f>
        <v>3</v>
      </c>
      <c r="G1471" s="2" t="str">
        <f>TEXT(Table1[[#This Row],[PurchaseDate]],"MMM")</f>
        <v>Mar</v>
      </c>
      <c r="H1471">
        <v>2</v>
      </c>
      <c r="I1471">
        <v>57.91</v>
      </c>
      <c r="J1471" t="s">
        <v>2748</v>
      </c>
      <c r="K1471" t="s">
        <v>38</v>
      </c>
      <c r="L1471" t="s">
        <v>58</v>
      </c>
      <c r="M1471">
        <v>3</v>
      </c>
      <c r="N1471">
        <v>115.82</v>
      </c>
    </row>
    <row r="1472" spans="1:14" x14ac:dyDescent="0.3">
      <c r="A1472" t="s">
        <v>2749</v>
      </c>
      <c r="B1472" t="s">
        <v>11</v>
      </c>
      <c r="C1472" s="1">
        <v>45684</v>
      </c>
      <c r="D1472" s="2">
        <f>YEAR(Table1[[#This Row],[PurchaseDate]])</f>
        <v>2025</v>
      </c>
      <c r="E1472" s="2" t="str">
        <f>"Q"&amp;ROUNDUP(MONTH(Table1[[#This Row],[PurchaseDate]])/3,0)</f>
        <v>Q1</v>
      </c>
      <c r="F1472" s="2">
        <f>MONTH(Table1[[#This Row],[PurchaseDate]])</f>
        <v>1</v>
      </c>
      <c r="G1472" s="2" t="str">
        <f>TEXT(Table1[[#This Row],[PurchaseDate]],"MMM")</f>
        <v>Jan</v>
      </c>
      <c r="H1472">
        <v>3</v>
      </c>
      <c r="I1472">
        <v>383.22</v>
      </c>
      <c r="J1472" t="s">
        <v>2750</v>
      </c>
      <c r="K1472" t="s">
        <v>13</v>
      </c>
      <c r="L1472" t="s">
        <v>14</v>
      </c>
      <c r="M1472">
        <v>3</v>
      </c>
      <c r="N1472">
        <v>1149.6600000000001</v>
      </c>
    </row>
    <row r="1473" spans="1:14" x14ac:dyDescent="0.3">
      <c r="A1473" t="s">
        <v>2085</v>
      </c>
      <c r="B1473" t="s">
        <v>21</v>
      </c>
      <c r="C1473" s="1">
        <v>45688</v>
      </c>
      <c r="D1473" s="2">
        <f>YEAR(Table1[[#This Row],[PurchaseDate]])</f>
        <v>2025</v>
      </c>
      <c r="E1473" s="2" t="str">
        <f>"Q"&amp;ROUNDUP(MONTH(Table1[[#This Row],[PurchaseDate]])/3,0)</f>
        <v>Q1</v>
      </c>
      <c r="F1473" s="2">
        <f>MONTH(Table1[[#This Row],[PurchaseDate]])</f>
        <v>1</v>
      </c>
      <c r="G1473" s="2" t="str">
        <f>TEXT(Table1[[#This Row],[PurchaseDate]],"MMM")</f>
        <v>Jan</v>
      </c>
      <c r="H1473">
        <v>5</v>
      </c>
      <c r="I1473">
        <v>224.11</v>
      </c>
      <c r="J1473" t="s">
        <v>2086</v>
      </c>
      <c r="K1473" t="s">
        <v>38</v>
      </c>
      <c r="L1473" t="s">
        <v>19</v>
      </c>
      <c r="M1473">
        <v>1</v>
      </c>
      <c r="N1473">
        <v>1120.55</v>
      </c>
    </row>
    <row r="1474" spans="1:14" x14ac:dyDescent="0.3">
      <c r="A1474" t="s">
        <v>2751</v>
      </c>
      <c r="B1474" t="s">
        <v>42</v>
      </c>
      <c r="C1474" s="1">
        <v>45227</v>
      </c>
      <c r="D1474" s="2">
        <f>YEAR(Table1[[#This Row],[PurchaseDate]])</f>
        <v>2023</v>
      </c>
      <c r="E1474" s="2" t="str">
        <f>"Q"&amp;ROUNDUP(MONTH(Table1[[#This Row],[PurchaseDate]])/3,0)</f>
        <v>Q4</v>
      </c>
      <c r="F1474" s="2">
        <f>MONTH(Table1[[#This Row],[PurchaseDate]])</f>
        <v>10</v>
      </c>
      <c r="G1474" s="2" t="str">
        <f>TEXT(Table1[[#This Row],[PurchaseDate]],"MMM")</f>
        <v>Oct</v>
      </c>
      <c r="H1474">
        <v>8</v>
      </c>
      <c r="I1474">
        <v>238.87</v>
      </c>
      <c r="J1474" t="s">
        <v>2752</v>
      </c>
      <c r="K1474" t="s">
        <v>38</v>
      </c>
      <c r="L1474" t="s">
        <v>14</v>
      </c>
      <c r="M1474">
        <v>4</v>
      </c>
      <c r="N1474">
        <v>1910.96</v>
      </c>
    </row>
    <row r="1475" spans="1:14" x14ac:dyDescent="0.3">
      <c r="A1475" t="s">
        <v>2753</v>
      </c>
      <c r="B1475" t="s">
        <v>21</v>
      </c>
      <c r="C1475" s="1">
        <v>45424</v>
      </c>
      <c r="D1475" s="2">
        <f>YEAR(Table1[[#This Row],[PurchaseDate]])</f>
        <v>2024</v>
      </c>
      <c r="E1475" s="2" t="str">
        <f>"Q"&amp;ROUNDUP(MONTH(Table1[[#This Row],[PurchaseDate]])/3,0)</f>
        <v>Q2</v>
      </c>
      <c r="F1475" s="2">
        <f>MONTH(Table1[[#This Row],[PurchaseDate]])</f>
        <v>5</v>
      </c>
      <c r="G1475" s="2" t="str">
        <f>TEXT(Table1[[#This Row],[PurchaseDate]],"MMM")</f>
        <v>May</v>
      </c>
      <c r="H1475">
        <v>4</v>
      </c>
      <c r="I1475">
        <v>360.23</v>
      </c>
      <c r="J1475" t="s">
        <v>2754</v>
      </c>
      <c r="K1475" t="s">
        <v>13</v>
      </c>
      <c r="L1475" t="s">
        <v>58</v>
      </c>
      <c r="M1475">
        <v>4</v>
      </c>
      <c r="N1475">
        <v>1440.92</v>
      </c>
    </row>
    <row r="1476" spans="1:14" x14ac:dyDescent="0.3">
      <c r="A1476" t="s">
        <v>2755</v>
      </c>
      <c r="B1476" t="s">
        <v>42</v>
      </c>
      <c r="C1476" s="1">
        <v>45344</v>
      </c>
      <c r="D1476" s="2">
        <f>YEAR(Table1[[#This Row],[PurchaseDate]])</f>
        <v>2024</v>
      </c>
      <c r="E1476" s="2" t="str">
        <f>"Q"&amp;ROUNDUP(MONTH(Table1[[#This Row],[PurchaseDate]])/3,0)</f>
        <v>Q1</v>
      </c>
      <c r="F1476" s="2">
        <f>MONTH(Table1[[#This Row],[PurchaseDate]])</f>
        <v>2</v>
      </c>
      <c r="G1476" s="2" t="str">
        <f>TEXT(Table1[[#This Row],[PurchaseDate]],"MMM")</f>
        <v>Feb</v>
      </c>
      <c r="H1476">
        <v>4</v>
      </c>
      <c r="I1476">
        <v>131.62</v>
      </c>
      <c r="J1476" t="s">
        <v>2756</v>
      </c>
      <c r="K1476" t="s">
        <v>38</v>
      </c>
      <c r="L1476" t="s">
        <v>14</v>
      </c>
      <c r="M1476">
        <v>1</v>
      </c>
      <c r="N1476">
        <v>526.48</v>
      </c>
    </row>
    <row r="1477" spans="1:14" x14ac:dyDescent="0.3">
      <c r="A1477" t="s">
        <v>2757</v>
      </c>
      <c r="B1477" t="s">
        <v>42</v>
      </c>
      <c r="C1477" s="1">
        <v>45236</v>
      </c>
      <c r="D1477" s="2">
        <f>YEAR(Table1[[#This Row],[PurchaseDate]])</f>
        <v>2023</v>
      </c>
      <c r="E1477" s="2" t="str">
        <f>"Q"&amp;ROUNDUP(MONTH(Table1[[#This Row],[PurchaseDate]])/3,0)</f>
        <v>Q4</v>
      </c>
      <c r="F1477" s="2">
        <f>MONTH(Table1[[#This Row],[PurchaseDate]])</f>
        <v>11</v>
      </c>
      <c r="G1477" s="2" t="str">
        <f>TEXT(Table1[[#This Row],[PurchaseDate]],"MMM")</f>
        <v>Nov</v>
      </c>
      <c r="H1477">
        <v>4</v>
      </c>
      <c r="I1477">
        <v>674.33</v>
      </c>
      <c r="J1477" t="s">
        <v>2758</v>
      </c>
      <c r="K1477" t="s">
        <v>13</v>
      </c>
      <c r="L1477" t="s">
        <v>58</v>
      </c>
      <c r="M1477">
        <v>3</v>
      </c>
      <c r="N1477">
        <v>2697.32</v>
      </c>
    </row>
    <row r="1478" spans="1:14" x14ac:dyDescent="0.3">
      <c r="A1478" t="s">
        <v>2759</v>
      </c>
      <c r="B1478" t="s">
        <v>21</v>
      </c>
      <c r="C1478" s="1">
        <v>45424</v>
      </c>
      <c r="D1478" s="2">
        <f>YEAR(Table1[[#This Row],[PurchaseDate]])</f>
        <v>2024</v>
      </c>
      <c r="E1478" s="2" t="str">
        <f>"Q"&amp;ROUNDUP(MONTH(Table1[[#This Row],[PurchaseDate]])/3,0)</f>
        <v>Q2</v>
      </c>
      <c r="F1478" s="2">
        <f>MONTH(Table1[[#This Row],[PurchaseDate]])</f>
        <v>5</v>
      </c>
      <c r="G1478" s="2" t="str">
        <f>TEXT(Table1[[#This Row],[PurchaseDate]],"MMM")</f>
        <v>May</v>
      </c>
      <c r="H1478">
        <v>8</v>
      </c>
      <c r="I1478">
        <v>537.45000000000005</v>
      </c>
      <c r="J1478" t="s">
        <v>2760</v>
      </c>
      <c r="K1478" t="s">
        <v>13</v>
      </c>
      <c r="L1478" t="s">
        <v>23</v>
      </c>
      <c r="M1478">
        <v>2</v>
      </c>
      <c r="N1478">
        <v>4299.6000000000004</v>
      </c>
    </row>
    <row r="1479" spans="1:14" x14ac:dyDescent="0.3">
      <c r="A1479" t="s">
        <v>39</v>
      </c>
      <c r="B1479" t="s">
        <v>16</v>
      </c>
      <c r="C1479" s="1">
        <v>45656</v>
      </c>
      <c r="D1479" s="2">
        <f>YEAR(Table1[[#This Row],[PurchaseDate]])</f>
        <v>2024</v>
      </c>
      <c r="E1479" s="2" t="str">
        <f>"Q"&amp;ROUNDUP(MONTH(Table1[[#This Row],[PurchaseDate]])/3,0)</f>
        <v>Q4</v>
      </c>
      <c r="F1479" s="2">
        <f>MONTH(Table1[[#This Row],[PurchaseDate]])</f>
        <v>12</v>
      </c>
      <c r="G1479" s="2" t="str">
        <f>TEXT(Table1[[#This Row],[PurchaseDate]],"MMM")</f>
        <v>Dec</v>
      </c>
      <c r="H1479">
        <v>3</v>
      </c>
      <c r="I1479">
        <v>77.03</v>
      </c>
      <c r="J1479" t="s">
        <v>40</v>
      </c>
      <c r="K1479" t="s">
        <v>38</v>
      </c>
      <c r="L1479" t="s">
        <v>14</v>
      </c>
      <c r="M1479">
        <v>2</v>
      </c>
      <c r="N1479">
        <v>231.09</v>
      </c>
    </row>
    <row r="1480" spans="1:14" x14ac:dyDescent="0.3">
      <c r="A1480" t="s">
        <v>2761</v>
      </c>
      <c r="B1480" t="s">
        <v>16</v>
      </c>
      <c r="C1480" s="1">
        <v>45494</v>
      </c>
      <c r="D1480" s="2">
        <f>YEAR(Table1[[#This Row],[PurchaseDate]])</f>
        <v>2024</v>
      </c>
      <c r="E1480" s="2" t="str">
        <f>"Q"&amp;ROUNDUP(MONTH(Table1[[#This Row],[PurchaseDate]])/3,0)</f>
        <v>Q3</v>
      </c>
      <c r="F1480" s="2">
        <f>MONTH(Table1[[#This Row],[PurchaseDate]])</f>
        <v>7</v>
      </c>
      <c r="G1480" s="2" t="str">
        <f>TEXT(Table1[[#This Row],[PurchaseDate]],"MMM")</f>
        <v>Jul</v>
      </c>
      <c r="H1480">
        <v>5</v>
      </c>
      <c r="I1480">
        <v>681.74</v>
      </c>
      <c r="J1480" t="s">
        <v>2762</v>
      </c>
      <c r="K1480" t="s">
        <v>13</v>
      </c>
      <c r="L1480" t="s">
        <v>23</v>
      </c>
      <c r="M1480">
        <v>2</v>
      </c>
      <c r="N1480">
        <v>3408.7</v>
      </c>
    </row>
    <row r="1481" spans="1:14" x14ac:dyDescent="0.3">
      <c r="A1481" t="s">
        <v>1017</v>
      </c>
      <c r="B1481" t="s">
        <v>42</v>
      </c>
      <c r="C1481" s="1">
        <v>45676</v>
      </c>
      <c r="D1481" s="2">
        <f>YEAR(Table1[[#This Row],[PurchaseDate]])</f>
        <v>2025</v>
      </c>
      <c r="E1481" s="2" t="str">
        <f>"Q"&amp;ROUNDUP(MONTH(Table1[[#This Row],[PurchaseDate]])/3,0)</f>
        <v>Q1</v>
      </c>
      <c r="F1481" s="2">
        <f>MONTH(Table1[[#This Row],[PurchaseDate]])</f>
        <v>1</v>
      </c>
      <c r="G1481" s="2" t="str">
        <f>TEXT(Table1[[#This Row],[PurchaseDate]],"MMM")</f>
        <v>Jan</v>
      </c>
      <c r="H1481">
        <v>3</v>
      </c>
      <c r="I1481">
        <v>75.62</v>
      </c>
      <c r="J1481" t="s">
        <v>1018</v>
      </c>
      <c r="K1481" t="s">
        <v>38</v>
      </c>
      <c r="L1481" t="s">
        <v>14</v>
      </c>
      <c r="M1481">
        <v>4</v>
      </c>
      <c r="N1481">
        <v>226.86</v>
      </c>
    </row>
    <row r="1482" spans="1:14" x14ac:dyDescent="0.3">
      <c r="A1482" t="s">
        <v>2763</v>
      </c>
      <c r="B1482" t="s">
        <v>34</v>
      </c>
      <c r="C1482" s="1">
        <v>45295</v>
      </c>
      <c r="D1482" s="2">
        <f>YEAR(Table1[[#This Row],[PurchaseDate]])</f>
        <v>2024</v>
      </c>
      <c r="E1482" s="2" t="str">
        <f>"Q"&amp;ROUNDUP(MONTH(Table1[[#This Row],[PurchaseDate]])/3,0)</f>
        <v>Q1</v>
      </c>
      <c r="F1482" s="2">
        <f>MONTH(Table1[[#This Row],[PurchaseDate]])</f>
        <v>1</v>
      </c>
      <c r="G1482" s="2" t="str">
        <f>TEXT(Table1[[#This Row],[PurchaseDate]],"MMM")</f>
        <v>Jan</v>
      </c>
      <c r="H1482">
        <v>8</v>
      </c>
      <c r="I1482">
        <v>538.29</v>
      </c>
      <c r="J1482" t="s">
        <v>2764</v>
      </c>
      <c r="K1482" t="s">
        <v>18</v>
      </c>
      <c r="L1482" t="s">
        <v>58</v>
      </c>
      <c r="M1482">
        <v>1</v>
      </c>
      <c r="N1482">
        <v>4306.32</v>
      </c>
    </row>
    <row r="1483" spans="1:14" x14ac:dyDescent="0.3">
      <c r="A1483" t="s">
        <v>2765</v>
      </c>
      <c r="B1483" t="s">
        <v>34</v>
      </c>
      <c r="C1483" s="1">
        <v>45449</v>
      </c>
      <c r="D1483" s="2">
        <f>YEAR(Table1[[#This Row],[PurchaseDate]])</f>
        <v>2024</v>
      </c>
      <c r="E1483" s="2" t="str">
        <f>"Q"&amp;ROUNDUP(MONTH(Table1[[#This Row],[PurchaseDate]])/3,0)</f>
        <v>Q2</v>
      </c>
      <c r="F1483" s="2">
        <f>MONTH(Table1[[#This Row],[PurchaseDate]])</f>
        <v>6</v>
      </c>
      <c r="G1483" s="2" t="str">
        <f>TEXT(Table1[[#This Row],[PurchaseDate]],"MMM")</f>
        <v>Jun</v>
      </c>
      <c r="H1483">
        <v>4</v>
      </c>
      <c r="I1483">
        <v>411.44</v>
      </c>
      <c r="J1483" t="s">
        <v>2766</v>
      </c>
      <c r="K1483" t="s">
        <v>13</v>
      </c>
      <c r="L1483" t="s">
        <v>58</v>
      </c>
      <c r="M1483">
        <v>2</v>
      </c>
      <c r="N1483">
        <v>1645.76</v>
      </c>
    </row>
    <row r="1484" spans="1:14" x14ac:dyDescent="0.3">
      <c r="A1484" t="s">
        <v>1747</v>
      </c>
      <c r="B1484" t="s">
        <v>29</v>
      </c>
      <c r="C1484" s="1">
        <v>45722</v>
      </c>
      <c r="D1484" s="2">
        <f>YEAR(Table1[[#This Row],[PurchaseDate]])</f>
        <v>2025</v>
      </c>
      <c r="E1484" s="2" t="str">
        <f>"Q"&amp;ROUNDUP(MONTH(Table1[[#This Row],[PurchaseDate]])/3,0)</f>
        <v>Q1</v>
      </c>
      <c r="F1484" s="2">
        <f>MONTH(Table1[[#This Row],[PurchaseDate]])</f>
        <v>3</v>
      </c>
      <c r="G1484" s="2" t="str">
        <f>TEXT(Table1[[#This Row],[PurchaseDate]],"MMM")</f>
        <v>Mar</v>
      </c>
      <c r="H1484">
        <v>6</v>
      </c>
      <c r="I1484">
        <v>452.54</v>
      </c>
      <c r="J1484" t="s">
        <v>1748</v>
      </c>
      <c r="K1484" t="s">
        <v>13</v>
      </c>
      <c r="L1484" t="s">
        <v>27</v>
      </c>
      <c r="M1484">
        <v>2</v>
      </c>
      <c r="N1484">
        <v>2715.24</v>
      </c>
    </row>
    <row r="1485" spans="1:14" x14ac:dyDescent="0.3">
      <c r="A1485" t="s">
        <v>2767</v>
      </c>
      <c r="B1485" t="s">
        <v>16</v>
      </c>
      <c r="C1485" s="1">
        <v>45121</v>
      </c>
      <c r="D1485" s="2">
        <f>YEAR(Table1[[#This Row],[PurchaseDate]])</f>
        <v>2023</v>
      </c>
      <c r="E1485" s="2" t="str">
        <f>"Q"&amp;ROUNDUP(MONTH(Table1[[#This Row],[PurchaseDate]])/3,0)</f>
        <v>Q3</v>
      </c>
      <c r="F1485" s="2">
        <f>MONTH(Table1[[#This Row],[PurchaseDate]])</f>
        <v>7</v>
      </c>
      <c r="G1485" s="2" t="str">
        <f>TEXT(Table1[[#This Row],[PurchaseDate]],"MMM")</f>
        <v>Jul</v>
      </c>
      <c r="H1485">
        <v>4</v>
      </c>
      <c r="I1485">
        <v>510.62</v>
      </c>
      <c r="J1485" t="s">
        <v>2768</v>
      </c>
      <c r="K1485" t="s">
        <v>13</v>
      </c>
      <c r="L1485" t="s">
        <v>27</v>
      </c>
      <c r="M1485">
        <v>5</v>
      </c>
      <c r="N1485">
        <v>2042.48</v>
      </c>
    </row>
    <row r="1486" spans="1:14" x14ac:dyDescent="0.3">
      <c r="A1486" t="s">
        <v>2769</v>
      </c>
      <c r="B1486" t="s">
        <v>25</v>
      </c>
      <c r="C1486" s="1">
        <v>45247</v>
      </c>
      <c r="D1486" s="2">
        <f>YEAR(Table1[[#This Row],[PurchaseDate]])</f>
        <v>2023</v>
      </c>
      <c r="E1486" s="2" t="str">
        <f>"Q"&amp;ROUNDUP(MONTH(Table1[[#This Row],[PurchaseDate]])/3,0)</f>
        <v>Q4</v>
      </c>
      <c r="F1486" s="2">
        <f>MONTH(Table1[[#This Row],[PurchaseDate]])</f>
        <v>11</v>
      </c>
      <c r="G1486" s="2" t="str">
        <f>TEXT(Table1[[#This Row],[PurchaseDate]],"MMM")</f>
        <v>Nov</v>
      </c>
      <c r="H1486">
        <v>1</v>
      </c>
      <c r="I1486">
        <v>729.26</v>
      </c>
      <c r="J1486" t="s">
        <v>2770</v>
      </c>
      <c r="K1486" t="s">
        <v>13</v>
      </c>
      <c r="L1486" t="s">
        <v>19</v>
      </c>
      <c r="M1486">
        <v>4</v>
      </c>
      <c r="N1486">
        <v>729.26</v>
      </c>
    </row>
    <row r="1487" spans="1:14" x14ac:dyDescent="0.3">
      <c r="A1487" t="s">
        <v>2771</v>
      </c>
      <c r="B1487" t="s">
        <v>21</v>
      </c>
      <c r="C1487" s="1">
        <v>45401</v>
      </c>
      <c r="D1487" s="2">
        <f>YEAR(Table1[[#This Row],[PurchaseDate]])</f>
        <v>2024</v>
      </c>
      <c r="E1487" s="2" t="str">
        <f>"Q"&amp;ROUNDUP(MONTH(Table1[[#This Row],[PurchaseDate]])/3,0)</f>
        <v>Q2</v>
      </c>
      <c r="F1487" s="2">
        <f>MONTH(Table1[[#This Row],[PurchaseDate]])</f>
        <v>4</v>
      </c>
      <c r="G1487" s="2" t="str">
        <f>TEXT(Table1[[#This Row],[PurchaseDate]],"MMM")</f>
        <v>Apr</v>
      </c>
      <c r="H1487">
        <v>8</v>
      </c>
      <c r="I1487">
        <v>387.1</v>
      </c>
      <c r="J1487" t="s">
        <v>2772</v>
      </c>
      <c r="K1487" t="s">
        <v>18</v>
      </c>
      <c r="L1487" t="s">
        <v>58</v>
      </c>
      <c r="M1487">
        <v>5</v>
      </c>
      <c r="N1487">
        <v>3096.8</v>
      </c>
    </row>
    <row r="1488" spans="1:14" x14ac:dyDescent="0.3">
      <c r="A1488" t="s">
        <v>243</v>
      </c>
      <c r="B1488" t="s">
        <v>42</v>
      </c>
      <c r="C1488" s="1">
        <v>45486</v>
      </c>
      <c r="D1488" s="2">
        <f>YEAR(Table1[[#This Row],[PurchaseDate]])</f>
        <v>2024</v>
      </c>
      <c r="E1488" s="2" t="str">
        <f>"Q"&amp;ROUNDUP(MONTH(Table1[[#This Row],[PurchaseDate]])/3,0)</f>
        <v>Q3</v>
      </c>
      <c r="F1488" s="2">
        <f>MONTH(Table1[[#This Row],[PurchaseDate]])</f>
        <v>7</v>
      </c>
      <c r="G1488" s="2" t="str">
        <f>TEXT(Table1[[#This Row],[PurchaseDate]],"MMM")</f>
        <v>Jul</v>
      </c>
      <c r="H1488">
        <v>1</v>
      </c>
      <c r="I1488">
        <v>47.53</v>
      </c>
      <c r="J1488" t="s">
        <v>244</v>
      </c>
      <c r="K1488" t="s">
        <v>18</v>
      </c>
      <c r="L1488" t="s">
        <v>27</v>
      </c>
      <c r="M1488">
        <v>2</v>
      </c>
      <c r="N1488">
        <v>47.53</v>
      </c>
    </row>
    <row r="1489" spans="1:14" x14ac:dyDescent="0.3">
      <c r="A1489" t="s">
        <v>2773</v>
      </c>
      <c r="B1489" t="s">
        <v>16</v>
      </c>
      <c r="C1489" s="1">
        <v>45473</v>
      </c>
      <c r="D1489" s="2">
        <f>YEAR(Table1[[#This Row],[PurchaseDate]])</f>
        <v>2024</v>
      </c>
      <c r="E1489" s="2" t="str">
        <f>"Q"&amp;ROUNDUP(MONTH(Table1[[#This Row],[PurchaseDate]])/3,0)</f>
        <v>Q2</v>
      </c>
      <c r="F1489" s="2">
        <f>MONTH(Table1[[#This Row],[PurchaseDate]])</f>
        <v>6</v>
      </c>
      <c r="G1489" s="2" t="str">
        <f>TEXT(Table1[[#This Row],[PurchaseDate]],"MMM")</f>
        <v>Jun</v>
      </c>
      <c r="H1489">
        <v>2</v>
      </c>
      <c r="I1489">
        <v>272.08</v>
      </c>
      <c r="J1489" t="s">
        <v>2774</v>
      </c>
      <c r="K1489" t="s">
        <v>18</v>
      </c>
      <c r="L1489" t="s">
        <v>23</v>
      </c>
      <c r="M1489">
        <v>3</v>
      </c>
      <c r="N1489">
        <v>544.16</v>
      </c>
    </row>
    <row r="1490" spans="1:14" x14ac:dyDescent="0.3">
      <c r="A1490" t="s">
        <v>2775</v>
      </c>
      <c r="B1490" t="s">
        <v>34</v>
      </c>
      <c r="C1490" s="1">
        <v>45138</v>
      </c>
      <c r="D1490" s="2">
        <f>YEAR(Table1[[#This Row],[PurchaseDate]])</f>
        <v>2023</v>
      </c>
      <c r="E1490" s="2" t="str">
        <f>"Q"&amp;ROUNDUP(MONTH(Table1[[#This Row],[PurchaseDate]])/3,0)</f>
        <v>Q3</v>
      </c>
      <c r="F1490" s="2">
        <f>MONTH(Table1[[#This Row],[PurchaseDate]])</f>
        <v>7</v>
      </c>
      <c r="G1490" s="2" t="str">
        <f>TEXT(Table1[[#This Row],[PurchaseDate]],"MMM")</f>
        <v>Jul</v>
      </c>
      <c r="H1490">
        <v>6</v>
      </c>
      <c r="I1490">
        <v>553.39</v>
      </c>
      <c r="J1490" t="s">
        <v>2776</v>
      </c>
      <c r="K1490" t="s">
        <v>13</v>
      </c>
      <c r="L1490" t="s">
        <v>27</v>
      </c>
      <c r="M1490">
        <v>1</v>
      </c>
      <c r="N1490">
        <v>3320.34</v>
      </c>
    </row>
    <row r="1491" spans="1:14" x14ac:dyDescent="0.3">
      <c r="A1491" t="s">
        <v>2777</v>
      </c>
      <c r="B1491" t="s">
        <v>16</v>
      </c>
      <c r="C1491" s="1">
        <v>45804</v>
      </c>
      <c r="D1491" s="2">
        <f>YEAR(Table1[[#This Row],[PurchaseDate]])</f>
        <v>2025</v>
      </c>
      <c r="E1491" s="2" t="str">
        <f>"Q"&amp;ROUNDUP(MONTH(Table1[[#This Row],[PurchaseDate]])/3,0)</f>
        <v>Q2</v>
      </c>
      <c r="F1491" s="2">
        <f>MONTH(Table1[[#This Row],[PurchaseDate]])</f>
        <v>5</v>
      </c>
      <c r="G1491" s="2" t="str">
        <f>TEXT(Table1[[#This Row],[PurchaseDate]],"MMM")</f>
        <v>May</v>
      </c>
      <c r="H1491">
        <v>3</v>
      </c>
      <c r="I1491">
        <v>109.9</v>
      </c>
      <c r="J1491" t="s">
        <v>2778</v>
      </c>
      <c r="K1491" t="s">
        <v>18</v>
      </c>
      <c r="L1491" t="s">
        <v>14</v>
      </c>
      <c r="M1491">
        <v>1</v>
      </c>
      <c r="N1491">
        <v>329.7</v>
      </c>
    </row>
    <row r="1492" spans="1:14" x14ac:dyDescent="0.3">
      <c r="A1492" t="s">
        <v>2779</v>
      </c>
      <c r="B1492" t="s">
        <v>29</v>
      </c>
      <c r="C1492" s="1">
        <v>45355</v>
      </c>
      <c r="D1492" s="2">
        <f>YEAR(Table1[[#This Row],[PurchaseDate]])</f>
        <v>2024</v>
      </c>
      <c r="E1492" s="2" t="str">
        <f>"Q"&amp;ROUNDUP(MONTH(Table1[[#This Row],[PurchaseDate]])/3,0)</f>
        <v>Q1</v>
      </c>
      <c r="F1492" s="2">
        <f>MONTH(Table1[[#This Row],[PurchaseDate]])</f>
        <v>3</v>
      </c>
      <c r="G1492" s="2" t="str">
        <f>TEXT(Table1[[#This Row],[PurchaseDate]],"MMM")</f>
        <v>Mar</v>
      </c>
      <c r="H1492">
        <v>4</v>
      </c>
      <c r="I1492">
        <v>787.22</v>
      </c>
      <c r="J1492" t="s">
        <v>2780</v>
      </c>
      <c r="K1492" t="s">
        <v>38</v>
      </c>
      <c r="L1492" t="s">
        <v>27</v>
      </c>
      <c r="M1492">
        <v>2</v>
      </c>
      <c r="N1492">
        <v>3148.88</v>
      </c>
    </row>
    <row r="1493" spans="1:14" x14ac:dyDescent="0.3">
      <c r="A1493" t="s">
        <v>2781</v>
      </c>
      <c r="B1493" t="s">
        <v>29</v>
      </c>
      <c r="C1493" s="1">
        <v>45319</v>
      </c>
      <c r="D1493" s="2">
        <f>YEAR(Table1[[#This Row],[PurchaseDate]])</f>
        <v>2024</v>
      </c>
      <c r="E1493" s="2" t="str">
        <f>"Q"&amp;ROUNDUP(MONTH(Table1[[#This Row],[PurchaseDate]])/3,0)</f>
        <v>Q1</v>
      </c>
      <c r="F1493" s="2">
        <f>MONTH(Table1[[#This Row],[PurchaseDate]])</f>
        <v>1</v>
      </c>
      <c r="G1493" s="2" t="str">
        <f>TEXT(Table1[[#This Row],[PurchaseDate]],"MMM")</f>
        <v>Jan</v>
      </c>
      <c r="H1493">
        <v>1</v>
      </c>
      <c r="I1493">
        <v>42.76</v>
      </c>
      <c r="J1493" t="s">
        <v>2782</v>
      </c>
      <c r="K1493" t="s">
        <v>13</v>
      </c>
      <c r="L1493" t="s">
        <v>27</v>
      </c>
      <c r="M1493">
        <v>1</v>
      </c>
      <c r="N1493">
        <v>42.76</v>
      </c>
    </row>
    <row r="1494" spans="1:14" x14ac:dyDescent="0.3">
      <c r="A1494" t="s">
        <v>2783</v>
      </c>
      <c r="B1494" t="s">
        <v>42</v>
      </c>
      <c r="C1494" s="1">
        <v>45645</v>
      </c>
      <c r="D1494" s="2">
        <f>YEAR(Table1[[#This Row],[PurchaseDate]])</f>
        <v>2024</v>
      </c>
      <c r="E1494" s="2" t="str">
        <f>"Q"&amp;ROUNDUP(MONTH(Table1[[#This Row],[PurchaseDate]])/3,0)</f>
        <v>Q4</v>
      </c>
      <c r="F1494" s="2">
        <f>MONTH(Table1[[#This Row],[PurchaseDate]])</f>
        <v>12</v>
      </c>
      <c r="G1494" s="2" t="str">
        <f>TEXT(Table1[[#This Row],[PurchaseDate]],"MMM")</f>
        <v>Dec</v>
      </c>
      <c r="H1494">
        <v>2</v>
      </c>
      <c r="I1494">
        <v>406.23</v>
      </c>
      <c r="J1494" t="s">
        <v>2784</v>
      </c>
      <c r="K1494" t="s">
        <v>38</v>
      </c>
      <c r="L1494" t="s">
        <v>27</v>
      </c>
      <c r="M1494">
        <v>4</v>
      </c>
      <c r="N1494">
        <v>812.46</v>
      </c>
    </row>
    <row r="1495" spans="1:14" x14ac:dyDescent="0.3">
      <c r="A1495" t="s">
        <v>2785</v>
      </c>
      <c r="B1495" t="s">
        <v>21</v>
      </c>
      <c r="C1495" s="1">
        <v>45570</v>
      </c>
      <c r="D1495" s="2">
        <f>YEAR(Table1[[#This Row],[PurchaseDate]])</f>
        <v>2024</v>
      </c>
      <c r="E1495" s="2" t="str">
        <f>"Q"&amp;ROUNDUP(MONTH(Table1[[#This Row],[PurchaseDate]])/3,0)</f>
        <v>Q4</v>
      </c>
      <c r="F1495" s="2">
        <f>MONTH(Table1[[#This Row],[PurchaseDate]])</f>
        <v>10</v>
      </c>
      <c r="G1495" s="2" t="str">
        <f>TEXT(Table1[[#This Row],[PurchaseDate]],"MMM")</f>
        <v>Oct</v>
      </c>
      <c r="H1495">
        <v>6</v>
      </c>
      <c r="I1495">
        <v>55.56</v>
      </c>
      <c r="J1495" t="s">
        <v>2786</v>
      </c>
      <c r="K1495" t="s">
        <v>38</v>
      </c>
      <c r="L1495" t="s">
        <v>19</v>
      </c>
      <c r="M1495">
        <v>4</v>
      </c>
      <c r="N1495">
        <v>333.36</v>
      </c>
    </row>
    <row r="1496" spans="1:14" x14ac:dyDescent="0.3">
      <c r="A1496" t="s">
        <v>1389</v>
      </c>
      <c r="B1496" t="s">
        <v>16</v>
      </c>
      <c r="C1496" s="1">
        <v>45073</v>
      </c>
      <c r="D1496" s="2">
        <f>YEAR(Table1[[#This Row],[PurchaseDate]])</f>
        <v>2023</v>
      </c>
      <c r="E1496" s="2" t="str">
        <f>"Q"&amp;ROUNDUP(MONTH(Table1[[#This Row],[PurchaseDate]])/3,0)</f>
        <v>Q2</v>
      </c>
      <c r="F1496" s="2">
        <f>MONTH(Table1[[#This Row],[PurchaseDate]])</f>
        <v>5</v>
      </c>
      <c r="G1496" s="2" t="str">
        <f>TEXT(Table1[[#This Row],[PurchaseDate]],"MMM")</f>
        <v>May</v>
      </c>
      <c r="H1496">
        <v>2</v>
      </c>
      <c r="I1496">
        <v>541.28</v>
      </c>
      <c r="J1496" t="s">
        <v>1390</v>
      </c>
      <c r="K1496" t="s">
        <v>13</v>
      </c>
      <c r="L1496" t="s">
        <v>14</v>
      </c>
      <c r="M1496">
        <v>3</v>
      </c>
      <c r="N1496">
        <v>1082.56</v>
      </c>
    </row>
    <row r="1497" spans="1:14" x14ac:dyDescent="0.3">
      <c r="A1497" t="s">
        <v>371</v>
      </c>
      <c r="B1497" t="s">
        <v>25</v>
      </c>
      <c r="C1497" s="1">
        <v>45234</v>
      </c>
      <c r="D1497" s="2">
        <f>YEAR(Table1[[#This Row],[PurchaseDate]])</f>
        <v>2023</v>
      </c>
      <c r="E1497" s="2" t="str">
        <f>"Q"&amp;ROUNDUP(MONTH(Table1[[#This Row],[PurchaseDate]])/3,0)</f>
        <v>Q4</v>
      </c>
      <c r="F1497" s="2">
        <f>MONTH(Table1[[#This Row],[PurchaseDate]])</f>
        <v>11</v>
      </c>
      <c r="G1497" s="2" t="str">
        <f>TEXT(Table1[[#This Row],[PurchaseDate]],"MMM")</f>
        <v>Nov</v>
      </c>
      <c r="H1497">
        <v>8</v>
      </c>
      <c r="I1497">
        <v>45.93</v>
      </c>
      <c r="J1497" t="s">
        <v>372</v>
      </c>
      <c r="K1497" t="s">
        <v>13</v>
      </c>
      <c r="L1497" t="s">
        <v>27</v>
      </c>
      <c r="M1497">
        <v>5</v>
      </c>
      <c r="N1497">
        <v>367.44</v>
      </c>
    </row>
    <row r="1498" spans="1:14" x14ac:dyDescent="0.3">
      <c r="A1498" t="s">
        <v>2787</v>
      </c>
      <c r="B1498" t="s">
        <v>21</v>
      </c>
      <c r="C1498" s="1">
        <v>45056</v>
      </c>
      <c r="D1498" s="2">
        <f>YEAR(Table1[[#This Row],[PurchaseDate]])</f>
        <v>2023</v>
      </c>
      <c r="E1498" s="2" t="str">
        <f>"Q"&amp;ROUNDUP(MONTH(Table1[[#This Row],[PurchaseDate]])/3,0)</f>
        <v>Q2</v>
      </c>
      <c r="F1498" s="2">
        <f>MONTH(Table1[[#This Row],[PurchaseDate]])</f>
        <v>5</v>
      </c>
      <c r="G1498" s="2" t="str">
        <f>TEXT(Table1[[#This Row],[PurchaseDate]],"MMM")</f>
        <v>May</v>
      </c>
      <c r="H1498">
        <v>1</v>
      </c>
      <c r="I1498">
        <v>401.55</v>
      </c>
      <c r="J1498" t="s">
        <v>2788</v>
      </c>
      <c r="K1498" t="s">
        <v>13</v>
      </c>
      <c r="L1498" t="s">
        <v>23</v>
      </c>
      <c r="M1498">
        <v>4</v>
      </c>
      <c r="N1498">
        <v>401.55</v>
      </c>
    </row>
    <row r="1499" spans="1:14" x14ac:dyDescent="0.3">
      <c r="A1499" t="s">
        <v>2789</v>
      </c>
      <c r="B1499" t="s">
        <v>29</v>
      </c>
      <c r="C1499" s="1">
        <v>45572</v>
      </c>
      <c r="D1499" s="2">
        <f>YEAR(Table1[[#This Row],[PurchaseDate]])</f>
        <v>2024</v>
      </c>
      <c r="E1499" s="2" t="str">
        <f>"Q"&amp;ROUNDUP(MONTH(Table1[[#This Row],[PurchaseDate]])/3,0)</f>
        <v>Q4</v>
      </c>
      <c r="F1499" s="2">
        <f>MONTH(Table1[[#This Row],[PurchaseDate]])</f>
        <v>10</v>
      </c>
      <c r="G1499" s="2" t="str">
        <f>TEXT(Table1[[#This Row],[PurchaseDate]],"MMM")</f>
        <v>Oct</v>
      </c>
      <c r="H1499">
        <v>8</v>
      </c>
      <c r="I1499">
        <v>129.57</v>
      </c>
      <c r="J1499" t="s">
        <v>2790</v>
      </c>
      <c r="K1499" t="s">
        <v>18</v>
      </c>
      <c r="L1499" t="s">
        <v>23</v>
      </c>
      <c r="M1499">
        <v>5</v>
      </c>
      <c r="N1499">
        <v>1036.56</v>
      </c>
    </row>
    <row r="1500" spans="1:14" x14ac:dyDescent="0.3">
      <c r="A1500" t="s">
        <v>2791</v>
      </c>
      <c r="B1500" t="s">
        <v>29</v>
      </c>
      <c r="C1500" s="1">
        <v>45656</v>
      </c>
      <c r="D1500" s="2">
        <f>YEAR(Table1[[#This Row],[PurchaseDate]])</f>
        <v>2024</v>
      </c>
      <c r="E1500" s="2" t="str">
        <f>"Q"&amp;ROUNDUP(MONTH(Table1[[#This Row],[PurchaseDate]])/3,0)</f>
        <v>Q4</v>
      </c>
      <c r="F1500" s="2">
        <f>MONTH(Table1[[#This Row],[PurchaseDate]])</f>
        <v>12</v>
      </c>
      <c r="G1500" s="2" t="str">
        <f>TEXT(Table1[[#This Row],[PurchaseDate]],"MMM")</f>
        <v>Dec</v>
      </c>
      <c r="H1500">
        <v>7</v>
      </c>
      <c r="I1500">
        <v>188.89</v>
      </c>
      <c r="J1500" t="s">
        <v>2792</v>
      </c>
      <c r="K1500" t="s">
        <v>38</v>
      </c>
      <c r="L1500" t="s">
        <v>14</v>
      </c>
      <c r="M1500">
        <v>3</v>
      </c>
      <c r="N1500">
        <v>1322.23</v>
      </c>
    </row>
    <row r="1501" spans="1:14" x14ac:dyDescent="0.3">
      <c r="A1501" t="s">
        <v>2793</v>
      </c>
      <c r="B1501" t="s">
        <v>21</v>
      </c>
      <c r="C1501" s="1">
        <v>45782</v>
      </c>
      <c r="D1501" s="2">
        <f>YEAR(Table1[[#This Row],[PurchaseDate]])</f>
        <v>2025</v>
      </c>
      <c r="E1501" s="2" t="str">
        <f>"Q"&amp;ROUNDUP(MONTH(Table1[[#This Row],[PurchaseDate]])/3,0)</f>
        <v>Q2</v>
      </c>
      <c r="F1501" s="2">
        <f>MONTH(Table1[[#This Row],[PurchaseDate]])</f>
        <v>5</v>
      </c>
      <c r="G1501" s="2" t="str">
        <f>TEXT(Table1[[#This Row],[PurchaseDate]],"MMM")</f>
        <v>May</v>
      </c>
      <c r="H1501">
        <v>1</v>
      </c>
      <c r="I1501">
        <v>743.33</v>
      </c>
      <c r="J1501" t="s">
        <v>2794</v>
      </c>
      <c r="K1501" t="s">
        <v>18</v>
      </c>
      <c r="L1501" t="s">
        <v>58</v>
      </c>
      <c r="M1501">
        <v>1</v>
      </c>
      <c r="N1501">
        <v>743.33</v>
      </c>
    </row>
    <row r="1502" spans="1:14" x14ac:dyDescent="0.3">
      <c r="A1502" t="s">
        <v>2795</v>
      </c>
      <c r="B1502" t="s">
        <v>34</v>
      </c>
      <c r="C1502" s="1">
        <v>45498</v>
      </c>
      <c r="D1502" s="2">
        <f>YEAR(Table1[[#This Row],[PurchaseDate]])</f>
        <v>2024</v>
      </c>
      <c r="E1502" s="2" t="str">
        <f>"Q"&amp;ROUNDUP(MONTH(Table1[[#This Row],[PurchaseDate]])/3,0)</f>
        <v>Q3</v>
      </c>
      <c r="F1502" s="2">
        <f>MONTH(Table1[[#This Row],[PurchaseDate]])</f>
        <v>7</v>
      </c>
      <c r="G1502" s="2" t="str">
        <f>TEXT(Table1[[#This Row],[PurchaseDate]],"MMM")</f>
        <v>Jul</v>
      </c>
      <c r="H1502">
        <v>4</v>
      </c>
      <c r="I1502">
        <v>34.97</v>
      </c>
      <c r="J1502" t="s">
        <v>2796</v>
      </c>
      <c r="K1502" t="s">
        <v>38</v>
      </c>
      <c r="L1502" t="s">
        <v>14</v>
      </c>
      <c r="M1502">
        <v>1</v>
      </c>
      <c r="N1502">
        <v>139.88</v>
      </c>
    </row>
    <row r="1503" spans="1:14" x14ac:dyDescent="0.3">
      <c r="A1503" t="s">
        <v>2797</v>
      </c>
      <c r="B1503" t="s">
        <v>11</v>
      </c>
      <c r="C1503" s="1">
        <v>45055</v>
      </c>
      <c r="D1503" s="2">
        <f>YEAR(Table1[[#This Row],[PurchaseDate]])</f>
        <v>2023</v>
      </c>
      <c r="E1503" s="2" t="str">
        <f>"Q"&amp;ROUNDUP(MONTH(Table1[[#This Row],[PurchaseDate]])/3,0)</f>
        <v>Q2</v>
      </c>
      <c r="F1503" s="2">
        <f>MONTH(Table1[[#This Row],[PurchaseDate]])</f>
        <v>5</v>
      </c>
      <c r="G1503" s="2" t="str">
        <f>TEXT(Table1[[#This Row],[PurchaseDate]],"MMM")</f>
        <v>May</v>
      </c>
      <c r="H1503">
        <v>7</v>
      </c>
      <c r="I1503">
        <v>475.33</v>
      </c>
      <c r="J1503" t="s">
        <v>2798</v>
      </c>
      <c r="K1503" t="s">
        <v>38</v>
      </c>
      <c r="L1503" t="s">
        <v>58</v>
      </c>
      <c r="M1503">
        <v>1</v>
      </c>
      <c r="N1503">
        <v>3327.31</v>
      </c>
    </row>
    <row r="1504" spans="1:14" x14ac:dyDescent="0.3">
      <c r="A1504" t="s">
        <v>2799</v>
      </c>
      <c r="B1504" t="s">
        <v>21</v>
      </c>
      <c r="C1504" s="1">
        <v>45645</v>
      </c>
      <c r="D1504" s="2">
        <f>YEAR(Table1[[#This Row],[PurchaseDate]])</f>
        <v>2024</v>
      </c>
      <c r="E1504" s="2" t="str">
        <f>"Q"&amp;ROUNDUP(MONTH(Table1[[#This Row],[PurchaseDate]])/3,0)</f>
        <v>Q4</v>
      </c>
      <c r="F1504" s="2">
        <f>MONTH(Table1[[#This Row],[PurchaseDate]])</f>
        <v>12</v>
      </c>
      <c r="G1504" s="2" t="str">
        <f>TEXT(Table1[[#This Row],[PurchaseDate]],"MMM")</f>
        <v>Dec</v>
      </c>
      <c r="H1504">
        <v>1</v>
      </c>
      <c r="I1504">
        <v>362.77</v>
      </c>
      <c r="J1504" t="s">
        <v>2800</v>
      </c>
      <c r="K1504" t="s">
        <v>38</v>
      </c>
      <c r="L1504" t="s">
        <v>14</v>
      </c>
      <c r="M1504">
        <v>1</v>
      </c>
      <c r="N1504">
        <v>362.77</v>
      </c>
    </row>
    <row r="1505" spans="1:14" x14ac:dyDescent="0.3">
      <c r="A1505" t="s">
        <v>2801</v>
      </c>
      <c r="B1505" t="s">
        <v>11</v>
      </c>
      <c r="C1505" s="1">
        <v>45539</v>
      </c>
      <c r="D1505" s="2">
        <f>YEAR(Table1[[#This Row],[PurchaseDate]])</f>
        <v>2024</v>
      </c>
      <c r="E1505" s="2" t="str">
        <f>"Q"&amp;ROUNDUP(MONTH(Table1[[#This Row],[PurchaseDate]])/3,0)</f>
        <v>Q3</v>
      </c>
      <c r="F1505" s="2">
        <f>MONTH(Table1[[#This Row],[PurchaseDate]])</f>
        <v>9</v>
      </c>
      <c r="G1505" s="2" t="str">
        <f>TEXT(Table1[[#This Row],[PurchaseDate]],"MMM")</f>
        <v>Sep</v>
      </c>
      <c r="H1505">
        <v>3</v>
      </c>
      <c r="I1505">
        <v>259.60000000000002</v>
      </c>
      <c r="J1505" t="s">
        <v>2802</v>
      </c>
      <c r="K1505" t="s">
        <v>18</v>
      </c>
      <c r="L1505" t="s">
        <v>19</v>
      </c>
      <c r="M1505">
        <v>3</v>
      </c>
      <c r="N1505">
        <v>778.8</v>
      </c>
    </row>
    <row r="1506" spans="1:14" x14ac:dyDescent="0.3">
      <c r="A1506" t="s">
        <v>2803</v>
      </c>
      <c r="B1506" t="s">
        <v>11</v>
      </c>
      <c r="C1506" s="1">
        <v>45582</v>
      </c>
      <c r="D1506" s="2">
        <f>YEAR(Table1[[#This Row],[PurchaseDate]])</f>
        <v>2024</v>
      </c>
      <c r="E1506" s="2" t="str">
        <f>"Q"&amp;ROUNDUP(MONTH(Table1[[#This Row],[PurchaseDate]])/3,0)</f>
        <v>Q4</v>
      </c>
      <c r="F1506" s="2">
        <f>MONTH(Table1[[#This Row],[PurchaseDate]])</f>
        <v>10</v>
      </c>
      <c r="G1506" s="2" t="str">
        <f>TEXT(Table1[[#This Row],[PurchaseDate]],"MMM")</f>
        <v>Oct</v>
      </c>
      <c r="H1506">
        <v>4</v>
      </c>
      <c r="I1506">
        <v>31.65</v>
      </c>
      <c r="J1506" t="s">
        <v>2804</v>
      </c>
      <c r="K1506" t="s">
        <v>38</v>
      </c>
      <c r="L1506" t="s">
        <v>23</v>
      </c>
      <c r="M1506">
        <v>1</v>
      </c>
      <c r="N1506">
        <v>126.6</v>
      </c>
    </row>
    <row r="1507" spans="1:14" x14ac:dyDescent="0.3">
      <c r="A1507" t="s">
        <v>2805</v>
      </c>
      <c r="B1507" t="s">
        <v>42</v>
      </c>
      <c r="C1507" s="1">
        <v>45268</v>
      </c>
      <c r="D1507" s="2">
        <f>YEAR(Table1[[#This Row],[PurchaseDate]])</f>
        <v>2023</v>
      </c>
      <c r="E1507" s="2" t="str">
        <f>"Q"&amp;ROUNDUP(MONTH(Table1[[#This Row],[PurchaseDate]])/3,0)</f>
        <v>Q4</v>
      </c>
      <c r="F1507" s="2">
        <f>MONTH(Table1[[#This Row],[PurchaseDate]])</f>
        <v>12</v>
      </c>
      <c r="G1507" s="2" t="str">
        <f>TEXT(Table1[[#This Row],[PurchaseDate]],"MMM")</f>
        <v>Dec</v>
      </c>
      <c r="H1507">
        <v>6</v>
      </c>
      <c r="I1507">
        <v>479.41</v>
      </c>
      <c r="J1507" t="s">
        <v>2806</v>
      </c>
      <c r="K1507" t="s">
        <v>38</v>
      </c>
      <c r="L1507" t="s">
        <v>58</v>
      </c>
      <c r="M1507">
        <v>5</v>
      </c>
      <c r="N1507">
        <v>2876.46</v>
      </c>
    </row>
    <row r="1508" spans="1:14" x14ac:dyDescent="0.3">
      <c r="A1508" t="s">
        <v>2807</v>
      </c>
      <c r="B1508" t="s">
        <v>11</v>
      </c>
      <c r="C1508" s="1">
        <v>45426</v>
      </c>
      <c r="D1508" s="2">
        <f>YEAR(Table1[[#This Row],[PurchaseDate]])</f>
        <v>2024</v>
      </c>
      <c r="E1508" s="2" t="str">
        <f>"Q"&amp;ROUNDUP(MONTH(Table1[[#This Row],[PurchaseDate]])/3,0)</f>
        <v>Q2</v>
      </c>
      <c r="F1508" s="2">
        <f>MONTH(Table1[[#This Row],[PurchaseDate]])</f>
        <v>5</v>
      </c>
      <c r="G1508" s="2" t="str">
        <f>TEXT(Table1[[#This Row],[PurchaseDate]],"MMM")</f>
        <v>May</v>
      </c>
      <c r="H1508">
        <v>3</v>
      </c>
      <c r="I1508">
        <v>16.45</v>
      </c>
      <c r="J1508" t="s">
        <v>2808</v>
      </c>
      <c r="K1508" t="s">
        <v>38</v>
      </c>
      <c r="L1508" t="s">
        <v>27</v>
      </c>
      <c r="M1508">
        <v>3</v>
      </c>
      <c r="N1508">
        <v>49.35</v>
      </c>
    </row>
    <row r="1509" spans="1:14" x14ac:dyDescent="0.3">
      <c r="A1509" t="s">
        <v>2809</v>
      </c>
      <c r="B1509" t="s">
        <v>11</v>
      </c>
      <c r="C1509" s="1">
        <v>45155</v>
      </c>
      <c r="D1509" s="2">
        <f>YEAR(Table1[[#This Row],[PurchaseDate]])</f>
        <v>2023</v>
      </c>
      <c r="E1509" s="2" t="str">
        <f>"Q"&amp;ROUNDUP(MONTH(Table1[[#This Row],[PurchaseDate]])/3,0)</f>
        <v>Q3</v>
      </c>
      <c r="F1509" s="2">
        <f>MONTH(Table1[[#This Row],[PurchaseDate]])</f>
        <v>8</v>
      </c>
      <c r="G1509" s="2" t="str">
        <f>TEXT(Table1[[#This Row],[PurchaseDate]],"MMM")</f>
        <v>Aug</v>
      </c>
      <c r="H1509">
        <v>2</v>
      </c>
      <c r="I1509">
        <v>58.06</v>
      </c>
      <c r="J1509" t="s">
        <v>2810</v>
      </c>
      <c r="K1509" t="s">
        <v>18</v>
      </c>
      <c r="L1509" t="s">
        <v>23</v>
      </c>
      <c r="M1509">
        <v>4</v>
      </c>
      <c r="N1509">
        <v>116.12</v>
      </c>
    </row>
    <row r="1510" spans="1:14" x14ac:dyDescent="0.3">
      <c r="A1510" t="s">
        <v>2811</v>
      </c>
      <c r="B1510" t="s">
        <v>34</v>
      </c>
      <c r="C1510" s="1">
        <v>44940</v>
      </c>
      <c r="D1510" s="2">
        <f>YEAR(Table1[[#This Row],[PurchaseDate]])</f>
        <v>2023</v>
      </c>
      <c r="E1510" s="2" t="str">
        <f>"Q"&amp;ROUNDUP(MONTH(Table1[[#This Row],[PurchaseDate]])/3,0)</f>
        <v>Q1</v>
      </c>
      <c r="F1510" s="2">
        <f>MONTH(Table1[[#This Row],[PurchaseDate]])</f>
        <v>1</v>
      </c>
      <c r="G1510" s="2" t="str">
        <f>TEXT(Table1[[#This Row],[PurchaseDate]],"MMM")</f>
        <v>Jan</v>
      </c>
      <c r="H1510">
        <v>5</v>
      </c>
      <c r="I1510">
        <v>251.7</v>
      </c>
      <c r="J1510" t="s">
        <v>2812</v>
      </c>
      <c r="K1510" t="s">
        <v>13</v>
      </c>
      <c r="L1510" t="s">
        <v>58</v>
      </c>
      <c r="M1510">
        <v>5</v>
      </c>
      <c r="N1510">
        <v>1258.5</v>
      </c>
    </row>
    <row r="1511" spans="1:14" x14ac:dyDescent="0.3">
      <c r="A1511" t="s">
        <v>2813</v>
      </c>
      <c r="B1511" t="s">
        <v>21</v>
      </c>
      <c r="C1511" s="1">
        <v>45274</v>
      </c>
      <c r="D1511" s="2">
        <f>YEAR(Table1[[#This Row],[PurchaseDate]])</f>
        <v>2023</v>
      </c>
      <c r="E1511" s="2" t="str">
        <f>"Q"&amp;ROUNDUP(MONTH(Table1[[#This Row],[PurchaseDate]])/3,0)</f>
        <v>Q4</v>
      </c>
      <c r="F1511" s="2">
        <f>MONTH(Table1[[#This Row],[PurchaseDate]])</f>
        <v>12</v>
      </c>
      <c r="G1511" s="2" t="str">
        <f>TEXT(Table1[[#This Row],[PurchaseDate]],"MMM")</f>
        <v>Dec</v>
      </c>
      <c r="H1511">
        <v>3</v>
      </c>
      <c r="I1511">
        <v>27.49</v>
      </c>
      <c r="J1511" t="s">
        <v>2814</v>
      </c>
      <c r="K1511" t="s">
        <v>13</v>
      </c>
      <c r="L1511" t="s">
        <v>27</v>
      </c>
      <c r="M1511">
        <v>2</v>
      </c>
      <c r="N1511">
        <v>82.47</v>
      </c>
    </row>
    <row r="1512" spans="1:14" x14ac:dyDescent="0.3">
      <c r="A1512" t="s">
        <v>2815</v>
      </c>
      <c r="B1512" t="s">
        <v>34</v>
      </c>
      <c r="C1512" s="1">
        <v>45627</v>
      </c>
      <c r="D1512" s="2">
        <f>YEAR(Table1[[#This Row],[PurchaseDate]])</f>
        <v>2024</v>
      </c>
      <c r="E1512" s="2" t="str">
        <f>"Q"&amp;ROUNDUP(MONTH(Table1[[#This Row],[PurchaseDate]])/3,0)</f>
        <v>Q4</v>
      </c>
      <c r="F1512" s="2">
        <f>MONTH(Table1[[#This Row],[PurchaseDate]])</f>
        <v>12</v>
      </c>
      <c r="G1512" s="2" t="str">
        <f>TEXT(Table1[[#This Row],[PurchaseDate]],"MMM")</f>
        <v>Dec</v>
      </c>
      <c r="H1512">
        <v>7</v>
      </c>
      <c r="I1512">
        <v>419.9</v>
      </c>
      <c r="J1512" t="s">
        <v>2816</v>
      </c>
      <c r="K1512" t="s">
        <v>13</v>
      </c>
      <c r="L1512" t="s">
        <v>23</v>
      </c>
      <c r="M1512">
        <v>4</v>
      </c>
      <c r="N1512">
        <v>2939.3</v>
      </c>
    </row>
    <row r="1513" spans="1:14" x14ac:dyDescent="0.3">
      <c r="A1513" t="s">
        <v>1797</v>
      </c>
      <c r="B1513" t="s">
        <v>11</v>
      </c>
      <c r="C1513" s="1">
        <v>45250</v>
      </c>
      <c r="D1513" s="2">
        <f>YEAR(Table1[[#This Row],[PurchaseDate]])</f>
        <v>2023</v>
      </c>
      <c r="E1513" s="2" t="str">
        <f>"Q"&amp;ROUNDUP(MONTH(Table1[[#This Row],[PurchaseDate]])/3,0)</f>
        <v>Q4</v>
      </c>
      <c r="F1513" s="2">
        <f>MONTH(Table1[[#This Row],[PurchaseDate]])</f>
        <v>11</v>
      </c>
      <c r="G1513" s="2" t="str">
        <f>TEXT(Table1[[#This Row],[PurchaseDate]],"MMM")</f>
        <v>Nov</v>
      </c>
      <c r="H1513">
        <v>7</v>
      </c>
      <c r="I1513">
        <v>611.85</v>
      </c>
      <c r="J1513" t="s">
        <v>1798</v>
      </c>
      <c r="K1513" t="s">
        <v>38</v>
      </c>
      <c r="L1513" t="s">
        <v>23</v>
      </c>
      <c r="M1513">
        <v>2</v>
      </c>
      <c r="N1513">
        <v>4282.95</v>
      </c>
    </row>
    <row r="1514" spans="1:14" x14ac:dyDescent="0.3">
      <c r="A1514" t="s">
        <v>2817</v>
      </c>
      <c r="B1514" t="s">
        <v>21</v>
      </c>
      <c r="C1514" s="1">
        <v>44993</v>
      </c>
      <c r="D1514" s="2">
        <f>YEAR(Table1[[#This Row],[PurchaseDate]])</f>
        <v>2023</v>
      </c>
      <c r="E1514" s="2" t="str">
        <f>"Q"&amp;ROUNDUP(MONTH(Table1[[#This Row],[PurchaseDate]])/3,0)</f>
        <v>Q1</v>
      </c>
      <c r="F1514" s="2">
        <f>MONTH(Table1[[#This Row],[PurchaseDate]])</f>
        <v>3</v>
      </c>
      <c r="G1514" s="2" t="str">
        <f>TEXT(Table1[[#This Row],[PurchaseDate]],"MMM")</f>
        <v>Mar</v>
      </c>
      <c r="H1514">
        <v>3</v>
      </c>
      <c r="I1514">
        <v>693.46</v>
      </c>
      <c r="J1514" t="s">
        <v>2818</v>
      </c>
      <c r="K1514" t="s">
        <v>13</v>
      </c>
      <c r="L1514" t="s">
        <v>58</v>
      </c>
      <c r="M1514">
        <v>5</v>
      </c>
      <c r="N1514">
        <v>2080.38</v>
      </c>
    </row>
    <row r="1515" spans="1:14" x14ac:dyDescent="0.3">
      <c r="A1515" t="s">
        <v>2819</v>
      </c>
      <c r="B1515" t="s">
        <v>16</v>
      </c>
      <c r="C1515" s="1">
        <v>45689</v>
      </c>
      <c r="D1515" s="2">
        <f>YEAR(Table1[[#This Row],[PurchaseDate]])</f>
        <v>2025</v>
      </c>
      <c r="E1515" s="2" t="str">
        <f>"Q"&amp;ROUNDUP(MONTH(Table1[[#This Row],[PurchaseDate]])/3,0)</f>
        <v>Q1</v>
      </c>
      <c r="F1515" s="2">
        <f>MONTH(Table1[[#This Row],[PurchaseDate]])</f>
        <v>2</v>
      </c>
      <c r="G1515" s="2" t="str">
        <f>TEXT(Table1[[#This Row],[PurchaseDate]],"MMM")</f>
        <v>Feb</v>
      </c>
      <c r="H1515">
        <v>2</v>
      </c>
      <c r="I1515">
        <v>13.51</v>
      </c>
      <c r="J1515" t="s">
        <v>2820</v>
      </c>
      <c r="K1515" t="s">
        <v>38</v>
      </c>
      <c r="L1515" t="s">
        <v>19</v>
      </c>
      <c r="M1515">
        <v>5</v>
      </c>
      <c r="N1515">
        <v>27.02</v>
      </c>
    </row>
    <row r="1516" spans="1:14" x14ac:dyDescent="0.3">
      <c r="A1516" t="s">
        <v>2821</v>
      </c>
      <c r="B1516" t="s">
        <v>42</v>
      </c>
      <c r="C1516" s="1">
        <v>45701</v>
      </c>
      <c r="D1516" s="2">
        <f>YEAR(Table1[[#This Row],[PurchaseDate]])</f>
        <v>2025</v>
      </c>
      <c r="E1516" s="2" t="str">
        <f>"Q"&amp;ROUNDUP(MONTH(Table1[[#This Row],[PurchaseDate]])/3,0)</f>
        <v>Q1</v>
      </c>
      <c r="F1516" s="2">
        <f>MONTH(Table1[[#This Row],[PurchaseDate]])</f>
        <v>2</v>
      </c>
      <c r="G1516" s="2" t="str">
        <f>TEXT(Table1[[#This Row],[PurchaseDate]],"MMM")</f>
        <v>Feb</v>
      </c>
      <c r="H1516">
        <v>4</v>
      </c>
      <c r="I1516">
        <v>548.59</v>
      </c>
      <c r="J1516" t="s">
        <v>2822</v>
      </c>
      <c r="K1516" t="s">
        <v>38</v>
      </c>
      <c r="L1516" t="s">
        <v>14</v>
      </c>
      <c r="M1516">
        <v>3</v>
      </c>
      <c r="N1516">
        <v>2194.36</v>
      </c>
    </row>
    <row r="1517" spans="1:14" x14ac:dyDescent="0.3">
      <c r="A1517" t="s">
        <v>2823</v>
      </c>
      <c r="B1517" t="s">
        <v>16</v>
      </c>
      <c r="C1517" s="1">
        <v>45599</v>
      </c>
      <c r="D1517" s="2">
        <f>YEAR(Table1[[#This Row],[PurchaseDate]])</f>
        <v>2024</v>
      </c>
      <c r="E1517" s="2" t="str">
        <f>"Q"&amp;ROUNDUP(MONTH(Table1[[#This Row],[PurchaseDate]])/3,0)</f>
        <v>Q4</v>
      </c>
      <c r="F1517" s="2">
        <f>MONTH(Table1[[#This Row],[PurchaseDate]])</f>
        <v>11</v>
      </c>
      <c r="G1517" s="2" t="str">
        <f>TEXT(Table1[[#This Row],[PurchaseDate]],"MMM")</f>
        <v>Nov</v>
      </c>
      <c r="H1517">
        <v>5</v>
      </c>
      <c r="I1517">
        <v>173.25</v>
      </c>
      <c r="J1517" t="s">
        <v>2824</v>
      </c>
      <c r="K1517" t="s">
        <v>18</v>
      </c>
      <c r="L1517" t="s">
        <v>14</v>
      </c>
      <c r="M1517">
        <v>3</v>
      </c>
      <c r="N1517">
        <v>866.25</v>
      </c>
    </row>
    <row r="1518" spans="1:14" x14ac:dyDescent="0.3">
      <c r="A1518" t="s">
        <v>2825</v>
      </c>
      <c r="B1518" t="s">
        <v>16</v>
      </c>
      <c r="C1518" s="1">
        <v>45458</v>
      </c>
      <c r="D1518" s="2">
        <f>YEAR(Table1[[#This Row],[PurchaseDate]])</f>
        <v>2024</v>
      </c>
      <c r="E1518" s="2" t="str">
        <f>"Q"&amp;ROUNDUP(MONTH(Table1[[#This Row],[PurchaseDate]])/3,0)</f>
        <v>Q2</v>
      </c>
      <c r="F1518" s="2">
        <f>MONTH(Table1[[#This Row],[PurchaseDate]])</f>
        <v>6</v>
      </c>
      <c r="G1518" s="2" t="str">
        <f>TEXT(Table1[[#This Row],[PurchaseDate]],"MMM")</f>
        <v>Jun</v>
      </c>
      <c r="H1518">
        <v>2</v>
      </c>
      <c r="I1518">
        <v>456.19</v>
      </c>
      <c r="J1518" t="s">
        <v>2826</v>
      </c>
      <c r="K1518" t="s">
        <v>18</v>
      </c>
      <c r="L1518" t="s">
        <v>27</v>
      </c>
      <c r="M1518">
        <v>5</v>
      </c>
      <c r="N1518">
        <v>912.38</v>
      </c>
    </row>
    <row r="1519" spans="1:14" x14ac:dyDescent="0.3">
      <c r="A1519" t="s">
        <v>1207</v>
      </c>
      <c r="B1519" t="s">
        <v>25</v>
      </c>
      <c r="C1519" s="1">
        <v>45282</v>
      </c>
      <c r="D1519" s="2">
        <f>YEAR(Table1[[#This Row],[PurchaseDate]])</f>
        <v>2023</v>
      </c>
      <c r="E1519" s="2" t="str">
        <f>"Q"&amp;ROUNDUP(MONTH(Table1[[#This Row],[PurchaseDate]])/3,0)</f>
        <v>Q4</v>
      </c>
      <c r="F1519" s="2">
        <f>MONTH(Table1[[#This Row],[PurchaseDate]])</f>
        <v>12</v>
      </c>
      <c r="G1519" s="2" t="str">
        <f>TEXT(Table1[[#This Row],[PurchaseDate]],"MMM")</f>
        <v>Dec</v>
      </c>
      <c r="H1519">
        <v>7</v>
      </c>
      <c r="I1519">
        <v>701.13</v>
      </c>
      <c r="J1519" t="s">
        <v>1208</v>
      </c>
      <c r="K1519" t="s">
        <v>13</v>
      </c>
      <c r="L1519" t="s">
        <v>14</v>
      </c>
      <c r="M1519">
        <v>3</v>
      </c>
      <c r="N1519">
        <v>4907.91</v>
      </c>
    </row>
    <row r="1520" spans="1:14" x14ac:dyDescent="0.3">
      <c r="A1520" t="s">
        <v>2827</v>
      </c>
      <c r="B1520" t="s">
        <v>25</v>
      </c>
      <c r="C1520" s="1">
        <v>45090</v>
      </c>
      <c r="D1520" s="2">
        <f>YEAR(Table1[[#This Row],[PurchaseDate]])</f>
        <v>2023</v>
      </c>
      <c r="E1520" s="2" t="str">
        <f>"Q"&amp;ROUNDUP(MONTH(Table1[[#This Row],[PurchaseDate]])/3,0)</f>
        <v>Q2</v>
      </c>
      <c r="F1520" s="2">
        <f>MONTH(Table1[[#This Row],[PurchaseDate]])</f>
        <v>6</v>
      </c>
      <c r="G1520" s="2" t="str">
        <f>TEXT(Table1[[#This Row],[PurchaseDate]],"MMM")</f>
        <v>Jun</v>
      </c>
      <c r="H1520">
        <v>3</v>
      </c>
      <c r="I1520">
        <v>786.46</v>
      </c>
      <c r="J1520" t="s">
        <v>2828</v>
      </c>
      <c r="K1520" t="s">
        <v>18</v>
      </c>
      <c r="L1520" t="s">
        <v>14</v>
      </c>
      <c r="M1520">
        <v>3</v>
      </c>
      <c r="N1520">
        <v>2359.38</v>
      </c>
    </row>
    <row r="1521" spans="1:14" x14ac:dyDescent="0.3">
      <c r="A1521" t="s">
        <v>2829</v>
      </c>
      <c r="B1521" t="s">
        <v>34</v>
      </c>
      <c r="C1521" s="1">
        <v>45180</v>
      </c>
      <c r="D1521" s="2">
        <f>YEAR(Table1[[#This Row],[PurchaseDate]])</f>
        <v>2023</v>
      </c>
      <c r="E1521" s="2" t="str">
        <f>"Q"&amp;ROUNDUP(MONTH(Table1[[#This Row],[PurchaseDate]])/3,0)</f>
        <v>Q3</v>
      </c>
      <c r="F1521" s="2">
        <f>MONTH(Table1[[#This Row],[PurchaseDate]])</f>
        <v>9</v>
      </c>
      <c r="G1521" s="2" t="str">
        <f>TEXT(Table1[[#This Row],[PurchaseDate]],"MMM")</f>
        <v>Sep</v>
      </c>
      <c r="H1521">
        <v>7</v>
      </c>
      <c r="I1521">
        <v>693.17</v>
      </c>
      <c r="J1521" t="s">
        <v>2830</v>
      </c>
      <c r="K1521" t="s">
        <v>38</v>
      </c>
      <c r="L1521" t="s">
        <v>23</v>
      </c>
      <c r="M1521">
        <v>5</v>
      </c>
      <c r="N1521">
        <v>4852.1899999999996</v>
      </c>
    </row>
    <row r="1522" spans="1:14" x14ac:dyDescent="0.3">
      <c r="A1522" t="s">
        <v>2831</v>
      </c>
      <c r="B1522" t="s">
        <v>11</v>
      </c>
      <c r="C1522" s="1">
        <v>45081</v>
      </c>
      <c r="D1522" s="2">
        <f>YEAR(Table1[[#This Row],[PurchaseDate]])</f>
        <v>2023</v>
      </c>
      <c r="E1522" s="2" t="str">
        <f>"Q"&amp;ROUNDUP(MONTH(Table1[[#This Row],[PurchaseDate]])/3,0)</f>
        <v>Q2</v>
      </c>
      <c r="F1522" s="2">
        <f>MONTH(Table1[[#This Row],[PurchaseDate]])</f>
        <v>6</v>
      </c>
      <c r="G1522" s="2" t="str">
        <f>TEXT(Table1[[#This Row],[PurchaseDate]],"MMM")</f>
        <v>Jun</v>
      </c>
      <c r="H1522">
        <v>8</v>
      </c>
      <c r="I1522">
        <v>661.37</v>
      </c>
      <c r="J1522" t="s">
        <v>2832</v>
      </c>
      <c r="K1522" t="s">
        <v>38</v>
      </c>
      <c r="L1522" t="s">
        <v>58</v>
      </c>
      <c r="M1522">
        <v>1</v>
      </c>
      <c r="N1522">
        <v>5290.96</v>
      </c>
    </row>
    <row r="1523" spans="1:14" x14ac:dyDescent="0.3">
      <c r="A1523" t="s">
        <v>2833</v>
      </c>
      <c r="B1523" t="s">
        <v>34</v>
      </c>
      <c r="C1523" s="1">
        <v>45110</v>
      </c>
      <c r="D1523" s="2">
        <f>YEAR(Table1[[#This Row],[PurchaseDate]])</f>
        <v>2023</v>
      </c>
      <c r="E1523" s="2" t="str">
        <f>"Q"&amp;ROUNDUP(MONTH(Table1[[#This Row],[PurchaseDate]])/3,0)</f>
        <v>Q3</v>
      </c>
      <c r="F1523" s="2">
        <f>MONTH(Table1[[#This Row],[PurchaseDate]])</f>
        <v>7</v>
      </c>
      <c r="G1523" s="2" t="str">
        <f>TEXT(Table1[[#This Row],[PurchaseDate]],"MMM")</f>
        <v>Jul</v>
      </c>
      <c r="H1523">
        <v>8</v>
      </c>
      <c r="I1523">
        <v>444.81</v>
      </c>
      <c r="J1523" t="s">
        <v>2834</v>
      </c>
      <c r="K1523" t="s">
        <v>13</v>
      </c>
      <c r="L1523" t="s">
        <v>19</v>
      </c>
      <c r="M1523">
        <v>1</v>
      </c>
      <c r="N1523">
        <v>3558.48</v>
      </c>
    </row>
    <row r="1524" spans="1:14" x14ac:dyDescent="0.3">
      <c r="A1524" t="s">
        <v>2835</v>
      </c>
      <c r="B1524" t="s">
        <v>21</v>
      </c>
      <c r="C1524" s="1">
        <v>44971</v>
      </c>
      <c r="D1524" s="2">
        <f>YEAR(Table1[[#This Row],[PurchaseDate]])</f>
        <v>2023</v>
      </c>
      <c r="E1524" s="2" t="str">
        <f>"Q"&amp;ROUNDUP(MONTH(Table1[[#This Row],[PurchaseDate]])/3,0)</f>
        <v>Q1</v>
      </c>
      <c r="F1524" s="2">
        <f>MONTH(Table1[[#This Row],[PurchaseDate]])</f>
        <v>2</v>
      </c>
      <c r="G1524" s="2" t="str">
        <f>TEXT(Table1[[#This Row],[PurchaseDate]],"MMM")</f>
        <v>Feb</v>
      </c>
      <c r="H1524">
        <v>6</v>
      </c>
      <c r="I1524">
        <v>372.68</v>
      </c>
      <c r="J1524" t="s">
        <v>2836</v>
      </c>
      <c r="K1524" t="s">
        <v>18</v>
      </c>
      <c r="L1524" t="s">
        <v>19</v>
      </c>
      <c r="M1524">
        <v>2</v>
      </c>
      <c r="N1524">
        <v>2236.08</v>
      </c>
    </row>
    <row r="1525" spans="1:14" x14ac:dyDescent="0.3">
      <c r="A1525" t="s">
        <v>2837</v>
      </c>
      <c r="B1525" t="s">
        <v>42</v>
      </c>
      <c r="C1525" s="1">
        <v>45296</v>
      </c>
      <c r="D1525" s="2">
        <f>YEAR(Table1[[#This Row],[PurchaseDate]])</f>
        <v>2024</v>
      </c>
      <c r="E1525" s="2" t="str">
        <f>"Q"&amp;ROUNDUP(MONTH(Table1[[#This Row],[PurchaseDate]])/3,0)</f>
        <v>Q1</v>
      </c>
      <c r="F1525" s="2">
        <f>MONTH(Table1[[#This Row],[PurchaseDate]])</f>
        <v>1</v>
      </c>
      <c r="G1525" s="2" t="str">
        <f>TEXT(Table1[[#This Row],[PurchaseDate]],"MMM")</f>
        <v>Jan</v>
      </c>
      <c r="H1525">
        <v>1</v>
      </c>
      <c r="I1525">
        <v>172.22</v>
      </c>
      <c r="J1525" t="s">
        <v>2838</v>
      </c>
      <c r="K1525" t="s">
        <v>18</v>
      </c>
      <c r="L1525" t="s">
        <v>58</v>
      </c>
      <c r="M1525">
        <v>1</v>
      </c>
      <c r="N1525">
        <v>172.22</v>
      </c>
    </row>
    <row r="1526" spans="1:14" x14ac:dyDescent="0.3">
      <c r="A1526" t="s">
        <v>2839</v>
      </c>
      <c r="B1526" t="s">
        <v>21</v>
      </c>
      <c r="C1526" s="1">
        <v>45476</v>
      </c>
      <c r="D1526" s="2">
        <f>YEAR(Table1[[#This Row],[PurchaseDate]])</f>
        <v>2024</v>
      </c>
      <c r="E1526" s="2" t="str">
        <f>"Q"&amp;ROUNDUP(MONTH(Table1[[#This Row],[PurchaseDate]])/3,0)</f>
        <v>Q3</v>
      </c>
      <c r="F1526" s="2">
        <f>MONTH(Table1[[#This Row],[PurchaseDate]])</f>
        <v>7</v>
      </c>
      <c r="G1526" s="2" t="str">
        <f>TEXT(Table1[[#This Row],[PurchaseDate]],"MMM")</f>
        <v>Jul</v>
      </c>
      <c r="H1526">
        <v>2</v>
      </c>
      <c r="I1526">
        <v>238.52</v>
      </c>
      <c r="J1526" t="s">
        <v>2840</v>
      </c>
      <c r="K1526" t="s">
        <v>18</v>
      </c>
      <c r="L1526" t="s">
        <v>27</v>
      </c>
      <c r="M1526">
        <v>1</v>
      </c>
      <c r="N1526">
        <v>477.04</v>
      </c>
    </row>
    <row r="1527" spans="1:14" x14ac:dyDescent="0.3">
      <c r="A1527" t="s">
        <v>2841</v>
      </c>
      <c r="B1527" t="s">
        <v>16</v>
      </c>
      <c r="C1527" s="1">
        <v>45046</v>
      </c>
      <c r="D1527" s="2">
        <f>YEAR(Table1[[#This Row],[PurchaseDate]])</f>
        <v>2023</v>
      </c>
      <c r="E1527" s="2" t="str">
        <f>"Q"&amp;ROUNDUP(MONTH(Table1[[#This Row],[PurchaseDate]])/3,0)</f>
        <v>Q2</v>
      </c>
      <c r="F1527" s="2">
        <f>MONTH(Table1[[#This Row],[PurchaseDate]])</f>
        <v>4</v>
      </c>
      <c r="G1527" s="2" t="str">
        <f>TEXT(Table1[[#This Row],[PurchaseDate]],"MMM")</f>
        <v>Apr</v>
      </c>
      <c r="H1527">
        <v>1</v>
      </c>
      <c r="I1527">
        <v>784.11</v>
      </c>
      <c r="J1527" t="s">
        <v>2842</v>
      </c>
      <c r="K1527" t="s">
        <v>18</v>
      </c>
      <c r="L1527" t="s">
        <v>19</v>
      </c>
      <c r="M1527">
        <v>2</v>
      </c>
      <c r="N1527">
        <v>784.11</v>
      </c>
    </row>
    <row r="1528" spans="1:14" x14ac:dyDescent="0.3">
      <c r="A1528" t="s">
        <v>1269</v>
      </c>
      <c r="B1528" t="s">
        <v>11</v>
      </c>
      <c r="C1528" s="1">
        <v>45664</v>
      </c>
      <c r="D1528" s="2">
        <f>YEAR(Table1[[#This Row],[PurchaseDate]])</f>
        <v>2025</v>
      </c>
      <c r="E1528" s="2" t="str">
        <f>"Q"&amp;ROUNDUP(MONTH(Table1[[#This Row],[PurchaseDate]])/3,0)</f>
        <v>Q1</v>
      </c>
      <c r="F1528" s="2">
        <f>MONTH(Table1[[#This Row],[PurchaseDate]])</f>
        <v>1</v>
      </c>
      <c r="G1528" s="2" t="str">
        <f>TEXT(Table1[[#This Row],[PurchaseDate]],"MMM")</f>
        <v>Jan</v>
      </c>
      <c r="H1528">
        <v>7</v>
      </c>
      <c r="I1528">
        <v>111.51</v>
      </c>
      <c r="J1528" t="s">
        <v>1270</v>
      </c>
      <c r="K1528" t="s">
        <v>13</v>
      </c>
      <c r="L1528" t="s">
        <v>27</v>
      </c>
      <c r="M1528">
        <v>2</v>
      </c>
      <c r="N1528">
        <v>780.57</v>
      </c>
    </row>
    <row r="1529" spans="1:14" x14ac:dyDescent="0.3">
      <c r="A1529" t="s">
        <v>2843</v>
      </c>
      <c r="B1529" t="s">
        <v>34</v>
      </c>
      <c r="C1529" s="1">
        <v>45302</v>
      </c>
      <c r="D1529" s="2">
        <f>YEAR(Table1[[#This Row],[PurchaseDate]])</f>
        <v>2024</v>
      </c>
      <c r="E1529" s="2" t="str">
        <f>"Q"&amp;ROUNDUP(MONTH(Table1[[#This Row],[PurchaseDate]])/3,0)</f>
        <v>Q1</v>
      </c>
      <c r="F1529" s="2">
        <f>MONTH(Table1[[#This Row],[PurchaseDate]])</f>
        <v>1</v>
      </c>
      <c r="G1529" s="2" t="str">
        <f>TEXT(Table1[[#This Row],[PurchaseDate]],"MMM")</f>
        <v>Jan</v>
      </c>
      <c r="H1529">
        <v>1</v>
      </c>
      <c r="I1529">
        <v>347.91</v>
      </c>
      <c r="J1529" t="s">
        <v>2844</v>
      </c>
      <c r="K1529" t="s">
        <v>38</v>
      </c>
      <c r="L1529" t="s">
        <v>19</v>
      </c>
      <c r="M1529">
        <v>2</v>
      </c>
      <c r="N1529">
        <v>347.91</v>
      </c>
    </row>
    <row r="1530" spans="1:14" x14ac:dyDescent="0.3">
      <c r="A1530" t="s">
        <v>2845</v>
      </c>
      <c r="B1530" t="s">
        <v>11</v>
      </c>
      <c r="C1530" s="1">
        <v>45531</v>
      </c>
      <c r="D1530" s="2">
        <f>YEAR(Table1[[#This Row],[PurchaseDate]])</f>
        <v>2024</v>
      </c>
      <c r="E1530" s="2" t="str">
        <f>"Q"&amp;ROUNDUP(MONTH(Table1[[#This Row],[PurchaseDate]])/3,0)</f>
        <v>Q3</v>
      </c>
      <c r="F1530" s="2">
        <f>MONTH(Table1[[#This Row],[PurchaseDate]])</f>
        <v>8</v>
      </c>
      <c r="G1530" s="2" t="str">
        <f>TEXT(Table1[[#This Row],[PurchaseDate]],"MMM")</f>
        <v>Aug</v>
      </c>
      <c r="H1530">
        <v>6</v>
      </c>
      <c r="I1530">
        <v>793.19</v>
      </c>
      <c r="J1530" t="s">
        <v>2846</v>
      </c>
      <c r="K1530" t="s">
        <v>13</v>
      </c>
      <c r="L1530" t="s">
        <v>19</v>
      </c>
      <c r="M1530">
        <v>1</v>
      </c>
      <c r="N1530">
        <v>4759.1400000000003</v>
      </c>
    </row>
    <row r="1531" spans="1:14" x14ac:dyDescent="0.3">
      <c r="A1531" t="s">
        <v>2847</v>
      </c>
      <c r="B1531" t="s">
        <v>29</v>
      </c>
      <c r="C1531" s="1">
        <v>45791</v>
      </c>
      <c r="D1531" s="2">
        <f>YEAR(Table1[[#This Row],[PurchaseDate]])</f>
        <v>2025</v>
      </c>
      <c r="E1531" s="2" t="str">
        <f>"Q"&amp;ROUNDUP(MONTH(Table1[[#This Row],[PurchaseDate]])/3,0)</f>
        <v>Q2</v>
      </c>
      <c r="F1531" s="2">
        <f>MONTH(Table1[[#This Row],[PurchaseDate]])</f>
        <v>5</v>
      </c>
      <c r="G1531" s="2" t="str">
        <f>TEXT(Table1[[#This Row],[PurchaseDate]],"MMM")</f>
        <v>May</v>
      </c>
      <c r="H1531">
        <v>4</v>
      </c>
      <c r="I1531">
        <v>271.45</v>
      </c>
      <c r="J1531" t="s">
        <v>2848</v>
      </c>
      <c r="K1531" t="s">
        <v>18</v>
      </c>
      <c r="L1531" t="s">
        <v>19</v>
      </c>
      <c r="M1531">
        <v>4</v>
      </c>
      <c r="N1531">
        <v>1085.8</v>
      </c>
    </row>
    <row r="1532" spans="1:14" x14ac:dyDescent="0.3">
      <c r="A1532" t="s">
        <v>2849</v>
      </c>
      <c r="B1532" t="s">
        <v>42</v>
      </c>
      <c r="C1532" s="1">
        <v>45294</v>
      </c>
      <c r="D1532" s="2">
        <f>YEAR(Table1[[#This Row],[PurchaseDate]])</f>
        <v>2024</v>
      </c>
      <c r="E1532" s="2" t="str">
        <f>"Q"&amp;ROUNDUP(MONTH(Table1[[#This Row],[PurchaseDate]])/3,0)</f>
        <v>Q1</v>
      </c>
      <c r="F1532" s="2">
        <f>MONTH(Table1[[#This Row],[PurchaseDate]])</f>
        <v>1</v>
      </c>
      <c r="G1532" s="2" t="str">
        <f>TEXT(Table1[[#This Row],[PurchaseDate]],"MMM")</f>
        <v>Jan</v>
      </c>
      <c r="H1532">
        <v>7</v>
      </c>
      <c r="I1532">
        <v>747.04</v>
      </c>
      <c r="J1532" t="s">
        <v>2850</v>
      </c>
      <c r="K1532" t="s">
        <v>18</v>
      </c>
      <c r="L1532" t="s">
        <v>27</v>
      </c>
      <c r="M1532">
        <v>4</v>
      </c>
      <c r="N1532">
        <v>5229.28</v>
      </c>
    </row>
    <row r="1533" spans="1:14" x14ac:dyDescent="0.3">
      <c r="A1533" t="s">
        <v>2851</v>
      </c>
      <c r="B1533" t="s">
        <v>29</v>
      </c>
      <c r="C1533" s="1">
        <v>45825</v>
      </c>
      <c r="D1533" s="2">
        <f>YEAR(Table1[[#This Row],[PurchaseDate]])</f>
        <v>2025</v>
      </c>
      <c r="E1533" s="2" t="str">
        <f>"Q"&amp;ROUNDUP(MONTH(Table1[[#This Row],[PurchaseDate]])/3,0)</f>
        <v>Q2</v>
      </c>
      <c r="F1533" s="2">
        <f>MONTH(Table1[[#This Row],[PurchaseDate]])</f>
        <v>6</v>
      </c>
      <c r="G1533" s="2" t="str">
        <f>TEXT(Table1[[#This Row],[PurchaseDate]],"MMM")</f>
        <v>Jun</v>
      </c>
      <c r="H1533">
        <v>6</v>
      </c>
      <c r="I1533">
        <v>250.37</v>
      </c>
      <c r="J1533" t="s">
        <v>2852</v>
      </c>
      <c r="K1533" t="s">
        <v>13</v>
      </c>
      <c r="L1533" t="s">
        <v>27</v>
      </c>
      <c r="M1533">
        <v>5</v>
      </c>
      <c r="N1533">
        <v>1502.22</v>
      </c>
    </row>
    <row r="1534" spans="1:14" x14ac:dyDescent="0.3">
      <c r="A1534" t="s">
        <v>2853</v>
      </c>
      <c r="B1534" t="s">
        <v>29</v>
      </c>
      <c r="C1534" s="1">
        <v>45656</v>
      </c>
      <c r="D1534" s="2">
        <f>YEAR(Table1[[#This Row],[PurchaseDate]])</f>
        <v>2024</v>
      </c>
      <c r="E1534" s="2" t="str">
        <f>"Q"&amp;ROUNDUP(MONTH(Table1[[#This Row],[PurchaseDate]])/3,0)</f>
        <v>Q4</v>
      </c>
      <c r="F1534" s="2">
        <f>MONTH(Table1[[#This Row],[PurchaseDate]])</f>
        <v>12</v>
      </c>
      <c r="G1534" s="2" t="str">
        <f>TEXT(Table1[[#This Row],[PurchaseDate]],"MMM")</f>
        <v>Dec</v>
      </c>
      <c r="H1534">
        <v>1</v>
      </c>
      <c r="I1534">
        <v>585.36</v>
      </c>
      <c r="J1534" t="s">
        <v>2854</v>
      </c>
      <c r="K1534" t="s">
        <v>18</v>
      </c>
      <c r="L1534" t="s">
        <v>58</v>
      </c>
      <c r="M1534">
        <v>3</v>
      </c>
      <c r="N1534">
        <v>585.36</v>
      </c>
    </row>
    <row r="1535" spans="1:14" x14ac:dyDescent="0.3">
      <c r="A1535" t="s">
        <v>2855</v>
      </c>
      <c r="B1535" t="s">
        <v>25</v>
      </c>
      <c r="C1535" s="1">
        <v>45414</v>
      </c>
      <c r="D1535" s="2">
        <f>YEAR(Table1[[#This Row],[PurchaseDate]])</f>
        <v>2024</v>
      </c>
      <c r="E1535" s="2" t="str">
        <f>"Q"&amp;ROUNDUP(MONTH(Table1[[#This Row],[PurchaseDate]])/3,0)</f>
        <v>Q2</v>
      </c>
      <c r="F1535" s="2">
        <f>MONTH(Table1[[#This Row],[PurchaseDate]])</f>
        <v>5</v>
      </c>
      <c r="G1535" s="2" t="str">
        <f>TEXT(Table1[[#This Row],[PurchaseDate]],"MMM")</f>
        <v>May</v>
      </c>
      <c r="H1535">
        <v>5</v>
      </c>
      <c r="I1535">
        <v>259.77</v>
      </c>
      <c r="J1535" t="s">
        <v>2856</v>
      </c>
      <c r="K1535" t="s">
        <v>13</v>
      </c>
      <c r="L1535" t="s">
        <v>19</v>
      </c>
      <c r="M1535">
        <v>1</v>
      </c>
      <c r="N1535">
        <v>1298.8499999999999</v>
      </c>
    </row>
    <row r="1536" spans="1:14" x14ac:dyDescent="0.3">
      <c r="A1536" t="s">
        <v>2857</v>
      </c>
      <c r="B1536" t="s">
        <v>29</v>
      </c>
      <c r="C1536" s="1">
        <v>45506</v>
      </c>
      <c r="D1536" s="2">
        <f>YEAR(Table1[[#This Row],[PurchaseDate]])</f>
        <v>2024</v>
      </c>
      <c r="E1536" s="2" t="str">
        <f>"Q"&amp;ROUNDUP(MONTH(Table1[[#This Row],[PurchaseDate]])/3,0)</f>
        <v>Q3</v>
      </c>
      <c r="F1536" s="2">
        <f>MONTH(Table1[[#This Row],[PurchaseDate]])</f>
        <v>8</v>
      </c>
      <c r="G1536" s="2" t="str">
        <f>TEXT(Table1[[#This Row],[PurchaseDate]],"MMM")</f>
        <v>Aug</v>
      </c>
      <c r="H1536">
        <v>5</v>
      </c>
      <c r="I1536">
        <v>648.76</v>
      </c>
      <c r="J1536" t="s">
        <v>2858</v>
      </c>
      <c r="K1536" t="s">
        <v>18</v>
      </c>
      <c r="L1536" t="s">
        <v>27</v>
      </c>
      <c r="M1536">
        <v>3</v>
      </c>
      <c r="N1536">
        <v>3243.8</v>
      </c>
    </row>
    <row r="1537" spans="1:14" x14ac:dyDescent="0.3">
      <c r="A1537" t="s">
        <v>2859</v>
      </c>
      <c r="B1537" t="s">
        <v>42</v>
      </c>
      <c r="C1537" s="1">
        <v>45026</v>
      </c>
      <c r="D1537" s="2">
        <f>YEAR(Table1[[#This Row],[PurchaseDate]])</f>
        <v>2023</v>
      </c>
      <c r="E1537" s="2" t="str">
        <f>"Q"&amp;ROUNDUP(MONTH(Table1[[#This Row],[PurchaseDate]])/3,0)</f>
        <v>Q2</v>
      </c>
      <c r="F1537" s="2">
        <f>MONTH(Table1[[#This Row],[PurchaseDate]])</f>
        <v>4</v>
      </c>
      <c r="G1537" s="2" t="str">
        <f>TEXT(Table1[[#This Row],[PurchaseDate]],"MMM")</f>
        <v>Apr</v>
      </c>
      <c r="H1537">
        <v>1</v>
      </c>
      <c r="I1537">
        <v>770.68</v>
      </c>
      <c r="J1537" t="s">
        <v>2860</v>
      </c>
      <c r="K1537" t="s">
        <v>38</v>
      </c>
      <c r="L1537" t="s">
        <v>27</v>
      </c>
      <c r="M1537">
        <v>2</v>
      </c>
      <c r="N1537">
        <v>770.68</v>
      </c>
    </row>
    <row r="1538" spans="1:14" x14ac:dyDescent="0.3">
      <c r="A1538" t="s">
        <v>2861</v>
      </c>
      <c r="B1538" t="s">
        <v>25</v>
      </c>
      <c r="C1538" s="1">
        <v>45172</v>
      </c>
      <c r="D1538" s="2">
        <f>YEAR(Table1[[#This Row],[PurchaseDate]])</f>
        <v>2023</v>
      </c>
      <c r="E1538" s="2" t="str">
        <f>"Q"&amp;ROUNDUP(MONTH(Table1[[#This Row],[PurchaseDate]])/3,0)</f>
        <v>Q3</v>
      </c>
      <c r="F1538" s="2">
        <f>MONTH(Table1[[#This Row],[PurchaseDate]])</f>
        <v>9</v>
      </c>
      <c r="G1538" s="2" t="str">
        <f>TEXT(Table1[[#This Row],[PurchaseDate]],"MMM")</f>
        <v>Sep</v>
      </c>
      <c r="H1538">
        <v>7</v>
      </c>
      <c r="I1538">
        <v>510.71</v>
      </c>
      <c r="J1538" t="s">
        <v>2862</v>
      </c>
      <c r="K1538" t="s">
        <v>13</v>
      </c>
      <c r="L1538" t="s">
        <v>14</v>
      </c>
      <c r="M1538">
        <v>1</v>
      </c>
      <c r="N1538">
        <v>3574.97</v>
      </c>
    </row>
    <row r="1539" spans="1:14" x14ac:dyDescent="0.3">
      <c r="A1539" t="s">
        <v>1351</v>
      </c>
      <c r="B1539" t="s">
        <v>29</v>
      </c>
      <c r="C1539" s="1">
        <v>45543</v>
      </c>
      <c r="D1539" s="2">
        <f>YEAR(Table1[[#This Row],[PurchaseDate]])</f>
        <v>2024</v>
      </c>
      <c r="E1539" s="2" t="str">
        <f>"Q"&amp;ROUNDUP(MONTH(Table1[[#This Row],[PurchaseDate]])/3,0)</f>
        <v>Q3</v>
      </c>
      <c r="F1539" s="2">
        <f>MONTH(Table1[[#This Row],[PurchaseDate]])</f>
        <v>9</v>
      </c>
      <c r="G1539" s="2" t="str">
        <f>TEXT(Table1[[#This Row],[PurchaseDate]],"MMM")</f>
        <v>Sep</v>
      </c>
      <c r="H1539">
        <v>1</v>
      </c>
      <c r="I1539">
        <v>64.81</v>
      </c>
      <c r="J1539" t="s">
        <v>1352</v>
      </c>
      <c r="K1539" t="s">
        <v>18</v>
      </c>
      <c r="L1539" t="s">
        <v>23</v>
      </c>
      <c r="M1539">
        <v>2</v>
      </c>
      <c r="N1539">
        <v>64.81</v>
      </c>
    </row>
    <row r="1540" spans="1:14" x14ac:dyDescent="0.3">
      <c r="A1540" t="s">
        <v>2863</v>
      </c>
      <c r="B1540" t="s">
        <v>16</v>
      </c>
      <c r="C1540" s="1">
        <v>45235</v>
      </c>
      <c r="D1540" s="2">
        <f>YEAR(Table1[[#This Row],[PurchaseDate]])</f>
        <v>2023</v>
      </c>
      <c r="E1540" s="2" t="str">
        <f>"Q"&amp;ROUNDUP(MONTH(Table1[[#This Row],[PurchaseDate]])/3,0)</f>
        <v>Q4</v>
      </c>
      <c r="F1540" s="2">
        <f>MONTH(Table1[[#This Row],[PurchaseDate]])</f>
        <v>11</v>
      </c>
      <c r="G1540" s="2" t="str">
        <f>TEXT(Table1[[#This Row],[PurchaseDate]],"MMM")</f>
        <v>Nov</v>
      </c>
      <c r="H1540">
        <v>2</v>
      </c>
      <c r="I1540">
        <v>655.12</v>
      </c>
      <c r="J1540" t="s">
        <v>2864</v>
      </c>
      <c r="K1540" t="s">
        <v>38</v>
      </c>
      <c r="L1540" t="s">
        <v>27</v>
      </c>
      <c r="M1540">
        <v>3</v>
      </c>
      <c r="N1540">
        <v>1310.24</v>
      </c>
    </row>
    <row r="1541" spans="1:14" x14ac:dyDescent="0.3">
      <c r="A1541" t="s">
        <v>2865</v>
      </c>
      <c r="B1541" t="s">
        <v>42</v>
      </c>
      <c r="C1541" s="1">
        <v>45415</v>
      </c>
      <c r="D1541" s="2">
        <f>YEAR(Table1[[#This Row],[PurchaseDate]])</f>
        <v>2024</v>
      </c>
      <c r="E1541" s="2" t="str">
        <f>"Q"&amp;ROUNDUP(MONTH(Table1[[#This Row],[PurchaseDate]])/3,0)</f>
        <v>Q2</v>
      </c>
      <c r="F1541" s="2">
        <f>MONTH(Table1[[#This Row],[PurchaseDate]])</f>
        <v>5</v>
      </c>
      <c r="G1541" s="2" t="str">
        <f>TEXT(Table1[[#This Row],[PurchaseDate]],"MMM")</f>
        <v>May</v>
      </c>
      <c r="H1541">
        <v>4</v>
      </c>
      <c r="I1541">
        <v>100.33</v>
      </c>
      <c r="J1541" t="s">
        <v>2866</v>
      </c>
      <c r="K1541" t="s">
        <v>38</v>
      </c>
      <c r="L1541" t="s">
        <v>27</v>
      </c>
      <c r="M1541">
        <v>5</v>
      </c>
      <c r="N1541">
        <v>401.32</v>
      </c>
    </row>
    <row r="1542" spans="1:14" x14ac:dyDescent="0.3">
      <c r="A1542" t="s">
        <v>339</v>
      </c>
      <c r="B1542" t="s">
        <v>16</v>
      </c>
      <c r="C1542" s="1">
        <v>45358</v>
      </c>
      <c r="D1542" s="2">
        <f>YEAR(Table1[[#This Row],[PurchaseDate]])</f>
        <v>2024</v>
      </c>
      <c r="E1542" s="2" t="str">
        <f>"Q"&amp;ROUNDUP(MONTH(Table1[[#This Row],[PurchaseDate]])/3,0)</f>
        <v>Q1</v>
      </c>
      <c r="F1542" s="2">
        <f>MONTH(Table1[[#This Row],[PurchaseDate]])</f>
        <v>3</v>
      </c>
      <c r="G1542" s="2" t="str">
        <f>TEXT(Table1[[#This Row],[PurchaseDate]],"MMM")</f>
        <v>Mar</v>
      </c>
      <c r="H1542">
        <v>6</v>
      </c>
      <c r="I1542">
        <v>216.18</v>
      </c>
      <c r="J1542" t="s">
        <v>340</v>
      </c>
      <c r="K1542" t="s">
        <v>38</v>
      </c>
      <c r="L1542" t="s">
        <v>19</v>
      </c>
      <c r="M1542">
        <v>1</v>
      </c>
      <c r="N1542">
        <v>1297.08</v>
      </c>
    </row>
    <row r="1543" spans="1:14" x14ac:dyDescent="0.3">
      <c r="A1543" t="s">
        <v>2867</v>
      </c>
      <c r="B1543" t="s">
        <v>16</v>
      </c>
      <c r="C1543" s="1">
        <v>45553</v>
      </c>
      <c r="D1543" s="2">
        <f>YEAR(Table1[[#This Row],[PurchaseDate]])</f>
        <v>2024</v>
      </c>
      <c r="E1543" s="2" t="str">
        <f>"Q"&amp;ROUNDUP(MONTH(Table1[[#This Row],[PurchaseDate]])/3,0)</f>
        <v>Q3</v>
      </c>
      <c r="F1543" s="2">
        <f>MONTH(Table1[[#This Row],[PurchaseDate]])</f>
        <v>9</v>
      </c>
      <c r="G1543" s="2" t="str">
        <f>TEXT(Table1[[#This Row],[PurchaseDate]],"MMM")</f>
        <v>Sep</v>
      </c>
      <c r="H1543">
        <v>7</v>
      </c>
      <c r="I1543">
        <v>416.11</v>
      </c>
      <c r="J1543" t="s">
        <v>2868</v>
      </c>
      <c r="K1543" t="s">
        <v>38</v>
      </c>
      <c r="L1543" t="s">
        <v>14</v>
      </c>
      <c r="M1543">
        <v>5</v>
      </c>
      <c r="N1543">
        <v>2912.77</v>
      </c>
    </row>
    <row r="1544" spans="1:14" x14ac:dyDescent="0.3">
      <c r="A1544" t="s">
        <v>229</v>
      </c>
      <c r="B1544" t="s">
        <v>42</v>
      </c>
      <c r="C1544" s="1">
        <v>45148</v>
      </c>
      <c r="D1544" s="2">
        <f>YEAR(Table1[[#This Row],[PurchaseDate]])</f>
        <v>2023</v>
      </c>
      <c r="E1544" s="2" t="str">
        <f>"Q"&amp;ROUNDUP(MONTH(Table1[[#This Row],[PurchaseDate]])/3,0)</f>
        <v>Q3</v>
      </c>
      <c r="F1544" s="2">
        <f>MONTH(Table1[[#This Row],[PurchaseDate]])</f>
        <v>8</v>
      </c>
      <c r="G1544" s="2" t="str">
        <f>TEXT(Table1[[#This Row],[PurchaseDate]],"MMM")</f>
        <v>Aug</v>
      </c>
      <c r="H1544">
        <v>2</v>
      </c>
      <c r="I1544">
        <v>412.62</v>
      </c>
      <c r="J1544" t="s">
        <v>230</v>
      </c>
      <c r="K1544" t="s">
        <v>13</v>
      </c>
      <c r="L1544" t="s">
        <v>23</v>
      </c>
      <c r="M1544">
        <v>3</v>
      </c>
      <c r="N1544">
        <v>825.24</v>
      </c>
    </row>
    <row r="1545" spans="1:14" x14ac:dyDescent="0.3">
      <c r="A1545" t="s">
        <v>2869</v>
      </c>
      <c r="B1545" t="s">
        <v>25</v>
      </c>
      <c r="C1545" s="1">
        <v>45012</v>
      </c>
      <c r="D1545" s="2">
        <f>YEAR(Table1[[#This Row],[PurchaseDate]])</f>
        <v>2023</v>
      </c>
      <c r="E1545" s="2" t="str">
        <f>"Q"&amp;ROUNDUP(MONTH(Table1[[#This Row],[PurchaseDate]])/3,0)</f>
        <v>Q1</v>
      </c>
      <c r="F1545" s="2">
        <f>MONTH(Table1[[#This Row],[PurchaseDate]])</f>
        <v>3</v>
      </c>
      <c r="G1545" s="2" t="str">
        <f>TEXT(Table1[[#This Row],[PurchaseDate]],"MMM")</f>
        <v>Mar</v>
      </c>
      <c r="H1545">
        <v>5</v>
      </c>
      <c r="I1545">
        <v>453.66</v>
      </c>
      <c r="J1545" t="s">
        <v>2870</v>
      </c>
      <c r="K1545" t="s">
        <v>38</v>
      </c>
      <c r="L1545" t="s">
        <v>58</v>
      </c>
      <c r="M1545">
        <v>4</v>
      </c>
      <c r="N1545">
        <v>2268.3000000000002</v>
      </c>
    </row>
    <row r="1546" spans="1:14" x14ac:dyDescent="0.3">
      <c r="A1546" t="s">
        <v>329</v>
      </c>
      <c r="B1546" t="s">
        <v>16</v>
      </c>
      <c r="C1546" s="1">
        <v>45405</v>
      </c>
      <c r="D1546" s="2">
        <f>YEAR(Table1[[#This Row],[PurchaseDate]])</f>
        <v>2024</v>
      </c>
      <c r="E1546" s="2" t="str">
        <f>"Q"&amp;ROUNDUP(MONTH(Table1[[#This Row],[PurchaseDate]])/3,0)</f>
        <v>Q2</v>
      </c>
      <c r="F1546" s="2">
        <f>MONTH(Table1[[#This Row],[PurchaseDate]])</f>
        <v>4</v>
      </c>
      <c r="G1546" s="2" t="str">
        <f>TEXT(Table1[[#This Row],[PurchaseDate]],"MMM")</f>
        <v>Apr</v>
      </c>
      <c r="H1546">
        <v>7</v>
      </c>
      <c r="I1546">
        <v>733.53</v>
      </c>
      <c r="J1546" t="s">
        <v>330</v>
      </c>
      <c r="K1546" t="s">
        <v>18</v>
      </c>
      <c r="L1546" t="s">
        <v>19</v>
      </c>
      <c r="M1546">
        <v>3</v>
      </c>
      <c r="N1546">
        <v>5134.71</v>
      </c>
    </row>
    <row r="1547" spans="1:14" x14ac:dyDescent="0.3">
      <c r="A1547" t="s">
        <v>2871</v>
      </c>
      <c r="B1547" t="s">
        <v>29</v>
      </c>
      <c r="C1547" s="1">
        <v>45053</v>
      </c>
      <c r="D1547" s="2">
        <f>YEAR(Table1[[#This Row],[PurchaseDate]])</f>
        <v>2023</v>
      </c>
      <c r="E1547" s="2" t="str">
        <f>"Q"&amp;ROUNDUP(MONTH(Table1[[#This Row],[PurchaseDate]])/3,0)</f>
        <v>Q2</v>
      </c>
      <c r="F1547" s="2">
        <f>MONTH(Table1[[#This Row],[PurchaseDate]])</f>
        <v>5</v>
      </c>
      <c r="G1547" s="2" t="str">
        <f>TEXT(Table1[[#This Row],[PurchaseDate]],"MMM")</f>
        <v>May</v>
      </c>
      <c r="H1547">
        <v>6</v>
      </c>
      <c r="I1547">
        <v>71.05</v>
      </c>
      <c r="J1547" t="s">
        <v>2872</v>
      </c>
      <c r="K1547" t="s">
        <v>13</v>
      </c>
      <c r="L1547" t="s">
        <v>19</v>
      </c>
      <c r="M1547">
        <v>4</v>
      </c>
      <c r="N1547">
        <v>426.3</v>
      </c>
    </row>
    <row r="1548" spans="1:14" x14ac:dyDescent="0.3">
      <c r="A1548" t="s">
        <v>1919</v>
      </c>
      <c r="B1548" t="s">
        <v>34</v>
      </c>
      <c r="C1548" s="1">
        <v>45749</v>
      </c>
      <c r="D1548" s="2">
        <f>YEAR(Table1[[#This Row],[PurchaseDate]])</f>
        <v>2025</v>
      </c>
      <c r="E1548" s="2" t="str">
        <f>"Q"&amp;ROUNDUP(MONTH(Table1[[#This Row],[PurchaseDate]])/3,0)</f>
        <v>Q2</v>
      </c>
      <c r="F1548" s="2">
        <f>MONTH(Table1[[#This Row],[PurchaseDate]])</f>
        <v>4</v>
      </c>
      <c r="G1548" s="2" t="str">
        <f>TEXT(Table1[[#This Row],[PurchaseDate]],"MMM")</f>
        <v>Apr</v>
      </c>
      <c r="H1548">
        <v>2</v>
      </c>
      <c r="I1548">
        <v>705.82</v>
      </c>
      <c r="J1548" t="s">
        <v>1920</v>
      </c>
      <c r="K1548" t="s">
        <v>38</v>
      </c>
      <c r="L1548" t="s">
        <v>19</v>
      </c>
      <c r="M1548">
        <v>3</v>
      </c>
      <c r="N1548">
        <v>1411.64</v>
      </c>
    </row>
    <row r="1549" spans="1:14" x14ac:dyDescent="0.3">
      <c r="A1549" t="s">
        <v>2873</v>
      </c>
      <c r="B1549" t="s">
        <v>11</v>
      </c>
      <c r="C1549" s="1">
        <v>44978</v>
      </c>
      <c r="D1549" s="2">
        <f>YEAR(Table1[[#This Row],[PurchaseDate]])</f>
        <v>2023</v>
      </c>
      <c r="E1549" s="2" t="str">
        <f>"Q"&amp;ROUNDUP(MONTH(Table1[[#This Row],[PurchaseDate]])/3,0)</f>
        <v>Q1</v>
      </c>
      <c r="F1549" s="2">
        <f>MONTH(Table1[[#This Row],[PurchaseDate]])</f>
        <v>2</v>
      </c>
      <c r="G1549" s="2" t="str">
        <f>TEXT(Table1[[#This Row],[PurchaseDate]],"MMM")</f>
        <v>Feb</v>
      </c>
      <c r="H1549">
        <v>3</v>
      </c>
      <c r="I1549">
        <v>57.35</v>
      </c>
      <c r="J1549" t="s">
        <v>2874</v>
      </c>
      <c r="K1549" t="s">
        <v>38</v>
      </c>
      <c r="L1549" t="s">
        <v>27</v>
      </c>
      <c r="M1549">
        <v>2</v>
      </c>
      <c r="N1549">
        <v>172.05</v>
      </c>
    </row>
    <row r="1550" spans="1:14" x14ac:dyDescent="0.3">
      <c r="A1550" t="s">
        <v>2875</v>
      </c>
      <c r="B1550" t="s">
        <v>25</v>
      </c>
      <c r="C1550" s="1">
        <v>45728</v>
      </c>
      <c r="D1550" s="2">
        <f>YEAR(Table1[[#This Row],[PurchaseDate]])</f>
        <v>2025</v>
      </c>
      <c r="E1550" s="2" t="str">
        <f>"Q"&amp;ROUNDUP(MONTH(Table1[[#This Row],[PurchaseDate]])/3,0)</f>
        <v>Q1</v>
      </c>
      <c r="F1550" s="2">
        <f>MONTH(Table1[[#This Row],[PurchaseDate]])</f>
        <v>3</v>
      </c>
      <c r="G1550" s="2" t="str">
        <f>TEXT(Table1[[#This Row],[PurchaseDate]],"MMM")</f>
        <v>Mar</v>
      </c>
      <c r="H1550">
        <v>3</v>
      </c>
      <c r="I1550">
        <v>533.37</v>
      </c>
      <c r="J1550" t="s">
        <v>2876</v>
      </c>
      <c r="K1550" t="s">
        <v>38</v>
      </c>
      <c r="L1550" t="s">
        <v>23</v>
      </c>
      <c r="M1550">
        <v>1</v>
      </c>
      <c r="N1550">
        <v>1600.11</v>
      </c>
    </row>
    <row r="1551" spans="1:14" x14ac:dyDescent="0.3">
      <c r="A1551" t="s">
        <v>2877</v>
      </c>
      <c r="B1551" t="s">
        <v>21</v>
      </c>
      <c r="C1551" s="1">
        <v>44974</v>
      </c>
      <c r="D1551" s="2">
        <f>YEAR(Table1[[#This Row],[PurchaseDate]])</f>
        <v>2023</v>
      </c>
      <c r="E1551" s="2" t="str">
        <f>"Q"&amp;ROUNDUP(MONTH(Table1[[#This Row],[PurchaseDate]])/3,0)</f>
        <v>Q1</v>
      </c>
      <c r="F1551" s="2">
        <f>MONTH(Table1[[#This Row],[PurchaseDate]])</f>
        <v>2</v>
      </c>
      <c r="G1551" s="2" t="str">
        <f>TEXT(Table1[[#This Row],[PurchaseDate]],"MMM")</f>
        <v>Feb</v>
      </c>
      <c r="H1551">
        <v>8</v>
      </c>
      <c r="I1551">
        <v>357.56</v>
      </c>
      <c r="J1551" t="s">
        <v>2878</v>
      </c>
      <c r="K1551" t="s">
        <v>13</v>
      </c>
      <c r="L1551" t="s">
        <v>14</v>
      </c>
      <c r="M1551">
        <v>5</v>
      </c>
      <c r="N1551">
        <v>2860.48</v>
      </c>
    </row>
    <row r="1552" spans="1:14" x14ac:dyDescent="0.3">
      <c r="A1552" t="s">
        <v>2879</v>
      </c>
      <c r="B1552" t="s">
        <v>29</v>
      </c>
      <c r="C1552" s="1">
        <v>45261</v>
      </c>
      <c r="D1552" s="2">
        <f>YEAR(Table1[[#This Row],[PurchaseDate]])</f>
        <v>2023</v>
      </c>
      <c r="E1552" s="2" t="str">
        <f>"Q"&amp;ROUNDUP(MONTH(Table1[[#This Row],[PurchaseDate]])/3,0)</f>
        <v>Q4</v>
      </c>
      <c r="F1552" s="2">
        <f>MONTH(Table1[[#This Row],[PurchaseDate]])</f>
        <v>12</v>
      </c>
      <c r="G1552" s="2" t="str">
        <f>TEXT(Table1[[#This Row],[PurchaseDate]],"MMM")</f>
        <v>Dec</v>
      </c>
      <c r="H1552">
        <v>7</v>
      </c>
      <c r="I1552">
        <v>68.58</v>
      </c>
      <c r="J1552" t="s">
        <v>2880</v>
      </c>
      <c r="K1552" t="s">
        <v>13</v>
      </c>
      <c r="L1552" t="s">
        <v>58</v>
      </c>
      <c r="M1552">
        <v>1</v>
      </c>
      <c r="N1552">
        <v>480.06</v>
      </c>
    </row>
    <row r="1553" spans="1:14" x14ac:dyDescent="0.3">
      <c r="A1553" t="s">
        <v>2881</v>
      </c>
      <c r="B1553" t="s">
        <v>16</v>
      </c>
      <c r="C1553" s="1">
        <v>45043</v>
      </c>
      <c r="D1553" s="2">
        <f>YEAR(Table1[[#This Row],[PurchaseDate]])</f>
        <v>2023</v>
      </c>
      <c r="E1553" s="2" t="str">
        <f>"Q"&amp;ROUNDUP(MONTH(Table1[[#This Row],[PurchaseDate]])/3,0)</f>
        <v>Q2</v>
      </c>
      <c r="F1553" s="2">
        <f>MONTH(Table1[[#This Row],[PurchaseDate]])</f>
        <v>4</v>
      </c>
      <c r="G1553" s="2" t="str">
        <f>TEXT(Table1[[#This Row],[PurchaseDate]],"MMM")</f>
        <v>Apr</v>
      </c>
      <c r="H1553">
        <v>3</v>
      </c>
      <c r="I1553">
        <v>611.55999999999995</v>
      </c>
      <c r="J1553" t="s">
        <v>2882</v>
      </c>
      <c r="K1553" t="s">
        <v>38</v>
      </c>
      <c r="L1553" t="s">
        <v>27</v>
      </c>
      <c r="M1553">
        <v>2</v>
      </c>
      <c r="N1553">
        <v>1834.68</v>
      </c>
    </row>
    <row r="1554" spans="1:14" x14ac:dyDescent="0.3">
      <c r="A1554" t="s">
        <v>2883</v>
      </c>
      <c r="B1554" t="s">
        <v>11</v>
      </c>
      <c r="C1554" s="1">
        <v>45339</v>
      </c>
      <c r="D1554" s="2">
        <f>YEAR(Table1[[#This Row],[PurchaseDate]])</f>
        <v>2024</v>
      </c>
      <c r="E1554" s="2" t="str">
        <f>"Q"&amp;ROUNDUP(MONTH(Table1[[#This Row],[PurchaseDate]])/3,0)</f>
        <v>Q1</v>
      </c>
      <c r="F1554" s="2">
        <f>MONTH(Table1[[#This Row],[PurchaseDate]])</f>
        <v>2</v>
      </c>
      <c r="G1554" s="2" t="str">
        <f>TEXT(Table1[[#This Row],[PurchaseDate]],"MMM")</f>
        <v>Feb</v>
      </c>
      <c r="H1554">
        <v>1</v>
      </c>
      <c r="I1554">
        <v>269.26</v>
      </c>
      <c r="J1554" t="s">
        <v>2884</v>
      </c>
      <c r="K1554" t="s">
        <v>13</v>
      </c>
      <c r="L1554" t="s">
        <v>27</v>
      </c>
      <c r="M1554">
        <v>4</v>
      </c>
      <c r="N1554">
        <v>269.26</v>
      </c>
    </row>
    <row r="1555" spans="1:14" x14ac:dyDescent="0.3">
      <c r="A1555" t="s">
        <v>2885</v>
      </c>
      <c r="B1555" t="s">
        <v>11</v>
      </c>
      <c r="C1555" s="1">
        <v>45756</v>
      </c>
      <c r="D1555" s="2">
        <f>YEAR(Table1[[#This Row],[PurchaseDate]])</f>
        <v>2025</v>
      </c>
      <c r="E1555" s="2" t="str">
        <f>"Q"&amp;ROUNDUP(MONTH(Table1[[#This Row],[PurchaseDate]])/3,0)</f>
        <v>Q2</v>
      </c>
      <c r="F1555" s="2">
        <f>MONTH(Table1[[#This Row],[PurchaseDate]])</f>
        <v>4</v>
      </c>
      <c r="G1555" s="2" t="str">
        <f>TEXT(Table1[[#This Row],[PurchaseDate]],"MMM")</f>
        <v>Apr</v>
      </c>
      <c r="H1555">
        <v>4</v>
      </c>
      <c r="I1555">
        <v>737.59</v>
      </c>
      <c r="J1555" t="s">
        <v>2886</v>
      </c>
      <c r="K1555" t="s">
        <v>38</v>
      </c>
      <c r="L1555" t="s">
        <v>23</v>
      </c>
      <c r="M1555">
        <v>1</v>
      </c>
      <c r="N1555">
        <v>2950.36</v>
      </c>
    </row>
    <row r="1556" spans="1:14" x14ac:dyDescent="0.3">
      <c r="A1556" t="s">
        <v>2887</v>
      </c>
      <c r="B1556" t="s">
        <v>25</v>
      </c>
      <c r="C1556" s="1">
        <v>45081</v>
      </c>
      <c r="D1556" s="2">
        <f>YEAR(Table1[[#This Row],[PurchaseDate]])</f>
        <v>2023</v>
      </c>
      <c r="E1556" s="2" t="str">
        <f>"Q"&amp;ROUNDUP(MONTH(Table1[[#This Row],[PurchaseDate]])/3,0)</f>
        <v>Q2</v>
      </c>
      <c r="F1556" s="2">
        <f>MONTH(Table1[[#This Row],[PurchaseDate]])</f>
        <v>6</v>
      </c>
      <c r="G1556" s="2" t="str">
        <f>TEXT(Table1[[#This Row],[PurchaseDate]],"MMM")</f>
        <v>Jun</v>
      </c>
      <c r="H1556">
        <v>7</v>
      </c>
      <c r="I1556">
        <v>107.51</v>
      </c>
      <c r="J1556" t="s">
        <v>2888</v>
      </c>
      <c r="K1556" t="s">
        <v>38</v>
      </c>
      <c r="L1556" t="s">
        <v>58</v>
      </c>
      <c r="M1556">
        <v>1</v>
      </c>
      <c r="N1556">
        <v>752.57</v>
      </c>
    </row>
    <row r="1557" spans="1:14" x14ac:dyDescent="0.3">
      <c r="A1557" t="s">
        <v>2889</v>
      </c>
      <c r="B1557" t="s">
        <v>21</v>
      </c>
      <c r="C1557" s="1">
        <v>45460</v>
      </c>
      <c r="D1557" s="2">
        <f>YEAR(Table1[[#This Row],[PurchaseDate]])</f>
        <v>2024</v>
      </c>
      <c r="E1557" s="2" t="str">
        <f>"Q"&amp;ROUNDUP(MONTH(Table1[[#This Row],[PurchaseDate]])/3,0)</f>
        <v>Q2</v>
      </c>
      <c r="F1557" s="2">
        <f>MONTH(Table1[[#This Row],[PurchaseDate]])</f>
        <v>6</v>
      </c>
      <c r="G1557" s="2" t="str">
        <f>TEXT(Table1[[#This Row],[PurchaseDate]],"MMM")</f>
        <v>Jun</v>
      </c>
      <c r="H1557">
        <v>3</v>
      </c>
      <c r="I1557">
        <v>188.33</v>
      </c>
      <c r="J1557" t="s">
        <v>2890</v>
      </c>
      <c r="K1557" t="s">
        <v>18</v>
      </c>
      <c r="L1557" t="s">
        <v>14</v>
      </c>
      <c r="M1557">
        <v>2</v>
      </c>
      <c r="N1557">
        <v>564.99</v>
      </c>
    </row>
    <row r="1558" spans="1:14" x14ac:dyDescent="0.3">
      <c r="A1558" t="s">
        <v>2891</v>
      </c>
      <c r="B1558" t="s">
        <v>11</v>
      </c>
      <c r="C1558" s="1">
        <v>45120</v>
      </c>
      <c r="D1558" s="2">
        <f>YEAR(Table1[[#This Row],[PurchaseDate]])</f>
        <v>2023</v>
      </c>
      <c r="E1558" s="2" t="str">
        <f>"Q"&amp;ROUNDUP(MONTH(Table1[[#This Row],[PurchaseDate]])/3,0)</f>
        <v>Q3</v>
      </c>
      <c r="F1558" s="2">
        <f>MONTH(Table1[[#This Row],[PurchaseDate]])</f>
        <v>7</v>
      </c>
      <c r="G1558" s="2" t="str">
        <f>TEXT(Table1[[#This Row],[PurchaseDate]],"MMM")</f>
        <v>Jul</v>
      </c>
      <c r="H1558">
        <v>5</v>
      </c>
      <c r="I1558">
        <v>563.85</v>
      </c>
      <c r="J1558" t="s">
        <v>2892</v>
      </c>
      <c r="K1558" t="s">
        <v>38</v>
      </c>
      <c r="L1558" t="s">
        <v>58</v>
      </c>
      <c r="M1558">
        <v>5</v>
      </c>
      <c r="N1558">
        <v>2819.25</v>
      </c>
    </row>
    <row r="1559" spans="1:14" x14ac:dyDescent="0.3">
      <c r="A1559" t="s">
        <v>2893</v>
      </c>
      <c r="B1559" t="s">
        <v>16</v>
      </c>
      <c r="C1559" s="1">
        <v>45286</v>
      </c>
      <c r="D1559" s="2">
        <f>YEAR(Table1[[#This Row],[PurchaseDate]])</f>
        <v>2023</v>
      </c>
      <c r="E1559" s="2" t="str">
        <f>"Q"&amp;ROUNDUP(MONTH(Table1[[#This Row],[PurchaseDate]])/3,0)</f>
        <v>Q4</v>
      </c>
      <c r="F1559" s="2">
        <f>MONTH(Table1[[#This Row],[PurchaseDate]])</f>
        <v>12</v>
      </c>
      <c r="G1559" s="2" t="str">
        <f>TEXT(Table1[[#This Row],[PurchaseDate]],"MMM")</f>
        <v>Dec</v>
      </c>
      <c r="H1559">
        <v>3</v>
      </c>
      <c r="I1559">
        <v>272.31</v>
      </c>
      <c r="J1559" t="s">
        <v>2894</v>
      </c>
      <c r="K1559" t="s">
        <v>13</v>
      </c>
      <c r="L1559" t="s">
        <v>23</v>
      </c>
      <c r="M1559">
        <v>2</v>
      </c>
      <c r="N1559">
        <v>816.93</v>
      </c>
    </row>
    <row r="1560" spans="1:14" x14ac:dyDescent="0.3">
      <c r="A1560" t="s">
        <v>2895</v>
      </c>
      <c r="B1560" t="s">
        <v>42</v>
      </c>
      <c r="C1560" s="1">
        <v>45222</v>
      </c>
      <c r="D1560" s="2">
        <f>YEAR(Table1[[#This Row],[PurchaseDate]])</f>
        <v>2023</v>
      </c>
      <c r="E1560" s="2" t="str">
        <f>"Q"&amp;ROUNDUP(MONTH(Table1[[#This Row],[PurchaseDate]])/3,0)</f>
        <v>Q4</v>
      </c>
      <c r="F1560" s="2">
        <f>MONTH(Table1[[#This Row],[PurchaseDate]])</f>
        <v>10</v>
      </c>
      <c r="G1560" s="2" t="str">
        <f>TEXT(Table1[[#This Row],[PurchaseDate]],"MMM")</f>
        <v>Oct</v>
      </c>
      <c r="H1560">
        <v>6</v>
      </c>
      <c r="I1560">
        <v>289.86</v>
      </c>
      <c r="J1560" t="s">
        <v>2896</v>
      </c>
      <c r="K1560" t="s">
        <v>13</v>
      </c>
      <c r="L1560" t="s">
        <v>19</v>
      </c>
      <c r="M1560">
        <v>4</v>
      </c>
      <c r="N1560">
        <v>1739.16</v>
      </c>
    </row>
    <row r="1561" spans="1:14" x14ac:dyDescent="0.3">
      <c r="A1561" t="s">
        <v>2381</v>
      </c>
      <c r="B1561" t="s">
        <v>29</v>
      </c>
      <c r="C1561" s="1">
        <v>45492</v>
      </c>
      <c r="D1561" s="2">
        <f>YEAR(Table1[[#This Row],[PurchaseDate]])</f>
        <v>2024</v>
      </c>
      <c r="E1561" s="2" t="str">
        <f>"Q"&amp;ROUNDUP(MONTH(Table1[[#This Row],[PurchaseDate]])/3,0)</f>
        <v>Q3</v>
      </c>
      <c r="F1561" s="2">
        <f>MONTH(Table1[[#This Row],[PurchaseDate]])</f>
        <v>7</v>
      </c>
      <c r="G1561" s="2" t="str">
        <f>TEXT(Table1[[#This Row],[PurchaseDate]],"MMM")</f>
        <v>Jul</v>
      </c>
      <c r="H1561">
        <v>8</v>
      </c>
      <c r="I1561">
        <v>154.93</v>
      </c>
      <c r="J1561" t="s">
        <v>2382</v>
      </c>
      <c r="K1561" t="s">
        <v>13</v>
      </c>
      <c r="L1561" t="s">
        <v>58</v>
      </c>
      <c r="M1561">
        <v>1</v>
      </c>
      <c r="N1561">
        <v>1239.44</v>
      </c>
    </row>
    <row r="1562" spans="1:14" x14ac:dyDescent="0.3">
      <c r="A1562" t="s">
        <v>2897</v>
      </c>
      <c r="B1562" t="s">
        <v>11</v>
      </c>
      <c r="C1562" s="1">
        <v>45518</v>
      </c>
      <c r="D1562" s="2">
        <f>YEAR(Table1[[#This Row],[PurchaseDate]])</f>
        <v>2024</v>
      </c>
      <c r="E1562" s="2" t="str">
        <f>"Q"&amp;ROUNDUP(MONTH(Table1[[#This Row],[PurchaseDate]])/3,0)</f>
        <v>Q3</v>
      </c>
      <c r="F1562" s="2">
        <f>MONTH(Table1[[#This Row],[PurchaseDate]])</f>
        <v>8</v>
      </c>
      <c r="G1562" s="2" t="str">
        <f>TEXT(Table1[[#This Row],[PurchaseDate]],"MMM")</f>
        <v>Aug</v>
      </c>
      <c r="H1562">
        <v>5</v>
      </c>
      <c r="I1562">
        <v>388.14</v>
      </c>
      <c r="J1562" t="s">
        <v>2898</v>
      </c>
      <c r="K1562" t="s">
        <v>38</v>
      </c>
      <c r="L1562" t="s">
        <v>19</v>
      </c>
      <c r="M1562">
        <v>2</v>
      </c>
      <c r="N1562">
        <v>1940.7</v>
      </c>
    </row>
    <row r="1563" spans="1:14" x14ac:dyDescent="0.3">
      <c r="A1563" t="s">
        <v>2899</v>
      </c>
      <c r="B1563" t="s">
        <v>25</v>
      </c>
      <c r="C1563" s="1">
        <v>45415</v>
      </c>
      <c r="D1563" s="2">
        <f>YEAR(Table1[[#This Row],[PurchaseDate]])</f>
        <v>2024</v>
      </c>
      <c r="E1563" s="2" t="str">
        <f>"Q"&amp;ROUNDUP(MONTH(Table1[[#This Row],[PurchaseDate]])/3,0)</f>
        <v>Q2</v>
      </c>
      <c r="F1563" s="2">
        <f>MONTH(Table1[[#This Row],[PurchaseDate]])</f>
        <v>5</v>
      </c>
      <c r="G1563" s="2" t="str">
        <f>TEXT(Table1[[#This Row],[PurchaseDate]],"MMM")</f>
        <v>May</v>
      </c>
      <c r="H1563">
        <v>6</v>
      </c>
      <c r="I1563">
        <v>144.63</v>
      </c>
      <c r="J1563" t="s">
        <v>2900</v>
      </c>
      <c r="K1563" t="s">
        <v>38</v>
      </c>
      <c r="L1563" t="s">
        <v>19</v>
      </c>
      <c r="M1563">
        <v>5</v>
      </c>
      <c r="N1563">
        <v>867.78</v>
      </c>
    </row>
    <row r="1564" spans="1:14" x14ac:dyDescent="0.3">
      <c r="A1564" t="s">
        <v>2901</v>
      </c>
      <c r="B1564" t="s">
        <v>16</v>
      </c>
      <c r="C1564" s="1">
        <v>45676</v>
      </c>
      <c r="D1564" s="2">
        <f>YEAR(Table1[[#This Row],[PurchaseDate]])</f>
        <v>2025</v>
      </c>
      <c r="E1564" s="2" t="str">
        <f>"Q"&amp;ROUNDUP(MONTH(Table1[[#This Row],[PurchaseDate]])/3,0)</f>
        <v>Q1</v>
      </c>
      <c r="F1564" s="2">
        <f>MONTH(Table1[[#This Row],[PurchaseDate]])</f>
        <v>1</v>
      </c>
      <c r="G1564" s="2" t="str">
        <f>TEXT(Table1[[#This Row],[PurchaseDate]],"MMM")</f>
        <v>Jan</v>
      </c>
      <c r="H1564">
        <v>6</v>
      </c>
      <c r="I1564">
        <v>655.75</v>
      </c>
      <c r="J1564" t="s">
        <v>2902</v>
      </c>
      <c r="K1564" t="s">
        <v>18</v>
      </c>
      <c r="L1564" t="s">
        <v>27</v>
      </c>
      <c r="M1564">
        <v>5</v>
      </c>
      <c r="N1564">
        <v>3934.5</v>
      </c>
    </row>
    <row r="1565" spans="1:14" x14ac:dyDescent="0.3">
      <c r="A1565" t="s">
        <v>1967</v>
      </c>
      <c r="B1565" t="s">
        <v>11</v>
      </c>
      <c r="C1565" s="1">
        <v>45827</v>
      </c>
      <c r="D1565" s="2">
        <f>YEAR(Table1[[#This Row],[PurchaseDate]])</f>
        <v>2025</v>
      </c>
      <c r="E1565" s="2" t="str">
        <f>"Q"&amp;ROUNDUP(MONTH(Table1[[#This Row],[PurchaseDate]])/3,0)</f>
        <v>Q2</v>
      </c>
      <c r="F1565" s="2">
        <f>MONTH(Table1[[#This Row],[PurchaseDate]])</f>
        <v>6</v>
      </c>
      <c r="G1565" s="2" t="str">
        <f>TEXT(Table1[[#This Row],[PurchaseDate]],"MMM")</f>
        <v>Jun</v>
      </c>
      <c r="H1565">
        <v>3</v>
      </c>
      <c r="I1565">
        <v>314.79000000000002</v>
      </c>
      <c r="J1565" t="s">
        <v>1968</v>
      </c>
      <c r="K1565" t="s">
        <v>18</v>
      </c>
      <c r="L1565" t="s">
        <v>14</v>
      </c>
      <c r="M1565">
        <v>4</v>
      </c>
      <c r="N1565">
        <v>944.37</v>
      </c>
    </row>
    <row r="1566" spans="1:14" x14ac:dyDescent="0.3">
      <c r="A1566" t="s">
        <v>2903</v>
      </c>
      <c r="B1566" t="s">
        <v>16</v>
      </c>
      <c r="C1566" s="1">
        <v>45570</v>
      </c>
      <c r="D1566" s="2">
        <f>YEAR(Table1[[#This Row],[PurchaseDate]])</f>
        <v>2024</v>
      </c>
      <c r="E1566" s="2" t="str">
        <f>"Q"&amp;ROUNDUP(MONTH(Table1[[#This Row],[PurchaseDate]])/3,0)</f>
        <v>Q4</v>
      </c>
      <c r="F1566" s="2">
        <f>MONTH(Table1[[#This Row],[PurchaseDate]])</f>
        <v>10</v>
      </c>
      <c r="G1566" s="2" t="str">
        <f>TEXT(Table1[[#This Row],[PurchaseDate]],"MMM")</f>
        <v>Oct</v>
      </c>
      <c r="H1566">
        <v>1</v>
      </c>
      <c r="I1566">
        <v>91.01</v>
      </c>
      <c r="J1566" t="s">
        <v>2904</v>
      </c>
      <c r="K1566" t="s">
        <v>13</v>
      </c>
      <c r="L1566" t="s">
        <v>58</v>
      </c>
      <c r="M1566">
        <v>5</v>
      </c>
      <c r="N1566">
        <v>91.01</v>
      </c>
    </row>
    <row r="1567" spans="1:14" x14ac:dyDescent="0.3">
      <c r="A1567" t="s">
        <v>1945</v>
      </c>
      <c r="B1567" t="s">
        <v>21</v>
      </c>
      <c r="C1567" s="1">
        <v>45634</v>
      </c>
      <c r="D1567" s="2">
        <f>YEAR(Table1[[#This Row],[PurchaseDate]])</f>
        <v>2024</v>
      </c>
      <c r="E1567" s="2" t="str">
        <f>"Q"&amp;ROUNDUP(MONTH(Table1[[#This Row],[PurchaseDate]])/3,0)</f>
        <v>Q4</v>
      </c>
      <c r="F1567" s="2">
        <f>MONTH(Table1[[#This Row],[PurchaseDate]])</f>
        <v>12</v>
      </c>
      <c r="G1567" s="2" t="str">
        <f>TEXT(Table1[[#This Row],[PurchaseDate]],"MMM")</f>
        <v>Dec</v>
      </c>
      <c r="H1567">
        <v>8</v>
      </c>
      <c r="I1567">
        <v>717.52</v>
      </c>
      <c r="J1567" t="s">
        <v>1946</v>
      </c>
      <c r="K1567" t="s">
        <v>38</v>
      </c>
      <c r="L1567" t="s">
        <v>19</v>
      </c>
      <c r="M1567">
        <v>3</v>
      </c>
      <c r="N1567">
        <v>5740.16</v>
      </c>
    </row>
    <row r="1568" spans="1:14" x14ac:dyDescent="0.3">
      <c r="A1568" t="s">
        <v>2905</v>
      </c>
      <c r="B1568" t="s">
        <v>42</v>
      </c>
      <c r="C1568" s="1">
        <v>45532</v>
      </c>
      <c r="D1568" s="2">
        <f>YEAR(Table1[[#This Row],[PurchaseDate]])</f>
        <v>2024</v>
      </c>
      <c r="E1568" s="2" t="str">
        <f>"Q"&amp;ROUNDUP(MONTH(Table1[[#This Row],[PurchaseDate]])/3,0)</f>
        <v>Q3</v>
      </c>
      <c r="F1568" s="2">
        <f>MONTH(Table1[[#This Row],[PurchaseDate]])</f>
        <v>8</v>
      </c>
      <c r="G1568" s="2" t="str">
        <f>TEXT(Table1[[#This Row],[PurchaseDate]],"MMM")</f>
        <v>Aug</v>
      </c>
      <c r="H1568">
        <v>3</v>
      </c>
      <c r="I1568">
        <v>51.41</v>
      </c>
      <c r="J1568" t="s">
        <v>2906</v>
      </c>
      <c r="K1568" t="s">
        <v>38</v>
      </c>
      <c r="L1568" t="s">
        <v>27</v>
      </c>
      <c r="M1568">
        <v>2</v>
      </c>
      <c r="N1568">
        <v>154.22999999999999</v>
      </c>
    </row>
    <row r="1569" spans="1:14" x14ac:dyDescent="0.3">
      <c r="A1569" t="s">
        <v>2907</v>
      </c>
      <c r="B1569" t="s">
        <v>21</v>
      </c>
      <c r="C1569" s="1">
        <v>45668</v>
      </c>
      <c r="D1569" s="2">
        <f>YEAR(Table1[[#This Row],[PurchaseDate]])</f>
        <v>2025</v>
      </c>
      <c r="E1569" s="2" t="str">
        <f>"Q"&amp;ROUNDUP(MONTH(Table1[[#This Row],[PurchaseDate]])/3,0)</f>
        <v>Q1</v>
      </c>
      <c r="F1569" s="2">
        <f>MONTH(Table1[[#This Row],[PurchaseDate]])</f>
        <v>1</v>
      </c>
      <c r="G1569" s="2" t="str">
        <f>TEXT(Table1[[#This Row],[PurchaseDate]],"MMM")</f>
        <v>Jan</v>
      </c>
      <c r="H1569">
        <v>7</v>
      </c>
      <c r="I1569">
        <v>615.9</v>
      </c>
      <c r="J1569" t="s">
        <v>2908</v>
      </c>
      <c r="K1569" t="s">
        <v>18</v>
      </c>
      <c r="L1569" t="s">
        <v>58</v>
      </c>
      <c r="M1569">
        <v>4</v>
      </c>
      <c r="N1569">
        <v>4311.3</v>
      </c>
    </row>
    <row r="1570" spans="1:14" x14ac:dyDescent="0.3">
      <c r="A1570" t="s">
        <v>2909</v>
      </c>
      <c r="B1570" t="s">
        <v>34</v>
      </c>
      <c r="C1570" s="1">
        <v>45270</v>
      </c>
      <c r="D1570" s="2">
        <f>YEAR(Table1[[#This Row],[PurchaseDate]])</f>
        <v>2023</v>
      </c>
      <c r="E1570" s="2" t="str">
        <f>"Q"&amp;ROUNDUP(MONTH(Table1[[#This Row],[PurchaseDate]])/3,0)</f>
        <v>Q4</v>
      </c>
      <c r="F1570" s="2">
        <f>MONTH(Table1[[#This Row],[PurchaseDate]])</f>
        <v>12</v>
      </c>
      <c r="G1570" s="2" t="str">
        <f>TEXT(Table1[[#This Row],[PurchaseDate]],"MMM")</f>
        <v>Dec</v>
      </c>
      <c r="H1570">
        <v>8</v>
      </c>
      <c r="I1570">
        <v>9.3800000000000008</v>
      </c>
      <c r="J1570" t="s">
        <v>2910</v>
      </c>
      <c r="K1570" t="s">
        <v>13</v>
      </c>
      <c r="L1570" t="s">
        <v>14</v>
      </c>
      <c r="M1570">
        <v>4</v>
      </c>
      <c r="N1570">
        <v>75.040000000000006</v>
      </c>
    </row>
    <row r="1571" spans="1:14" x14ac:dyDescent="0.3">
      <c r="A1571" t="s">
        <v>2911</v>
      </c>
      <c r="B1571" t="s">
        <v>34</v>
      </c>
      <c r="C1571" s="1">
        <v>45468</v>
      </c>
      <c r="D1571" s="2">
        <f>YEAR(Table1[[#This Row],[PurchaseDate]])</f>
        <v>2024</v>
      </c>
      <c r="E1571" s="2" t="str">
        <f>"Q"&amp;ROUNDUP(MONTH(Table1[[#This Row],[PurchaseDate]])/3,0)</f>
        <v>Q2</v>
      </c>
      <c r="F1571" s="2">
        <f>MONTH(Table1[[#This Row],[PurchaseDate]])</f>
        <v>6</v>
      </c>
      <c r="G1571" s="2" t="str">
        <f>TEXT(Table1[[#This Row],[PurchaseDate]],"MMM")</f>
        <v>Jun</v>
      </c>
      <c r="H1571">
        <v>3</v>
      </c>
      <c r="I1571">
        <v>742.33</v>
      </c>
      <c r="J1571" t="s">
        <v>2912</v>
      </c>
      <c r="K1571" t="s">
        <v>18</v>
      </c>
      <c r="L1571" t="s">
        <v>14</v>
      </c>
      <c r="M1571">
        <v>5</v>
      </c>
      <c r="N1571">
        <v>2226.9899999999998</v>
      </c>
    </row>
    <row r="1572" spans="1:14" x14ac:dyDescent="0.3">
      <c r="A1572" t="s">
        <v>2913</v>
      </c>
      <c r="B1572" t="s">
        <v>25</v>
      </c>
      <c r="C1572" s="1">
        <v>45178</v>
      </c>
      <c r="D1572" s="2">
        <f>YEAR(Table1[[#This Row],[PurchaseDate]])</f>
        <v>2023</v>
      </c>
      <c r="E1572" s="2" t="str">
        <f>"Q"&amp;ROUNDUP(MONTH(Table1[[#This Row],[PurchaseDate]])/3,0)</f>
        <v>Q3</v>
      </c>
      <c r="F1572" s="2">
        <f>MONTH(Table1[[#This Row],[PurchaseDate]])</f>
        <v>9</v>
      </c>
      <c r="G1572" s="2" t="str">
        <f>TEXT(Table1[[#This Row],[PurchaseDate]],"MMM")</f>
        <v>Sep</v>
      </c>
      <c r="H1572">
        <v>3</v>
      </c>
      <c r="I1572">
        <v>391.01</v>
      </c>
      <c r="J1572" t="s">
        <v>2914</v>
      </c>
      <c r="K1572" t="s">
        <v>38</v>
      </c>
      <c r="L1572" t="s">
        <v>23</v>
      </c>
      <c r="M1572">
        <v>1</v>
      </c>
      <c r="N1572">
        <v>1173.03</v>
      </c>
    </row>
    <row r="1573" spans="1:14" x14ac:dyDescent="0.3">
      <c r="A1573" t="s">
        <v>403</v>
      </c>
      <c r="B1573" t="s">
        <v>42</v>
      </c>
      <c r="C1573" s="1">
        <v>45251</v>
      </c>
      <c r="D1573" s="2">
        <f>YEAR(Table1[[#This Row],[PurchaseDate]])</f>
        <v>2023</v>
      </c>
      <c r="E1573" s="2" t="str">
        <f>"Q"&amp;ROUNDUP(MONTH(Table1[[#This Row],[PurchaseDate]])/3,0)</f>
        <v>Q4</v>
      </c>
      <c r="F1573" s="2">
        <f>MONTH(Table1[[#This Row],[PurchaseDate]])</f>
        <v>11</v>
      </c>
      <c r="G1573" s="2" t="str">
        <f>TEXT(Table1[[#This Row],[PurchaseDate]],"MMM")</f>
        <v>Nov</v>
      </c>
      <c r="H1573">
        <v>1</v>
      </c>
      <c r="I1573">
        <v>142.85</v>
      </c>
      <c r="J1573" t="s">
        <v>404</v>
      </c>
      <c r="K1573" t="s">
        <v>18</v>
      </c>
      <c r="L1573" t="s">
        <v>58</v>
      </c>
      <c r="M1573">
        <v>1</v>
      </c>
      <c r="N1573">
        <v>142.85</v>
      </c>
    </row>
    <row r="1574" spans="1:14" x14ac:dyDescent="0.3">
      <c r="A1574" t="s">
        <v>2915</v>
      </c>
      <c r="B1574" t="s">
        <v>25</v>
      </c>
      <c r="C1574" s="1">
        <v>45211</v>
      </c>
      <c r="D1574" s="2">
        <f>YEAR(Table1[[#This Row],[PurchaseDate]])</f>
        <v>2023</v>
      </c>
      <c r="E1574" s="2" t="str">
        <f>"Q"&amp;ROUNDUP(MONTH(Table1[[#This Row],[PurchaseDate]])/3,0)</f>
        <v>Q4</v>
      </c>
      <c r="F1574" s="2">
        <f>MONTH(Table1[[#This Row],[PurchaseDate]])</f>
        <v>10</v>
      </c>
      <c r="G1574" s="2" t="str">
        <f>TEXT(Table1[[#This Row],[PurchaseDate]],"MMM")</f>
        <v>Oct</v>
      </c>
      <c r="H1574">
        <v>2</v>
      </c>
      <c r="I1574">
        <v>458.15</v>
      </c>
      <c r="J1574" t="s">
        <v>2916</v>
      </c>
      <c r="K1574" t="s">
        <v>18</v>
      </c>
      <c r="L1574" t="s">
        <v>58</v>
      </c>
      <c r="M1574">
        <v>2</v>
      </c>
      <c r="N1574">
        <v>916.3</v>
      </c>
    </row>
    <row r="1575" spans="1:14" x14ac:dyDescent="0.3">
      <c r="A1575" t="s">
        <v>2917</v>
      </c>
      <c r="B1575" t="s">
        <v>16</v>
      </c>
      <c r="C1575" s="1">
        <v>45660</v>
      </c>
      <c r="D1575" s="2">
        <f>YEAR(Table1[[#This Row],[PurchaseDate]])</f>
        <v>2025</v>
      </c>
      <c r="E1575" s="2" t="str">
        <f>"Q"&amp;ROUNDUP(MONTH(Table1[[#This Row],[PurchaseDate]])/3,0)</f>
        <v>Q1</v>
      </c>
      <c r="F1575" s="2">
        <f>MONTH(Table1[[#This Row],[PurchaseDate]])</f>
        <v>1</v>
      </c>
      <c r="G1575" s="2" t="str">
        <f>TEXT(Table1[[#This Row],[PurchaseDate]],"MMM")</f>
        <v>Jan</v>
      </c>
      <c r="H1575">
        <v>1</v>
      </c>
      <c r="I1575">
        <v>320.24</v>
      </c>
      <c r="J1575" t="s">
        <v>2918</v>
      </c>
      <c r="K1575" t="s">
        <v>13</v>
      </c>
      <c r="L1575" t="s">
        <v>23</v>
      </c>
      <c r="M1575">
        <v>1</v>
      </c>
      <c r="N1575">
        <v>320.24</v>
      </c>
    </row>
    <row r="1576" spans="1:14" x14ac:dyDescent="0.3">
      <c r="A1576" t="s">
        <v>2919</v>
      </c>
      <c r="B1576" t="s">
        <v>16</v>
      </c>
      <c r="C1576" s="1">
        <v>45399</v>
      </c>
      <c r="D1576" s="2">
        <f>YEAR(Table1[[#This Row],[PurchaseDate]])</f>
        <v>2024</v>
      </c>
      <c r="E1576" s="2" t="str">
        <f>"Q"&amp;ROUNDUP(MONTH(Table1[[#This Row],[PurchaseDate]])/3,0)</f>
        <v>Q2</v>
      </c>
      <c r="F1576" s="2">
        <f>MONTH(Table1[[#This Row],[PurchaseDate]])</f>
        <v>4</v>
      </c>
      <c r="G1576" s="2" t="str">
        <f>TEXT(Table1[[#This Row],[PurchaseDate]],"MMM")</f>
        <v>Apr</v>
      </c>
      <c r="H1576">
        <v>8</v>
      </c>
      <c r="I1576">
        <v>45.37</v>
      </c>
      <c r="J1576" t="s">
        <v>2920</v>
      </c>
      <c r="K1576" t="s">
        <v>38</v>
      </c>
      <c r="L1576" t="s">
        <v>27</v>
      </c>
      <c r="M1576">
        <v>4</v>
      </c>
      <c r="N1576">
        <v>362.96</v>
      </c>
    </row>
    <row r="1577" spans="1:14" x14ac:dyDescent="0.3">
      <c r="A1577" t="s">
        <v>2921</v>
      </c>
      <c r="B1577" t="s">
        <v>11</v>
      </c>
      <c r="C1577" s="1">
        <v>45236</v>
      </c>
      <c r="D1577" s="2">
        <f>YEAR(Table1[[#This Row],[PurchaseDate]])</f>
        <v>2023</v>
      </c>
      <c r="E1577" s="2" t="str">
        <f>"Q"&amp;ROUNDUP(MONTH(Table1[[#This Row],[PurchaseDate]])/3,0)</f>
        <v>Q4</v>
      </c>
      <c r="F1577" s="2">
        <f>MONTH(Table1[[#This Row],[PurchaseDate]])</f>
        <v>11</v>
      </c>
      <c r="G1577" s="2" t="str">
        <f>TEXT(Table1[[#This Row],[PurchaseDate]],"MMM")</f>
        <v>Nov</v>
      </c>
      <c r="H1577">
        <v>1</v>
      </c>
      <c r="I1577">
        <v>612.47</v>
      </c>
      <c r="J1577" t="s">
        <v>2922</v>
      </c>
      <c r="K1577" t="s">
        <v>18</v>
      </c>
      <c r="L1577" t="s">
        <v>23</v>
      </c>
      <c r="M1577">
        <v>5</v>
      </c>
      <c r="N1577">
        <v>612.47</v>
      </c>
    </row>
    <row r="1578" spans="1:14" x14ac:dyDescent="0.3">
      <c r="A1578" t="s">
        <v>2923</v>
      </c>
      <c r="B1578" t="s">
        <v>42</v>
      </c>
      <c r="C1578" s="1">
        <v>45368</v>
      </c>
      <c r="D1578" s="2">
        <f>YEAR(Table1[[#This Row],[PurchaseDate]])</f>
        <v>2024</v>
      </c>
      <c r="E1578" s="2" t="str">
        <f>"Q"&amp;ROUNDUP(MONTH(Table1[[#This Row],[PurchaseDate]])/3,0)</f>
        <v>Q1</v>
      </c>
      <c r="F1578" s="2">
        <f>MONTH(Table1[[#This Row],[PurchaseDate]])</f>
        <v>3</v>
      </c>
      <c r="G1578" s="2" t="str">
        <f>TEXT(Table1[[#This Row],[PurchaseDate]],"MMM")</f>
        <v>Mar</v>
      </c>
      <c r="H1578">
        <v>8</v>
      </c>
      <c r="I1578">
        <v>457.43</v>
      </c>
      <c r="J1578" t="s">
        <v>2924</v>
      </c>
      <c r="K1578" t="s">
        <v>18</v>
      </c>
      <c r="L1578" t="s">
        <v>23</v>
      </c>
      <c r="M1578">
        <v>5</v>
      </c>
      <c r="N1578">
        <v>3659.44</v>
      </c>
    </row>
    <row r="1579" spans="1:14" x14ac:dyDescent="0.3">
      <c r="A1579" t="s">
        <v>2925</v>
      </c>
      <c r="B1579" t="s">
        <v>11</v>
      </c>
      <c r="C1579" s="1">
        <v>45608</v>
      </c>
      <c r="D1579" s="2">
        <f>YEAR(Table1[[#This Row],[PurchaseDate]])</f>
        <v>2024</v>
      </c>
      <c r="E1579" s="2" t="str">
        <f>"Q"&amp;ROUNDUP(MONTH(Table1[[#This Row],[PurchaseDate]])/3,0)</f>
        <v>Q4</v>
      </c>
      <c r="F1579" s="2">
        <f>MONTH(Table1[[#This Row],[PurchaseDate]])</f>
        <v>11</v>
      </c>
      <c r="G1579" s="2" t="str">
        <f>TEXT(Table1[[#This Row],[PurchaseDate]],"MMM")</f>
        <v>Nov</v>
      </c>
      <c r="H1579">
        <v>2</v>
      </c>
      <c r="I1579">
        <v>282.66000000000003</v>
      </c>
      <c r="J1579" t="s">
        <v>2926</v>
      </c>
      <c r="K1579" t="s">
        <v>18</v>
      </c>
      <c r="L1579" t="s">
        <v>27</v>
      </c>
      <c r="M1579">
        <v>4</v>
      </c>
      <c r="N1579">
        <v>565.32000000000005</v>
      </c>
    </row>
    <row r="1580" spans="1:14" x14ac:dyDescent="0.3">
      <c r="A1580" t="s">
        <v>2927</v>
      </c>
      <c r="B1580" t="s">
        <v>42</v>
      </c>
      <c r="C1580" s="1">
        <v>45790</v>
      </c>
      <c r="D1580" s="2">
        <f>YEAR(Table1[[#This Row],[PurchaseDate]])</f>
        <v>2025</v>
      </c>
      <c r="E1580" s="2" t="str">
        <f>"Q"&amp;ROUNDUP(MONTH(Table1[[#This Row],[PurchaseDate]])/3,0)</f>
        <v>Q2</v>
      </c>
      <c r="F1580" s="2">
        <f>MONTH(Table1[[#This Row],[PurchaseDate]])</f>
        <v>5</v>
      </c>
      <c r="G1580" s="2" t="str">
        <f>TEXT(Table1[[#This Row],[PurchaseDate]],"MMM")</f>
        <v>May</v>
      </c>
      <c r="H1580">
        <v>5</v>
      </c>
      <c r="I1580">
        <v>528.01</v>
      </c>
      <c r="J1580" t="s">
        <v>2928</v>
      </c>
      <c r="K1580" t="s">
        <v>18</v>
      </c>
      <c r="L1580" t="s">
        <v>58</v>
      </c>
      <c r="M1580">
        <v>2</v>
      </c>
      <c r="N1580">
        <v>2640.05</v>
      </c>
    </row>
    <row r="1581" spans="1:14" x14ac:dyDescent="0.3">
      <c r="A1581" t="s">
        <v>2929</v>
      </c>
      <c r="B1581" t="s">
        <v>25</v>
      </c>
      <c r="C1581" s="1">
        <v>45421</v>
      </c>
      <c r="D1581" s="2">
        <f>YEAR(Table1[[#This Row],[PurchaseDate]])</f>
        <v>2024</v>
      </c>
      <c r="E1581" s="2" t="str">
        <f>"Q"&amp;ROUNDUP(MONTH(Table1[[#This Row],[PurchaseDate]])/3,0)</f>
        <v>Q2</v>
      </c>
      <c r="F1581" s="2">
        <f>MONTH(Table1[[#This Row],[PurchaseDate]])</f>
        <v>5</v>
      </c>
      <c r="G1581" s="2" t="str">
        <f>TEXT(Table1[[#This Row],[PurchaseDate]],"MMM")</f>
        <v>May</v>
      </c>
      <c r="H1581">
        <v>4</v>
      </c>
      <c r="I1581">
        <v>402.58</v>
      </c>
      <c r="J1581" t="s">
        <v>2930</v>
      </c>
      <c r="K1581" t="s">
        <v>18</v>
      </c>
      <c r="L1581" t="s">
        <v>14</v>
      </c>
      <c r="M1581">
        <v>3</v>
      </c>
      <c r="N1581">
        <v>1610.32</v>
      </c>
    </row>
    <row r="1582" spans="1:14" x14ac:dyDescent="0.3">
      <c r="A1582" t="s">
        <v>2931</v>
      </c>
      <c r="B1582" t="s">
        <v>25</v>
      </c>
      <c r="C1582" s="1">
        <v>45115</v>
      </c>
      <c r="D1582" s="2">
        <f>YEAR(Table1[[#This Row],[PurchaseDate]])</f>
        <v>2023</v>
      </c>
      <c r="E1582" s="2" t="str">
        <f>"Q"&amp;ROUNDUP(MONTH(Table1[[#This Row],[PurchaseDate]])/3,0)</f>
        <v>Q3</v>
      </c>
      <c r="F1582" s="2">
        <f>MONTH(Table1[[#This Row],[PurchaseDate]])</f>
        <v>7</v>
      </c>
      <c r="G1582" s="2" t="str">
        <f>TEXT(Table1[[#This Row],[PurchaseDate]],"MMM")</f>
        <v>Jul</v>
      </c>
      <c r="H1582">
        <v>5</v>
      </c>
      <c r="I1582">
        <v>95.09</v>
      </c>
      <c r="J1582" t="s">
        <v>2932</v>
      </c>
      <c r="K1582" t="s">
        <v>13</v>
      </c>
      <c r="L1582" t="s">
        <v>23</v>
      </c>
      <c r="M1582">
        <v>3</v>
      </c>
      <c r="N1582">
        <v>475.45</v>
      </c>
    </row>
    <row r="1583" spans="1:14" x14ac:dyDescent="0.3">
      <c r="A1583" t="s">
        <v>1949</v>
      </c>
      <c r="B1583" t="s">
        <v>42</v>
      </c>
      <c r="C1583" s="1">
        <v>45501</v>
      </c>
      <c r="D1583" s="2">
        <f>YEAR(Table1[[#This Row],[PurchaseDate]])</f>
        <v>2024</v>
      </c>
      <c r="E1583" s="2" t="str">
        <f>"Q"&amp;ROUNDUP(MONTH(Table1[[#This Row],[PurchaseDate]])/3,0)</f>
        <v>Q3</v>
      </c>
      <c r="F1583" s="2">
        <f>MONTH(Table1[[#This Row],[PurchaseDate]])</f>
        <v>7</v>
      </c>
      <c r="G1583" s="2" t="str">
        <f>TEXT(Table1[[#This Row],[PurchaseDate]],"MMM")</f>
        <v>Jul</v>
      </c>
      <c r="H1583">
        <v>1</v>
      </c>
      <c r="I1583">
        <v>735.73</v>
      </c>
      <c r="J1583" t="s">
        <v>1950</v>
      </c>
      <c r="K1583" t="s">
        <v>18</v>
      </c>
      <c r="L1583" t="s">
        <v>58</v>
      </c>
      <c r="M1583">
        <v>2</v>
      </c>
      <c r="N1583">
        <v>735.73</v>
      </c>
    </row>
    <row r="1584" spans="1:14" x14ac:dyDescent="0.3">
      <c r="A1584" t="s">
        <v>2933</v>
      </c>
      <c r="B1584" t="s">
        <v>34</v>
      </c>
      <c r="C1584" s="1">
        <v>45826</v>
      </c>
      <c r="D1584" s="2">
        <f>YEAR(Table1[[#This Row],[PurchaseDate]])</f>
        <v>2025</v>
      </c>
      <c r="E1584" s="2" t="str">
        <f>"Q"&amp;ROUNDUP(MONTH(Table1[[#This Row],[PurchaseDate]])/3,0)</f>
        <v>Q2</v>
      </c>
      <c r="F1584" s="2">
        <f>MONTH(Table1[[#This Row],[PurchaseDate]])</f>
        <v>6</v>
      </c>
      <c r="G1584" s="2" t="str">
        <f>TEXT(Table1[[#This Row],[PurchaseDate]],"MMM")</f>
        <v>Jun</v>
      </c>
      <c r="H1584">
        <v>5</v>
      </c>
      <c r="I1584">
        <v>598.36</v>
      </c>
      <c r="J1584" t="s">
        <v>2934</v>
      </c>
      <c r="K1584" t="s">
        <v>13</v>
      </c>
      <c r="L1584" t="s">
        <v>58</v>
      </c>
      <c r="M1584">
        <v>2</v>
      </c>
      <c r="N1584">
        <v>2991.8</v>
      </c>
    </row>
    <row r="1585" spans="1:14" x14ac:dyDescent="0.3">
      <c r="A1585" t="s">
        <v>2935</v>
      </c>
      <c r="B1585" t="s">
        <v>11</v>
      </c>
      <c r="C1585" s="1">
        <v>45316</v>
      </c>
      <c r="D1585" s="2">
        <f>YEAR(Table1[[#This Row],[PurchaseDate]])</f>
        <v>2024</v>
      </c>
      <c r="E1585" s="2" t="str">
        <f>"Q"&amp;ROUNDUP(MONTH(Table1[[#This Row],[PurchaseDate]])/3,0)</f>
        <v>Q1</v>
      </c>
      <c r="F1585" s="2">
        <f>MONTH(Table1[[#This Row],[PurchaseDate]])</f>
        <v>1</v>
      </c>
      <c r="G1585" s="2" t="str">
        <f>TEXT(Table1[[#This Row],[PurchaseDate]],"MMM")</f>
        <v>Jan</v>
      </c>
      <c r="H1585">
        <v>5</v>
      </c>
      <c r="I1585">
        <v>718.01</v>
      </c>
      <c r="J1585" t="s">
        <v>2936</v>
      </c>
      <c r="K1585" t="s">
        <v>18</v>
      </c>
      <c r="L1585" t="s">
        <v>14</v>
      </c>
      <c r="M1585">
        <v>4</v>
      </c>
      <c r="N1585">
        <v>3590.05</v>
      </c>
    </row>
    <row r="1586" spans="1:14" x14ac:dyDescent="0.3">
      <c r="A1586" t="s">
        <v>2937</v>
      </c>
      <c r="B1586" t="s">
        <v>11</v>
      </c>
      <c r="C1586" s="1">
        <v>45729</v>
      </c>
      <c r="D1586" s="2">
        <f>YEAR(Table1[[#This Row],[PurchaseDate]])</f>
        <v>2025</v>
      </c>
      <c r="E1586" s="2" t="str">
        <f>"Q"&amp;ROUNDUP(MONTH(Table1[[#This Row],[PurchaseDate]])/3,0)</f>
        <v>Q1</v>
      </c>
      <c r="F1586" s="2">
        <f>MONTH(Table1[[#This Row],[PurchaseDate]])</f>
        <v>3</v>
      </c>
      <c r="G1586" s="2" t="str">
        <f>TEXT(Table1[[#This Row],[PurchaseDate]],"MMM")</f>
        <v>Mar</v>
      </c>
      <c r="H1586">
        <v>5</v>
      </c>
      <c r="I1586">
        <v>322.67</v>
      </c>
      <c r="J1586" t="s">
        <v>2938</v>
      </c>
      <c r="K1586" t="s">
        <v>18</v>
      </c>
      <c r="L1586" t="s">
        <v>14</v>
      </c>
      <c r="M1586">
        <v>5</v>
      </c>
      <c r="N1586">
        <v>1613.35</v>
      </c>
    </row>
    <row r="1587" spans="1:14" x14ac:dyDescent="0.3">
      <c r="A1587" t="s">
        <v>2939</v>
      </c>
      <c r="B1587" t="s">
        <v>21</v>
      </c>
      <c r="C1587" s="1">
        <v>45182</v>
      </c>
      <c r="D1587" s="2">
        <f>YEAR(Table1[[#This Row],[PurchaseDate]])</f>
        <v>2023</v>
      </c>
      <c r="E1587" s="2" t="str">
        <f>"Q"&amp;ROUNDUP(MONTH(Table1[[#This Row],[PurchaseDate]])/3,0)</f>
        <v>Q3</v>
      </c>
      <c r="F1587" s="2">
        <f>MONTH(Table1[[#This Row],[PurchaseDate]])</f>
        <v>9</v>
      </c>
      <c r="G1587" s="2" t="str">
        <f>TEXT(Table1[[#This Row],[PurchaseDate]],"MMM")</f>
        <v>Sep</v>
      </c>
      <c r="H1587">
        <v>7</v>
      </c>
      <c r="I1587">
        <v>56.28</v>
      </c>
      <c r="J1587" t="s">
        <v>2940</v>
      </c>
      <c r="K1587" t="s">
        <v>18</v>
      </c>
      <c r="L1587" t="s">
        <v>14</v>
      </c>
      <c r="M1587">
        <v>4</v>
      </c>
      <c r="N1587">
        <v>393.96</v>
      </c>
    </row>
    <row r="1588" spans="1:14" x14ac:dyDescent="0.3">
      <c r="A1588" t="s">
        <v>2941</v>
      </c>
      <c r="B1588" t="s">
        <v>29</v>
      </c>
      <c r="C1588" s="1">
        <v>45455</v>
      </c>
      <c r="D1588" s="2">
        <f>YEAR(Table1[[#This Row],[PurchaseDate]])</f>
        <v>2024</v>
      </c>
      <c r="E1588" s="2" t="str">
        <f>"Q"&amp;ROUNDUP(MONTH(Table1[[#This Row],[PurchaseDate]])/3,0)</f>
        <v>Q2</v>
      </c>
      <c r="F1588" s="2">
        <f>MONTH(Table1[[#This Row],[PurchaseDate]])</f>
        <v>6</v>
      </c>
      <c r="G1588" s="2" t="str">
        <f>TEXT(Table1[[#This Row],[PurchaseDate]],"MMM")</f>
        <v>Jun</v>
      </c>
      <c r="H1588">
        <v>6</v>
      </c>
      <c r="I1588">
        <v>370.95</v>
      </c>
      <c r="J1588" t="s">
        <v>2942</v>
      </c>
      <c r="K1588" t="s">
        <v>38</v>
      </c>
      <c r="L1588" t="s">
        <v>23</v>
      </c>
      <c r="M1588">
        <v>4</v>
      </c>
      <c r="N1588">
        <v>2225.6999999999998</v>
      </c>
    </row>
    <row r="1589" spans="1:14" x14ac:dyDescent="0.3">
      <c r="A1589" t="s">
        <v>2943</v>
      </c>
      <c r="B1589" t="s">
        <v>34</v>
      </c>
      <c r="C1589" s="1">
        <v>45787</v>
      </c>
      <c r="D1589" s="2">
        <f>YEAR(Table1[[#This Row],[PurchaseDate]])</f>
        <v>2025</v>
      </c>
      <c r="E1589" s="2" t="str">
        <f>"Q"&amp;ROUNDUP(MONTH(Table1[[#This Row],[PurchaseDate]])/3,0)</f>
        <v>Q2</v>
      </c>
      <c r="F1589" s="2">
        <f>MONTH(Table1[[#This Row],[PurchaseDate]])</f>
        <v>5</v>
      </c>
      <c r="G1589" s="2" t="str">
        <f>TEXT(Table1[[#This Row],[PurchaseDate]],"MMM")</f>
        <v>May</v>
      </c>
      <c r="H1589">
        <v>5</v>
      </c>
      <c r="I1589">
        <v>234.71</v>
      </c>
      <c r="J1589" t="s">
        <v>2944</v>
      </c>
      <c r="K1589" t="s">
        <v>18</v>
      </c>
      <c r="L1589" t="s">
        <v>23</v>
      </c>
      <c r="M1589">
        <v>2</v>
      </c>
      <c r="N1589">
        <v>1173.55</v>
      </c>
    </row>
    <row r="1590" spans="1:14" x14ac:dyDescent="0.3">
      <c r="A1590" t="s">
        <v>2945</v>
      </c>
      <c r="B1590" t="s">
        <v>42</v>
      </c>
      <c r="C1590" s="1">
        <v>45510</v>
      </c>
      <c r="D1590" s="2">
        <f>YEAR(Table1[[#This Row],[PurchaseDate]])</f>
        <v>2024</v>
      </c>
      <c r="E1590" s="2" t="str">
        <f>"Q"&amp;ROUNDUP(MONTH(Table1[[#This Row],[PurchaseDate]])/3,0)</f>
        <v>Q3</v>
      </c>
      <c r="F1590" s="2">
        <f>MONTH(Table1[[#This Row],[PurchaseDate]])</f>
        <v>8</v>
      </c>
      <c r="G1590" s="2" t="str">
        <f>TEXT(Table1[[#This Row],[PurchaseDate]],"MMM")</f>
        <v>Aug</v>
      </c>
      <c r="H1590">
        <v>6</v>
      </c>
      <c r="I1590">
        <v>555.21</v>
      </c>
      <c r="J1590" t="s">
        <v>2946</v>
      </c>
      <c r="K1590" t="s">
        <v>18</v>
      </c>
      <c r="L1590" t="s">
        <v>14</v>
      </c>
      <c r="M1590">
        <v>5</v>
      </c>
      <c r="N1590">
        <v>3331.26</v>
      </c>
    </row>
    <row r="1591" spans="1:14" x14ac:dyDescent="0.3">
      <c r="A1591" t="s">
        <v>2947</v>
      </c>
      <c r="B1591" t="s">
        <v>11</v>
      </c>
      <c r="C1591" s="1">
        <v>45109</v>
      </c>
      <c r="D1591" s="2">
        <f>YEAR(Table1[[#This Row],[PurchaseDate]])</f>
        <v>2023</v>
      </c>
      <c r="E1591" s="2" t="str">
        <f>"Q"&amp;ROUNDUP(MONTH(Table1[[#This Row],[PurchaseDate]])/3,0)</f>
        <v>Q3</v>
      </c>
      <c r="F1591" s="2">
        <f>MONTH(Table1[[#This Row],[PurchaseDate]])</f>
        <v>7</v>
      </c>
      <c r="G1591" s="2" t="str">
        <f>TEXT(Table1[[#This Row],[PurchaseDate]],"MMM")</f>
        <v>Jul</v>
      </c>
      <c r="H1591">
        <v>1</v>
      </c>
      <c r="I1591">
        <v>466.31</v>
      </c>
      <c r="J1591" t="s">
        <v>2948</v>
      </c>
      <c r="K1591" t="s">
        <v>18</v>
      </c>
      <c r="L1591" t="s">
        <v>23</v>
      </c>
      <c r="M1591">
        <v>3</v>
      </c>
      <c r="N1591">
        <v>466.31</v>
      </c>
    </row>
    <row r="1592" spans="1:14" x14ac:dyDescent="0.3">
      <c r="A1592" t="s">
        <v>2949</v>
      </c>
      <c r="B1592" t="s">
        <v>11</v>
      </c>
      <c r="C1592" s="1">
        <v>45526</v>
      </c>
      <c r="D1592" s="2">
        <f>YEAR(Table1[[#This Row],[PurchaseDate]])</f>
        <v>2024</v>
      </c>
      <c r="E1592" s="2" t="str">
        <f>"Q"&amp;ROUNDUP(MONTH(Table1[[#This Row],[PurchaseDate]])/3,0)</f>
        <v>Q3</v>
      </c>
      <c r="F1592" s="2">
        <f>MONTH(Table1[[#This Row],[PurchaseDate]])</f>
        <v>8</v>
      </c>
      <c r="G1592" s="2" t="str">
        <f>TEXT(Table1[[#This Row],[PurchaseDate]],"MMM")</f>
        <v>Aug</v>
      </c>
      <c r="H1592">
        <v>5</v>
      </c>
      <c r="I1592">
        <v>576.74</v>
      </c>
      <c r="J1592" t="s">
        <v>2950</v>
      </c>
      <c r="K1592" t="s">
        <v>13</v>
      </c>
      <c r="L1592" t="s">
        <v>58</v>
      </c>
      <c r="M1592">
        <v>3</v>
      </c>
      <c r="N1592">
        <v>2883.7</v>
      </c>
    </row>
    <row r="1593" spans="1:14" x14ac:dyDescent="0.3">
      <c r="A1593" t="s">
        <v>1671</v>
      </c>
      <c r="B1593" t="s">
        <v>11</v>
      </c>
      <c r="C1593" s="1">
        <v>45395</v>
      </c>
      <c r="D1593" s="2">
        <f>YEAR(Table1[[#This Row],[PurchaseDate]])</f>
        <v>2024</v>
      </c>
      <c r="E1593" s="2" t="str">
        <f>"Q"&amp;ROUNDUP(MONTH(Table1[[#This Row],[PurchaseDate]])/3,0)</f>
        <v>Q2</v>
      </c>
      <c r="F1593" s="2">
        <f>MONTH(Table1[[#This Row],[PurchaseDate]])</f>
        <v>4</v>
      </c>
      <c r="G1593" s="2" t="str">
        <f>TEXT(Table1[[#This Row],[PurchaseDate]],"MMM")</f>
        <v>Apr</v>
      </c>
      <c r="H1593">
        <v>4</v>
      </c>
      <c r="I1593">
        <v>89.55</v>
      </c>
      <c r="J1593" t="s">
        <v>1672</v>
      </c>
      <c r="K1593" t="s">
        <v>38</v>
      </c>
      <c r="L1593" t="s">
        <v>58</v>
      </c>
      <c r="M1593">
        <v>5</v>
      </c>
      <c r="N1593">
        <v>358.2</v>
      </c>
    </row>
    <row r="1594" spans="1:14" x14ac:dyDescent="0.3">
      <c r="A1594" t="s">
        <v>2951</v>
      </c>
      <c r="B1594" t="s">
        <v>16</v>
      </c>
      <c r="C1594" s="1">
        <v>44946</v>
      </c>
      <c r="D1594" s="2">
        <f>YEAR(Table1[[#This Row],[PurchaseDate]])</f>
        <v>2023</v>
      </c>
      <c r="E1594" s="2" t="str">
        <f>"Q"&amp;ROUNDUP(MONTH(Table1[[#This Row],[PurchaseDate]])/3,0)</f>
        <v>Q1</v>
      </c>
      <c r="F1594" s="2">
        <f>MONTH(Table1[[#This Row],[PurchaseDate]])</f>
        <v>1</v>
      </c>
      <c r="G1594" s="2" t="str">
        <f>TEXT(Table1[[#This Row],[PurchaseDate]],"MMM")</f>
        <v>Jan</v>
      </c>
      <c r="H1594">
        <v>4</v>
      </c>
      <c r="I1594">
        <v>189.94</v>
      </c>
      <c r="J1594" t="s">
        <v>2952</v>
      </c>
      <c r="K1594" t="s">
        <v>13</v>
      </c>
      <c r="L1594" t="s">
        <v>58</v>
      </c>
      <c r="M1594">
        <v>1</v>
      </c>
      <c r="N1594">
        <v>759.76</v>
      </c>
    </row>
    <row r="1595" spans="1:14" x14ac:dyDescent="0.3">
      <c r="A1595" t="s">
        <v>2953</v>
      </c>
      <c r="B1595" t="s">
        <v>11</v>
      </c>
      <c r="C1595" s="1">
        <v>45265</v>
      </c>
      <c r="D1595" s="2">
        <f>YEAR(Table1[[#This Row],[PurchaseDate]])</f>
        <v>2023</v>
      </c>
      <c r="E1595" s="2" t="str">
        <f>"Q"&amp;ROUNDUP(MONTH(Table1[[#This Row],[PurchaseDate]])/3,0)</f>
        <v>Q4</v>
      </c>
      <c r="F1595" s="2">
        <f>MONTH(Table1[[#This Row],[PurchaseDate]])</f>
        <v>12</v>
      </c>
      <c r="G1595" s="2" t="str">
        <f>TEXT(Table1[[#This Row],[PurchaseDate]],"MMM")</f>
        <v>Dec</v>
      </c>
      <c r="H1595">
        <v>1</v>
      </c>
      <c r="I1595">
        <v>202.98</v>
      </c>
      <c r="J1595" t="s">
        <v>2954</v>
      </c>
      <c r="K1595" t="s">
        <v>13</v>
      </c>
      <c r="L1595" t="s">
        <v>23</v>
      </c>
      <c r="M1595">
        <v>5</v>
      </c>
      <c r="N1595">
        <v>202.98</v>
      </c>
    </row>
    <row r="1596" spans="1:14" x14ac:dyDescent="0.3">
      <c r="A1596" t="s">
        <v>2955</v>
      </c>
      <c r="B1596" t="s">
        <v>29</v>
      </c>
      <c r="C1596" s="1">
        <v>45169</v>
      </c>
      <c r="D1596" s="2">
        <f>YEAR(Table1[[#This Row],[PurchaseDate]])</f>
        <v>2023</v>
      </c>
      <c r="E1596" s="2" t="str">
        <f>"Q"&amp;ROUNDUP(MONTH(Table1[[#This Row],[PurchaseDate]])/3,0)</f>
        <v>Q3</v>
      </c>
      <c r="F1596" s="2">
        <f>MONTH(Table1[[#This Row],[PurchaseDate]])</f>
        <v>8</v>
      </c>
      <c r="G1596" s="2" t="str">
        <f>TEXT(Table1[[#This Row],[PurchaseDate]],"MMM")</f>
        <v>Aug</v>
      </c>
      <c r="H1596">
        <v>1</v>
      </c>
      <c r="I1596">
        <v>267.7</v>
      </c>
      <c r="J1596" t="s">
        <v>2956</v>
      </c>
      <c r="K1596" t="s">
        <v>18</v>
      </c>
      <c r="L1596" t="s">
        <v>14</v>
      </c>
      <c r="M1596">
        <v>5</v>
      </c>
      <c r="N1596">
        <v>267.7</v>
      </c>
    </row>
    <row r="1597" spans="1:14" x14ac:dyDescent="0.3">
      <c r="A1597" t="s">
        <v>2957</v>
      </c>
      <c r="B1597" t="s">
        <v>11</v>
      </c>
      <c r="C1597" s="1">
        <v>45798</v>
      </c>
      <c r="D1597" s="2">
        <f>YEAR(Table1[[#This Row],[PurchaseDate]])</f>
        <v>2025</v>
      </c>
      <c r="E1597" s="2" t="str">
        <f>"Q"&amp;ROUNDUP(MONTH(Table1[[#This Row],[PurchaseDate]])/3,0)</f>
        <v>Q2</v>
      </c>
      <c r="F1597" s="2">
        <f>MONTH(Table1[[#This Row],[PurchaseDate]])</f>
        <v>5</v>
      </c>
      <c r="G1597" s="2" t="str">
        <f>TEXT(Table1[[#This Row],[PurchaseDate]],"MMM")</f>
        <v>May</v>
      </c>
      <c r="H1597">
        <v>3</v>
      </c>
      <c r="I1597">
        <v>374.04</v>
      </c>
      <c r="J1597" t="s">
        <v>2958</v>
      </c>
      <c r="K1597" t="s">
        <v>38</v>
      </c>
      <c r="L1597" t="s">
        <v>27</v>
      </c>
      <c r="M1597">
        <v>3</v>
      </c>
      <c r="N1597">
        <v>1122.1199999999999</v>
      </c>
    </row>
    <row r="1598" spans="1:14" x14ac:dyDescent="0.3">
      <c r="A1598" t="s">
        <v>2959</v>
      </c>
      <c r="B1598" t="s">
        <v>16</v>
      </c>
      <c r="C1598" s="1">
        <v>44992</v>
      </c>
      <c r="D1598" s="2">
        <f>YEAR(Table1[[#This Row],[PurchaseDate]])</f>
        <v>2023</v>
      </c>
      <c r="E1598" s="2" t="str">
        <f>"Q"&amp;ROUNDUP(MONTH(Table1[[#This Row],[PurchaseDate]])/3,0)</f>
        <v>Q1</v>
      </c>
      <c r="F1598" s="2">
        <f>MONTH(Table1[[#This Row],[PurchaseDate]])</f>
        <v>3</v>
      </c>
      <c r="G1598" s="2" t="str">
        <f>TEXT(Table1[[#This Row],[PurchaseDate]],"MMM")</f>
        <v>Mar</v>
      </c>
      <c r="H1598">
        <v>6</v>
      </c>
      <c r="I1598">
        <v>279.77999999999997</v>
      </c>
      <c r="J1598" t="s">
        <v>2960</v>
      </c>
      <c r="K1598" t="s">
        <v>18</v>
      </c>
      <c r="L1598" t="s">
        <v>23</v>
      </c>
      <c r="M1598">
        <v>4</v>
      </c>
      <c r="N1598">
        <v>1678.68</v>
      </c>
    </row>
    <row r="1599" spans="1:14" x14ac:dyDescent="0.3">
      <c r="A1599" t="s">
        <v>2961</v>
      </c>
      <c r="B1599" t="s">
        <v>11</v>
      </c>
      <c r="C1599" s="1">
        <v>45550</v>
      </c>
      <c r="D1599" s="2">
        <f>YEAR(Table1[[#This Row],[PurchaseDate]])</f>
        <v>2024</v>
      </c>
      <c r="E1599" s="2" t="str">
        <f>"Q"&amp;ROUNDUP(MONTH(Table1[[#This Row],[PurchaseDate]])/3,0)</f>
        <v>Q3</v>
      </c>
      <c r="F1599" s="2">
        <f>MONTH(Table1[[#This Row],[PurchaseDate]])</f>
        <v>9</v>
      </c>
      <c r="G1599" s="2" t="str">
        <f>TEXT(Table1[[#This Row],[PurchaseDate]],"MMM")</f>
        <v>Sep</v>
      </c>
      <c r="H1599">
        <v>4</v>
      </c>
      <c r="I1599">
        <v>720.83</v>
      </c>
      <c r="J1599" t="s">
        <v>2962</v>
      </c>
      <c r="K1599" t="s">
        <v>38</v>
      </c>
      <c r="L1599" t="s">
        <v>23</v>
      </c>
      <c r="M1599">
        <v>2</v>
      </c>
      <c r="N1599">
        <v>2883.32</v>
      </c>
    </row>
    <row r="1600" spans="1:14" x14ac:dyDescent="0.3">
      <c r="A1600" t="s">
        <v>2963</v>
      </c>
      <c r="B1600" t="s">
        <v>16</v>
      </c>
      <c r="C1600" s="1">
        <v>45690</v>
      </c>
      <c r="D1600" s="2">
        <f>YEAR(Table1[[#This Row],[PurchaseDate]])</f>
        <v>2025</v>
      </c>
      <c r="E1600" s="2" t="str">
        <f>"Q"&amp;ROUNDUP(MONTH(Table1[[#This Row],[PurchaseDate]])/3,0)</f>
        <v>Q1</v>
      </c>
      <c r="F1600" s="2">
        <f>MONTH(Table1[[#This Row],[PurchaseDate]])</f>
        <v>2</v>
      </c>
      <c r="G1600" s="2" t="str">
        <f>TEXT(Table1[[#This Row],[PurchaseDate]],"MMM")</f>
        <v>Feb</v>
      </c>
      <c r="H1600">
        <v>3</v>
      </c>
      <c r="I1600">
        <v>142.91</v>
      </c>
      <c r="J1600" t="s">
        <v>2964</v>
      </c>
      <c r="K1600" t="s">
        <v>38</v>
      </c>
      <c r="L1600" t="s">
        <v>58</v>
      </c>
      <c r="M1600">
        <v>2</v>
      </c>
      <c r="N1600">
        <v>428.73</v>
      </c>
    </row>
    <row r="1601" spans="1:14" x14ac:dyDescent="0.3">
      <c r="A1601" t="s">
        <v>2965</v>
      </c>
      <c r="B1601" t="s">
        <v>42</v>
      </c>
      <c r="C1601" s="1">
        <v>45776</v>
      </c>
      <c r="D1601" s="2">
        <f>YEAR(Table1[[#This Row],[PurchaseDate]])</f>
        <v>2025</v>
      </c>
      <c r="E1601" s="2" t="str">
        <f>"Q"&amp;ROUNDUP(MONTH(Table1[[#This Row],[PurchaseDate]])/3,0)</f>
        <v>Q2</v>
      </c>
      <c r="F1601" s="2">
        <f>MONTH(Table1[[#This Row],[PurchaseDate]])</f>
        <v>4</v>
      </c>
      <c r="G1601" s="2" t="str">
        <f>TEXT(Table1[[#This Row],[PurchaseDate]],"MMM")</f>
        <v>Apr</v>
      </c>
      <c r="H1601">
        <v>1</v>
      </c>
      <c r="I1601">
        <v>728.52</v>
      </c>
      <c r="J1601" t="s">
        <v>2966</v>
      </c>
      <c r="K1601" t="s">
        <v>13</v>
      </c>
      <c r="L1601" t="s">
        <v>19</v>
      </c>
      <c r="M1601">
        <v>2</v>
      </c>
      <c r="N1601">
        <v>728.52</v>
      </c>
    </row>
    <row r="1602" spans="1:14" x14ac:dyDescent="0.3">
      <c r="A1602" t="s">
        <v>2967</v>
      </c>
      <c r="B1602" t="s">
        <v>21</v>
      </c>
      <c r="C1602" s="1">
        <v>45585</v>
      </c>
      <c r="D1602" s="2">
        <f>YEAR(Table1[[#This Row],[PurchaseDate]])</f>
        <v>2024</v>
      </c>
      <c r="E1602" s="2" t="str">
        <f>"Q"&amp;ROUNDUP(MONTH(Table1[[#This Row],[PurchaseDate]])/3,0)</f>
        <v>Q4</v>
      </c>
      <c r="F1602" s="2">
        <f>MONTH(Table1[[#This Row],[PurchaseDate]])</f>
        <v>10</v>
      </c>
      <c r="G1602" s="2" t="str">
        <f>TEXT(Table1[[#This Row],[PurchaseDate]],"MMM")</f>
        <v>Oct</v>
      </c>
      <c r="H1602">
        <v>5</v>
      </c>
      <c r="I1602">
        <v>344.1</v>
      </c>
      <c r="J1602" t="s">
        <v>2968</v>
      </c>
      <c r="K1602" t="s">
        <v>18</v>
      </c>
      <c r="L1602" t="s">
        <v>19</v>
      </c>
      <c r="M1602">
        <v>3</v>
      </c>
      <c r="N1602">
        <v>1720.5</v>
      </c>
    </row>
    <row r="1603" spans="1:14" x14ac:dyDescent="0.3">
      <c r="A1603" t="s">
        <v>2969</v>
      </c>
      <c r="B1603" t="s">
        <v>29</v>
      </c>
      <c r="C1603" s="1">
        <v>45046</v>
      </c>
      <c r="D1603" s="2">
        <f>YEAR(Table1[[#This Row],[PurchaseDate]])</f>
        <v>2023</v>
      </c>
      <c r="E1603" s="2" t="str">
        <f>"Q"&amp;ROUNDUP(MONTH(Table1[[#This Row],[PurchaseDate]])/3,0)</f>
        <v>Q2</v>
      </c>
      <c r="F1603" s="2">
        <f>MONTH(Table1[[#This Row],[PurchaseDate]])</f>
        <v>4</v>
      </c>
      <c r="G1603" s="2" t="str">
        <f>TEXT(Table1[[#This Row],[PurchaseDate]],"MMM")</f>
        <v>Apr</v>
      </c>
      <c r="H1603">
        <v>4</v>
      </c>
      <c r="I1603">
        <v>698.77</v>
      </c>
      <c r="J1603" t="s">
        <v>2970</v>
      </c>
      <c r="K1603" t="s">
        <v>18</v>
      </c>
      <c r="L1603" t="s">
        <v>23</v>
      </c>
      <c r="M1603">
        <v>4</v>
      </c>
      <c r="N1603">
        <v>2795.08</v>
      </c>
    </row>
    <row r="1604" spans="1:14" x14ac:dyDescent="0.3">
      <c r="A1604" t="s">
        <v>2971</v>
      </c>
      <c r="B1604" t="s">
        <v>29</v>
      </c>
      <c r="C1604" s="1">
        <v>45556</v>
      </c>
      <c r="D1604" s="2">
        <f>YEAR(Table1[[#This Row],[PurchaseDate]])</f>
        <v>2024</v>
      </c>
      <c r="E1604" s="2" t="str">
        <f>"Q"&amp;ROUNDUP(MONTH(Table1[[#This Row],[PurchaseDate]])/3,0)</f>
        <v>Q3</v>
      </c>
      <c r="F1604" s="2">
        <f>MONTH(Table1[[#This Row],[PurchaseDate]])</f>
        <v>9</v>
      </c>
      <c r="G1604" s="2" t="str">
        <f>TEXT(Table1[[#This Row],[PurchaseDate]],"MMM")</f>
        <v>Sep</v>
      </c>
      <c r="H1604">
        <v>5</v>
      </c>
      <c r="I1604">
        <v>682.34</v>
      </c>
      <c r="J1604" t="s">
        <v>2972</v>
      </c>
      <c r="K1604" t="s">
        <v>13</v>
      </c>
      <c r="L1604" t="s">
        <v>27</v>
      </c>
      <c r="M1604">
        <v>3</v>
      </c>
      <c r="N1604">
        <v>3411.7</v>
      </c>
    </row>
    <row r="1605" spans="1:14" x14ac:dyDescent="0.3">
      <c r="A1605" t="s">
        <v>2973</v>
      </c>
      <c r="B1605" t="s">
        <v>16</v>
      </c>
      <c r="C1605" s="1">
        <v>45756</v>
      </c>
      <c r="D1605" s="2">
        <f>YEAR(Table1[[#This Row],[PurchaseDate]])</f>
        <v>2025</v>
      </c>
      <c r="E1605" s="2" t="str">
        <f>"Q"&amp;ROUNDUP(MONTH(Table1[[#This Row],[PurchaseDate]])/3,0)</f>
        <v>Q2</v>
      </c>
      <c r="F1605" s="2">
        <f>MONTH(Table1[[#This Row],[PurchaseDate]])</f>
        <v>4</v>
      </c>
      <c r="G1605" s="2" t="str">
        <f>TEXT(Table1[[#This Row],[PurchaseDate]],"MMM")</f>
        <v>Apr</v>
      </c>
      <c r="H1605">
        <v>1</v>
      </c>
      <c r="I1605">
        <v>424.9</v>
      </c>
      <c r="J1605" t="s">
        <v>2974</v>
      </c>
      <c r="K1605" t="s">
        <v>38</v>
      </c>
      <c r="L1605" t="s">
        <v>19</v>
      </c>
      <c r="M1605">
        <v>5</v>
      </c>
      <c r="N1605">
        <v>424.9</v>
      </c>
    </row>
    <row r="1606" spans="1:14" x14ac:dyDescent="0.3">
      <c r="A1606" t="s">
        <v>2975</v>
      </c>
      <c r="B1606" t="s">
        <v>11</v>
      </c>
      <c r="C1606" s="1">
        <v>45220</v>
      </c>
      <c r="D1606" s="2">
        <f>YEAR(Table1[[#This Row],[PurchaseDate]])</f>
        <v>2023</v>
      </c>
      <c r="E1606" s="2" t="str">
        <f>"Q"&amp;ROUNDUP(MONTH(Table1[[#This Row],[PurchaseDate]])/3,0)</f>
        <v>Q4</v>
      </c>
      <c r="F1606" s="2">
        <f>MONTH(Table1[[#This Row],[PurchaseDate]])</f>
        <v>10</v>
      </c>
      <c r="G1606" s="2" t="str">
        <f>TEXT(Table1[[#This Row],[PurchaseDate]],"MMM")</f>
        <v>Oct</v>
      </c>
      <c r="H1606">
        <v>3</v>
      </c>
      <c r="I1606">
        <v>377.96</v>
      </c>
      <c r="J1606" t="s">
        <v>2976</v>
      </c>
      <c r="K1606" t="s">
        <v>18</v>
      </c>
      <c r="L1606" t="s">
        <v>19</v>
      </c>
      <c r="M1606">
        <v>5</v>
      </c>
      <c r="N1606">
        <v>1133.8800000000001</v>
      </c>
    </row>
    <row r="1607" spans="1:14" x14ac:dyDescent="0.3">
      <c r="A1607" t="s">
        <v>2977</v>
      </c>
      <c r="B1607" t="s">
        <v>21</v>
      </c>
      <c r="C1607" s="1">
        <v>45051</v>
      </c>
      <c r="D1607" s="2">
        <f>YEAR(Table1[[#This Row],[PurchaseDate]])</f>
        <v>2023</v>
      </c>
      <c r="E1607" s="2" t="str">
        <f>"Q"&amp;ROUNDUP(MONTH(Table1[[#This Row],[PurchaseDate]])/3,0)</f>
        <v>Q2</v>
      </c>
      <c r="F1607" s="2">
        <f>MONTH(Table1[[#This Row],[PurchaseDate]])</f>
        <v>5</v>
      </c>
      <c r="G1607" s="2" t="str">
        <f>TEXT(Table1[[#This Row],[PurchaseDate]],"MMM")</f>
        <v>May</v>
      </c>
      <c r="H1607">
        <v>7</v>
      </c>
      <c r="I1607">
        <v>412.69</v>
      </c>
      <c r="J1607" t="s">
        <v>2978</v>
      </c>
      <c r="K1607" t="s">
        <v>18</v>
      </c>
      <c r="L1607" t="s">
        <v>58</v>
      </c>
      <c r="M1607">
        <v>4</v>
      </c>
      <c r="N1607">
        <v>2888.83</v>
      </c>
    </row>
    <row r="1608" spans="1:14" x14ac:dyDescent="0.3">
      <c r="A1608" t="s">
        <v>2979</v>
      </c>
      <c r="B1608" t="s">
        <v>29</v>
      </c>
      <c r="C1608" s="1">
        <v>45114</v>
      </c>
      <c r="D1608" s="2">
        <f>YEAR(Table1[[#This Row],[PurchaseDate]])</f>
        <v>2023</v>
      </c>
      <c r="E1608" s="2" t="str">
        <f>"Q"&amp;ROUNDUP(MONTH(Table1[[#This Row],[PurchaseDate]])/3,0)</f>
        <v>Q3</v>
      </c>
      <c r="F1608" s="2">
        <f>MONTH(Table1[[#This Row],[PurchaseDate]])</f>
        <v>7</v>
      </c>
      <c r="G1608" s="2" t="str">
        <f>TEXT(Table1[[#This Row],[PurchaseDate]],"MMM")</f>
        <v>Jul</v>
      </c>
      <c r="H1608">
        <v>7</v>
      </c>
      <c r="I1608">
        <v>445.47</v>
      </c>
      <c r="J1608" t="s">
        <v>2980</v>
      </c>
      <c r="K1608" t="s">
        <v>13</v>
      </c>
      <c r="L1608" t="s">
        <v>27</v>
      </c>
      <c r="M1608">
        <v>1</v>
      </c>
      <c r="N1608">
        <v>3118.29</v>
      </c>
    </row>
    <row r="1609" spans="1:14" x14ac:dyDescent="0.3">
      <c r="A1609" t="s">
        <v>2981</v>
      </c>
      <c r="B1609" t="s">
        <v>11</v>
      </c>
      <c r="C1609" s="1">
        <v>45408</v>
      </c>
      <c r="D1609" s="2">
        <f>YEAR(Table1[[#This Row],[PurchaseDate]])</f>
        <v>2024</v>
      </c>
      <c r="E1609" s="2" t="str">
        <f>"Q"&amp;ROUNDUP(MONTH(Table1[[#This Row],[PurchaseDate]])/3,0)</f>
        <v>Q2</v>
      </c>
      <c r="F1609" s="2">
        <f>MONTH(Table1[[#This Row],[PurchaseDate]])</f>
        <v>4</v>
      </c>
      <c r="G1609" s="2" t="str">
        <f>TEXT(Table1[[#This Row],[PurchaseDate]],"MMM")</f>
        <v>Apr</v>
      </c>
      <c r="H1609">
        <v>5</v>
      </c>
      <c r="I1609">
        <v>28.12</v>
      </c>
      <c r="J1609" t="s">
        <v>2982</v>
      </c>
      <c r="K1609" t="s">
        <v>18</v>
      </c>
      <c r="L1609" t="s">
        <v>14</v>
      </c>
      <c r="M1609">
        <v>4</v>
      </c>
      <c r="N1609">
        <v>140.6</v>
      </c>
    </row>
    <row r="1610" spans="1:14" x14ac:dyDescent="0.3">
      <c r="A1610" t="s">
        <v>2983</v>
      </c>
      <c r="B1610" t="s">
        <v>29</v>
      </c>
      <c r="C1610" s="1">
        <v>45109</v>
      </c>
      <c r="D1610" s="2">
        <f>YEAR(Table1[[#This Row],[PurchaseDate]])</f>
        <v>2023</v>
      </c>
      <c r="E1610" s="2" t="str">
        <f>"Q"&amp;ROUNDUP(MONTH(Table1[[#This Row],[PurchaseDate]])/3,0)</f>
        <v>Q3</v>
      </c>
      <c r="F1610" s="2">
        <f>MONTH(Table1[[#This Row],[PurchaseDate]])</f>
        <v>7</v>
      </c>
      <c r="G1610" s="2" t="str">
        <f>TEXT(Table1[[#This Row],[PurchaseDate]],"MMM")</f>
        <v>Jul</v>
      </c>
      <c r="H1610">
        <v>2</v>
      </c>
      <c r="I1610">
        <v>778</v>
      </c>
      <c r="J1610" t="s">
        <v>2984</v>
      </c>
      <c r="K1610" t="s">
        <v>18</v>
      </c>
      <c r="L1610" t="s">
        <v>58</v>
      </c>
      <c r="M1610">
        <v>2</v>
      </c>
      <c r="N1610">
        <v>1556</v>
      </c>
    </row>
    <row r="1611" spans="1:14" x14ac:dyDescent="0.3">
      <c r="A1611" t="s">
        <v>2985</v>
      </c>
      <c r="B1611" t="s">
        <v>34</v>
      </c>
      <c r="C1611" s="1">
        <v>45726</v>
      </c>
      <c r="D1611" s="2">
        <f>YEAR(Table1[[#This Row],[PurchaseDate]])</f>
        <v>2025</v>
      </c>
      <c r="E1611" s="2" t="str">
        <f>"Q"&amp;ROUNDUP(MONTH(Table1[[#This Row],[PurchaseDate]])/3,0)</f>
        <v>Q1</v>
      </c>
      <c r="F1611" s="2">
        <f>MONTH(Table1[[#This Row],[PurchaseDate]])</f>
        <v>3</v>
      </c>
      <c r="G1611" s="2" t="str">
        <f>TEXT(Table1[[#This Row],[PurchaseDate]],"MMM")</f>
        <v>Mar</v>
      </c>
      <c r="H1611">
        <v>6</v>
      </c>
      <c r="I1611">
        <v>511.28</v>
      </c>
      <c r="J1611" t="s">
        <v>2986</v>
      </c>
      <c r="K1611" t="s">
        <v>13</v>
      </c>
      <c r="L1611" t="s">
        <v>27</v>
      </c>
      <c r="M1611">
        <v>4</v>
      </c>
      <c r="N1611">
        <v>3067.68</v>
      </c>
    </row>
    <row r="1612" spans="1:14" x14ac:dyDescent="0.3">
      <c r="A1612" t="s">
        <v>2987</v>
      </c>
      <c r="B1612" t="s">
        <v>42</v>
      </c>
      <c r="C1612" s="1">
        <v>45117</v>
      </c>
      <c r="D1612" s="2">
        <f>YEAR(Table1[[#This Row],[PurchaseDate]])</f>
        <v>2023</v>
      </c>
      <c r="E1612" s="2" t="str">
        <f>"Q"&amp;ROUNDUP(MONTH(Table1[[#This Row],[PurchaseDate]])/3,0)</f>
        <v>Q3</v>
      </c>
      <c r="F1612" s="2">
        <f>MONTH(Table1[[#This Row],[PurchaseDate]])</f>
        <v>7</v>
      </c>
      <c r="G1612" s="2" t="str">
        <f>TEXT(Table1[[#This Row],[PurchaseDate]],"MMM")</f>
        <v>Jul</v>
      </c>
      <c r="H1612">
        <v>8</v>
      </c>
      <c r="I1612">
        <v>257.74</v>
      </c>
      <c r="J1612" t="s">
        <v>2988</v>
      </c>
      <c r="K1612" t="s">
        <v>18</v>
      </c>
      <c r="L1612" t="s">
        <v>19</v>
      </c>
      <c r="M1612">
        <v>1</v>
      </c>
      <c r="N1612">
        <v>2061.92</v>
      </c>
    </row>
    <row r="1613" spans="1:14" x14ac:dyDescent="0.3">
      <c r="A1613" t="s">
        <v>1879</v>
      </c>
      <c r="B1613" t="s">
        <v>29</v>
      </c>
      <c r="C1613" s="1">
        <v>45143</v>
      </c>
      <c r="D1613" s="2">
        <f>YEAR(Table1[[#This Row],[PurchaseDate]])</f>
        <v>2023</v>
      </c>
      <c r="E1613" s="2" t="str">
        <f>"Q"&amp;ROUNDUP(MONTH(Table1[[#This Row],[PurchaseDate]])/3,0)</f>
        <v>Q3</v>
      </c>
      <c r="F1613" s="2">
        <f>MONTH(Table1[[#This Row],[PurchaseDate]])</f>
        <v>8</v>
      </c>
      <c r="G1613" s="2" t="str">
        <f>TEXT(Table1[[#This Row],[PurchaseDate]],"MMM")</f>
        <v>Aug</v>
      </c>
      <c r="H1613">
        <v>8</v>
      </c>
      <c r="I1613">
        <v>204.6</v>
      </c>
      <c r="J1613" t="s">
        <v>1880</v>
      </c>
      <c r="K1613" t="s">
        <v>13</v>
      </c>
      <c r="L1613" t="s">
        <v>23</v>
      </c>
      <c r="M1613">
        <v>5</v>
      </c>
      <c r="N1613">
        <v>1636.8</v>
      </c>
    </row>
    <row r="1614" spans="1:14" x14ac:dyDescent="0.3">
      <c r="A1614" t="s">
        <v>2989</v>
      </c>
      <c r="B1614" t="s">
        <v>34</v>
      </c>
      <c r="C1614" s="1">
        <v>45817</v>
      </c>
      <c r="D1614" s="2">
        <f>YEAR(Table1[[#This Row],[PurchaseDate]])</f>
        <v>2025</v>
      </c>
      <c r="E1614" s="2" t="str">
        <f>"Q"&amp;ROUNDUP(MONTH(Table1[[#This Row],[PurchaseDate]])/3,0)</f>
        <v>Q2</v>
      </c>
      <c r="F1614" s="2">
        <f>MONTH(Table1[[#This Row],[PurchaseDate]])</f>
        <v>6</v>
      </c>
      <c r="G1614" s="2" t="str">
        <f>TEXT(Table1[[#This Row],[PurchaseDate]],"MMM")</f>
        <v>Jun</v>
      </c>
      <c r="H1614">
        <v>1</v>
      </c>
      <c r="I1614">
        <v>697.16</v>
      </c>
      <c r="J1614" t="s">
        <v>2990</v>
      </c>
      <c r="K1614" t="s">
        <v>38</v>
      </c>
      <c r="L1614" t="s">
        <v>27</v>
      </c>
      <c r="M1614">
        <v>2</v>
      </c>
      <c r="N1614">
        <v>697.16</v>
      </c>
    </row>
    <row r="1615" spans="1:14" x14ac:dyDescent="0.3">
      <c r="A1615" t="s">
        <v>2991</v>
      </c>
      <c r="B1615" t="s">
        <v>29</v>
      </c>
      <c r="C1615" s="1">
        <v>45530</v>
      </c>
      <c r="D1615" s="2">
        <f>YEAR(Table1[[#This Row],[PurchaseDate]])</f>
        <v>2024</v>
      </c>
      <c r="E1615" s="2" t="str">
        <f>"Q"&amp;ROUNDUP(MONTH(Table1[[#This Row],[PurchaseDate]])/3,0)</f>
        <v>Q3</v>
      </c>
      <c r="F1615" s="2">
        <f>MONTH(Table1[[#This Row],[PurchaseDate]])</f>
        <v>8</v>
      </c>
      <c r="G1615" s="2" t="str">
        <f>TEXT(Table1[[#This Row],[PurchaseDate]],"MMM")</f>
        <v>Aug</v>
      </c>
      <c r="H1615">
        <v>8</v>
      </c>
      <c r="I1615">
        <v>347.15</v>
      </c>
      <c r="J1615" t="s">
        <v>2992</v>
      </c>
      <c r="K1615" t="s">
        <v>38</v>
      </c>
      <c r="L1615" t="s">
        <v>14</v>
      </c>
      <c r="M1615">
        <v>5</v>
      </c>
      <c r="N1615">
        <v>2777.2</v>
      </c>
    </row>
    <row r="1616" spans="1:14" x14ac:dyDescent="0.3">
      <c r="A1616" t="s">
        <v>2993</v>
      </c>
      <c r="B1616" t="s">
        <v>29</v>
      </c>
      <c r="C1616" s="1">
        <v>45498</v>
      </c>
      <c r="D1616" s="2">
        <f>YEAR(Table1[[#This Row],[PurchaseDate]])</f>
        <v>2024</v>
      </c>
      <c r="E1616" s="2" t="str">
        <f>"Q"&amp;ROUNDUP(MONTH(Table1[[#This Row],[PurchaseDate]])/3,0)</f>
        <v>Q3</v>
      </c>
      <c r="F1616" s="2">
        <f>MONTH(Table1[[#This Row],[PurchaseDate]])</f>
        <v>7</v>
      </c>
      <c r="G1616" s="2" t="str">
        <f>TEXT(Table1[[#This Row],[PurchaseDate]],"MMM")</f>
        <v>Jul</v>
      </c>
      <c r="H1616">
        <v>2</v>
      </c>
      <c r="I1616">
        <v>674.66</v>
      </c>
      <c r="J1616" t="s">
        <v>2994</v>
      </c>
      <c r="K1616" t="s">
        <v>38</v>
      </c>
      <c r="L1616" t="s">
        <v>14</v>
      </c>
      <c r="M1616">
        <v>4</v>
      </c>
      <c r="N1616">
        <v>1349.32</v>
      </c>
    </row>
    <row r="1617" spans="1:14" x14ac:dyDescent="0.3">
      <c r="A1617" t="s">
        <v>2995</v>
      </c>
      <c r="B1617" t="s">
        <v>42</v>
      </c>
      <c r="C1617" s="1">
        <v>45056</v>
      </c>
      <c r="D1617" s="2">
        <f>YEAR(Table1[[#This Row],[PurchaseDate]])</f>
        <v>2023</v>
      </c>
      <c r="E1617" s="2" t="str">
        <f>"Q"&amp;ROUNDUP(MONTH(Table1[[#This Row],[PurchaseDate]])/3,0)</f>
        <v>Q2</v>
      </c>
      <c r="F1617" s="2">
        <f>MONTH(Table1[[#This Row],[PurchaseDate]])</f>
        <v>5</v>
      </c>
      <c r="G1617" s="2" t="str">
        <f>TEXT(Table1[[#This Row],[PurchaseDate]],"MMM")</f>
        <v>May</v>
      </c>
      <c r="H1617">
        <v>6</v>
      </c>
      <c r="I1617">
        <v>328.64</v>
      </c>
      <c r="J1617" t="s">
        <v>2996</v>
      </c>
      <c r="K1617" t="s">
        <v>38</v>
      </c>
      <c r="L1617" t="s">
        <v>27</v>
      </c>
      <c r="M1617">
        <v>5</v>
      </c>
      <c r="N1617">
        <v>1971.84</v>
      </c>
    </row>
    <row r="1618" spans="1:14" x14ac:dyDescent="0.3">
      <c r="A1618" t="s">
        <v>2997</v>
      </c>
      <c r="B1618" t="s">
        <v>42</v>
      </c>
      <c r="C1618" s="1">
        <v>45028</v>
      </c>
      <c r="D1618" s="2">
        <f>YEAR(Table1[[#This Row],[PurchaseDate]])</f>
        <v>2023</v>
      </c>
      <c r="E1618" s="2" t="str">
        <f>"Q"&amp;ROUNDUP(MONTH(Table1[[#This Row],[PurchaseDate]])/3,0)</f>
        <v>Q2</v>
      </c>
      <c r="F1618" s="2">
        <f>MONTH(Table1[[#This Row],[PurchaseDate]])</f>
        <v>4</v>
      </c>
      <c r="G1618" s="2" t="str">
        <f>TEXT(Table1[[#This Row],[PurchaseDate]],"MMM")</f>
        <v>Apr</v>
      </c>
      <c r="H1618">
        <v>3</v>
      </c>
      <c r="I1618">
        <v>684.22</v>
      </c>
      <c r="J1618" t="s">
        <v>2998</v>
      </c>
      <c r="K1618" t="s">
        <v>13</v>
      </c>
      <c r="L1618" t="s">
        <v>14</v>
      </c>
      <c r="M1618">
        <v>2</v>
      </c>
      <c r="N1618">
        <v>2052.66</v>
      </c>
    </row>
    <row r="1619" spans="1:14" x14ac:dyDescent="0.3">
      <c r="A1619" t="s">
        <v>2999</v>
      </c>
      <c r="B1619" t="s">
        <v>34</v>
      </c>
      <c r="C1619" s="1">
        <v>45246</v>
      </c>
      <c r="D1619" s="2">
        <f>YEAR(Table1[[#This Row],[PurchaseDate]])</f>
        <v>2023</v>
      </c>
      <c r="E1619" s="2" t="str">
        <f>"Q"&amp;ROUNDUP(MONTH(Table1[[#This Row],[PurchaseDate]])/3,0)</f>
        <v>Q4</v>
      </c>
      <c r="F1619" s="2">
        <f>MONTH(Table1[[#This Row],[PurchaseDate]])</f>
        <v>11</v>
      </c>
      <c r="G1619" s="2" t="str">
        <f>TEXT(Table1[[#This Row],[PurchaseDate]],"MMM")</f>
        <v>Nov</v>
      </c>
      <c r="H1619">
        <v>5</v>
      </c>
      <c r="I1619">
        <v>508.63</v>
      </c>
      <c r="J1619" t="s">
        <v>3000</v>
      </c>
      <c r="K1619" t="s">
        <v>38</v>
      </c>
      <c r="L1619" t="s">
        <v>14</v>
      </c>
      <c r="M1619">
        <v>3</v>
      </c>
      <c r="N1619">
        <v>2543.15</v>
      </c>
    </row>
    <row r="1620" spans="1:14" x14ac:dyDescent="0.3">
      <c r="A1620" t="s">
        <v>3001</v>
      </c>
      <c r="B1620" t="s">
        <v>21</v>
      </c>
      <c r="C1620" s="1">
        <v>45387</v>
      </c>
      <c r="D1620" s="2">
        <f>YEAR(Table1[[#This Row],[PurchaseDate]])</f>
        <v>2024</v>
      </c>
      <c r="E1620" s="2" t="str">
        <f>"Q"&amp;ROUNDUP(MONTH(Table1[[#This Row],[PurchaseDate]])/3,0)</f>
        <v>Q2</v>
      </c>
      <c r="F1620" s="2">
        <f>MONTH(Table1[[#This Row],[PurchaseDate]])</f>
        <v>4</v>
      </c>
      <c r="G1620" s="2" t="str">
        <f>TEXT(Table1[[#This Row],[PurchaseDate]],"MMM")</f>
        <v>Apr</v>
      </c>
      <c r="H1620">
        <v>6</v>
      </c>
      <c r="I1620">
        <v>220.73</v>
      </c>
      <c r="J1620" t="s">
        <v>3002</v>
      </c>
      <c r="K1620" t="s">
        <v>38</v>
      </c>
      <c r="L1620" t="s">
        <v>19</v>
      </c>
      <c r="M1620">
        <v>3</v>
      </c>
      <c r="N1620">
        <v>1324.38</v>
      </c>
    </row>
    <row r="1621" spans="1:14" x14ac:dyDescent="0.3">
      <c r="A1621" t="s">
        <v>3003</v>
      </c>
      <c r="B1621" t="s">
        <v>11</v>
      </c>
      <c r="C1621" s="1">
        <v>45456</v>
      </c>
      <c r="D1621" s="2">
        <f>YEAR(Table1[[#This Row],[PurchaseDate]])</f>
        <v>2024</v>
      </c>
      <c r="E1621" s="2" t="str">
        <f>"Q"&amp;ROUNDUP(MONTH(Table1[[#This Row],[PurchaseDate]])/3,0)</f>
        <v>Q2</v>
      </c>
      <c r="F1621" s="2">
        <f>MONTH(Table1[[#This Row],[PurchaseDate]])</f>
        <v>6</v>
      </c>
      <c r="G1621" s="2" t="str">
        <f>TEXT(Table1[[#This Row],[PurchaseDate]],"MMM")</f>
        <v>Jun</v>
      </c>
      <c r="H1621">
        <v>1</v>
      </c>
      <c r="I1621">
        <v>434.97</v>
      </c>
      <c r="J1621" t="s">
        <v>3004</v>
      </c>
      <c r="K1621" t="s">
        <v>38</v>
      </c>
      <c r="L1621" t="s">
        <v>58</v>
      </c>
      <c r="M1621">
        <v>5</v>
      </c>
      <c r="N1621">
        <v>434.97</v>
      </c>
    </row>
    <row r="1622" spans="1:14" x14ac:dyDescent="0.3">
      <c r="A1622" t="s">
        <v>3005</v>
      </c>
      <c r="B1622" t="s">
        <v>16</v>
      </c>
      <c r="C1622" s="1">
        <v>44950</v>
      </c>
      <c r="D1622" s="2">
        <f>YEAR(Table1[[#This Row],[PurchaseDate]])</f>
        <v>2023</v>
      </c>
      <c r="E1622" s="2" t="str">
        <f>"Q"&amp;ROUNDUP(MONTH(Table1[[#This Row],[PurchaseDate]])/3,0)</f>
        <v>Q1</v>
      </c>
      <c r="F1622" s="2">
        <f>MONTH(Table1[[#This Row],[PurchaseDate]])</f>
        <v>1</v>
      </c>
      <c r="G1622" s="2" t="str">
        <f>TEXT(Table1[[#This Row],[PurchaseDate]],"MMM")</f>
        <v>Jan</v>
      </c>
      <c r="H1622">
        <v>1</v>
      </c>
      <c r="I1622">
        <v>586.44000000000005</v>
      </c>
      <c r="J1622" t="s">
        <v>3006</v>
      </c>
      <c r="K1622" t="s">
        <v>18</v>
      </c>
      <c r="L1622" t="s">
        <v>19</v>
      </c>
      <c r="M1622">
        <v>4</v>
      </c>
      <c r="N1622">
        <v>586.44000000000005</v>
      </c>
    </row>
    <row r="1623" spans="1:14" x14ac:dyDescent="0.3">
      <c r="A1623" t="s">
        <v>3007</v>
      </c>
      <c r="B1623" t="s">
        <v>11</v>
      </c>
      <c r="C1623" s="1">
        <v>45042</v>
      </c>
      <c r="D1623" s="2">
        <f>YEAR(Table1[[#This Row],[PurchaseDate]])</f>
        <v>2023</v>
      </c>
      <c r="E1623" s="2" t="str">
        <f>"Q"&amp;ROUNDUP(MONTH(Table1[[#This Row],[PurchaseDate]])/3,0)</f>
        <v>Q2</v>
      </c>
      <c r="F1623" s="2">
        <f>MONTH(Table1[[#This Row],[PurchaseDate]])</f>
        <v>4</v>
      </c>
      <c r="G1623" s="2" t="str">
        <f>TEXT(Table1[[#This Row],[PurchaseDate]],"MMM")</f>
        <v>Apr</v>
      </c>
      <c r="H1623">
        <v>8</v>
      </c>
      <c r="I1623">
        <v>21.27</v>
      </c>
      <c r="J1623" t="s">
        <v>3008</v>
      </c>
      <c r="K1623" t="s">
        <v>18</v>
      </c>
      <c r="L1623" t="s">
        <v>14</v>
      </c>
      <c r="M1623">
        <v>4</v>
      </c>
      <c r="N1623">
        <v>170.16</v>
      </c>
    </row>
    <row r="1624" spans="1:14" x14ac:dyDescent="0.3">
      <c r="A1624" t="s">
        <v>3009</v>
      </c>
      <c r="B1624" t="s">
        <v>25</v>
      </c>
      <c r="C1624" s="1">
        <v>45368</v>
      </c>
      <c r="D1624" s="2">
        <f>YEAR(Table1[[#This Row],[PurchaseDate]])</f>
        <v>2024</v>
      </c>
      <c r="E1624" s="2" t="str">
        <f>"Q"&amp;ROUNDUP(MONTH(Table1[[#This Row],[PurchaseDate]])/3,0)</f>
        <v>Q1</v>
      </c>
      <c r="F1624" s="2">
        <f>MONTH(Table1[[#This Row],[PurchaseDate]])</f>
        <v>3</v>
      </c>
      <c r="G1624" s="2" t="str">
        <f>TEXT(Table1[[#This Row],[PurchaseDate]],"MMM")</f>
        <v>Mar</v>
      </c>
      <c r="H1624">
        <v>8</v>
      </c>
      <c r="I1624">
        <v>287.38</v>
      </c>
      <c r="J1624" t="s">
        <v>3010</v>
      </c>
      <c r="K1624" t="s">
        <v>38</v>
      </c>
      <c r="L1624" t="s">
        <v>23</v>
      </c>
      <c r="M1624">
        <v>1</v>
      </c>
      <c r="N1624">
        <v>2299.04</v>
      </c>
    </row>
    <row r="1625" spans="1:14" x14ac:dyDescent="0.3">
      <c r="A1625" t="s">
        <v>3011</v>
      </c>
      <c r="B1625" t="s">
        <v>42</v>
      </c>
      <c r="C1625" s="1">
        <v>45133</v>
      </c>
      <c r="D1625" s="2">
        <f>YEAR(Table1[[#This Row],[PurchaseDate]])</f>
        <v>2023</v>
      </c>
      <c r="E1625" s="2" t="str">
        <f>"Q"&amp;ROUNDUP(MONTH(Table1[[#This Row],[PurchaseDate]])/3,0)</f>
        <v>Q3</v>
      </c>
      <c r="F1625" s="2">
        <f>MONTH(Table1[[#This Row],[PurchaseDate]])</f>
        <v>7</v>
      </c>
      <c r="G1625" s="2" t="str">
        <f>TEXT(Table1[[#This Row],[PurchaseDate]],"MMM")</f>
        <v>Jul</v>
      </c>
      <c r="H1625">
        <v>4</v>
      </c>
      <c r="I1625">
        <v>575.29</v>
      </c>
      <c r="J1625" t="s">
        <v>3012</v>
      </c>
      <c r="K1625" t="s">
        <v>13</v>
      </c>
      <c r="L1625" t="s">
        <v>19</v>
      </c>
      <c r="M1625">
        <v>2</v>
      </c>
      <c r="N1625">
        <v>2301.16</v>
      </c>
    </row>
    <row r="1626" spans="1:14" x14ac:dyDescent="0.3">
      <c r="A1626" t="s">
        <v>3013</v>
      </c>
      <c r="B1626" t="s">
        <v>21</v>
      </c>
      <c r="C1626" s="1">
        <v>45746</v>
      </c>
      <c r="D1626" s="2">
        <f>YEAR(Table1[[#This Row],[PurchaseDate]])</f>
        <v>2025</v>
      </c>
      <c r="E1626" s="2" t="str">
        <f>"Q"&amp;ROUNDUP(MONTH(Table1[[#This Row],[PurchaseDate]])/3,0)</f>
        <v>Q1</v>
      </c>
      <c r="F1626" s="2">
        <f>MONTH(Table1[[#This Row],[PurchaseDate]])</f>
        <v>3</v>
      </c>
      <c r="G1626" s="2" t="str">
        <f>TEXT(Table1[[#This Row],[PurchaseDate]],"MMM")</f>
        <v>Mar</v>
      </c>
      <c r="H1626">
        <v>4</v>
      </c>
      <c r="I1626">
        <v>278.14999999999998</v>
      </c>
      <c r="J1626" t="s">
        <v>3014</v>
      </c>
      <c r="K1626" t="s">
        <v>18</v>
      </c>
      <c r="L1626" t="s">
        <v>23</v>
      </c>
      <c r="M1626">
        <v>2</v>
      </c>
      <c r="N1626">
        <v>1112.5999999999999</v>
      </c>
    </row>
    <row r="1627" spans="1:14" x14ac:dyDescent="0.3">
      <c r="A1627" t="s">
        <v>3015</v>
      </c>
      <c r="B1627" t="s">
        <v>11</v>
      </c>
      <c r="C1627" s="1">
        <v>45092</v>
      </c>
      <c r="D1627" s="2">
        <f>YEAR(Table1[[#This Row],[PurchaseDate]])</f>
        <v>2023</v>
      </c>
      <c r="E1627" s="2" t="str">
        <f>"Q"&amp;ROUNDUP(MONTH(Table1[[#This Row],[PurchaseDate]])/3,0)</f>
        <v>Q2</v>
      </c>
      <c r="F1627" s="2">
        <f>MONTH(Table1[[#This Row],[PurchaseDate]])</f>
        <v>6</v>
      </c>
      <c r="G1627" s="2" t="str">
        <f>TEXT(Table1[[#This Row],[PurchaseDate]],"MMM")</f>
        <v>Jun</v>
      </c>
      <c r="H1627">
        <v>7</v>
      </c>
      <c r="I1627">
        <v>125.26</v>
      </c>
      <c r="J1627" t="s">
        <v>3016</v>
      </c>
      <c r="K1627" t="s">
        <v>38</v>
      </c>
      <c r="L1627" t="s">
        <v>23</v>
      </c>
      <c r="M1627">
        <v>3</v>
      </c>
      <c r="N1627">
        <v>876.82</v>
      </c>
    </row>
    <row r="1628" spans="1:14" x14ac:dyDescent="0.3">
      <c r="A1628" t="s">
        <v>3017</v>
      </c>
      <c r="B1628" t="s">
        <v>29</v>
      </c>
      <c r="C1628" s="1">
        <v>45437</v>
      </c>
      <c r="D1628" s="2">
        <f>YEAR(Table1[[#This Row],[PurchaseDate]])</f>
        <v>2024</v>
      </c>
      <c r="E1628" s="2" t="str">
        <f>"Q"&amp;ROUNDUP(MONTH(Table1[[#This Row],[PurchaseDate]])/3,0)</f>
        <v>Q2</v>
      </c>
      <c r="F1628" s="2">
        <f>MONTH(Table1[[#This Row],[PurchaseDate]])</f>
        <v>5</v>
      </c>
      <c r="G1628" s="2" t="str">
        <f>TEXT(Table1[[#This Row],[PurchaseDate]],"MMM")</f>
        <v>May</v>
      </c>
      <c r="H1628">
        <v>4</v>
      </c>
      <c r="I1628">
        <v>201.08</v>
      </c>
      <c r="J1628" t="s">
        <v>3018</v>
      </c>
      <c r="K1628" t="s">
        <v>13</v>
      </c>
      <c r="L1628" t="s">
        <v>23</v>
      </c>
      <c r="M1628">
        <v>3</v>
      </c>
      <c r="N1628">
        <v>804.32</v>
      </c>
    </row>
    <row r="1629" spans="1:14" x14ac:dyDescent="0.3">
      <c r="A1629" t="s">
        <v>3019</v>
      </c>
      <c r="B1629" t="s">
        <v>29</v>
      </c>
      <c r="C1629" s="1">
        <v>45246</v>
      </c>
      <c r="D1629" s="2">
        <f>YEAR(Table1[[#This Row],[PurchaseDate]])</f>
        <v>2023</v>
      </c>
      <c r="E1629" s="2" t="str">
        <f>"Q"&amp;ROUNDUP(MONTH(Table1[[#This Row],[PurchaseDate]])/3,0)</f>
        <v>Q4</v>
      </c>
      <c r="F1629" s="2">
        <f>MONTH(Table1[[#This Row],[PurchaseDate]])</f>
        <v>11</v>
      </c>
      <c r="G1629" s="2" t="str">
        <f>TEXT(Table1[[#This Row],[PurchaseDate]],"MMM")</f>
        <v>Nov</v>
      </c>
      <c r="H1629">
        <v>6</v>
      </c>
      <c r="I1629">
        <v>765.75</v>
      </c>
      <c r="J1629" t="s">
        <v>3020</v>
      </c>
      <c r="K1629" t="s">
        <v>38</v>
      </c>
      <c r="L1629" t="s">
        <v>58</v>
      </c>
      <c r="M1629">
        <v>3</v>
      </c>
      <c r="N1629">
        <v>4594.5</v>
      </c>
    </row>
    <row r="1630" spans="1:14" x14ac:dyDescent="0.3">
      <c r="A1630" t="s">
        <v>3021</v>
      </c>
      <c r="B1630" t="s">
        <v>25</v>
      </c>
      <c r="C1630" s="1">
        <v>45334</v>
      </c>
      <c r="D1630" s="2">
        <f>YEAR(Table1[[#This Row],[PurchaseDate]])</f>
        <v>2024</v>
      </c>
      <c r="E1630" s="2" t="str">
        <f>"Q"&amp;ROUNDUP(MONTH(Table1[[#This Row],[PurchaseDate]])/3,0)</f>
        <v>Q1</v>
      </c>
      <c r="F1630" s="2">
        <f>MONTH(Table1[[#This Row],[PurchaseDate]])</f>
        <v>2</v>
      </c>
      <c r="G1630" s="2" t="str">
        <f>TEXT(Table1[[#This Row],[PurchaseDate]],"MMM")</f>
        <v>Feb</v>
      </c>
      <c r="H1630">
        <v>5</v>
      </c>
      <c r="I1630">
        <v>177.73</v>
      </c>
      <c r="J1630" t="s">
        <v>3022</v>
      </c>
      <c r="K1630" t="s">
        <v>13</v>
      </c>
      <c r="L1630" t="s">
        <v>19</v>
      </c>
      <c r="M1630">
        <v>1</v>
      </c>
      <c r="N1630">
        <v>888.65</v>
      </c>
    </row>
    <row r="1631" spans="1:14" x14ac:dyDescent="0.3">
      <c r="A1631" t="s">
        <v>3023</v>
      </c>
      <c r="B1631" t="s">
        <v>21</v>
      </c>
      <c r="C1631" s="1">
        <v>45251</v>
      </c>
      <c r="D1631" s="2">
        <f>YEAR(Table1[[#This Row],[PurchaseDate]])</f>
        <v>2023</v>
      </c>
      <c r="E1631" s="2" t="str">
        <f>"Q"&amp;ROUNDUP(MONTH(Table1[[#This Row],[PurchaseDate]])/3,0)</f>
        <v>Q4</v>
      </c>
      <c r="F1631" s="2">
        <f>MONTH(Table1[[#This Row],[PurchaseDate]])</f>
        <v>11</v>
      </c>
      <c r="G1631" s="2" t="str">
        <f>TEXT(Table1[[#This Row],[PurchaseDate]],"MMM")</f>
        <v>Nov</v>
      </c>
      <c r="H1631">
        <v>7</v>
      </c>
      <c r="I1631">
        <v>556.54</v>
      </c>
      <c r="J1631" t="s">
        <v>3024</v>
      </c>
      <c r="K1631" t="s">
        <v>38</v>
      </c>
      <c r="L1631" t="s">
        <v>58</v>
      </c>
      <c r="M1631">
        <v>4</v>
      </c>
      <c r="N1631">
        <v>3895.78</v>
      </c>
    </row>
    <row r="1632" spans="1:14" x14ac:dyDescent="0.3">
      <c r="A1632" t="s">
        <v>3025</v>
      </c>
      <c r="B1632" t="s">
        <v>21</v>
      </c>
      <c r="C1632" s="1">
        <v>45381</v>
      </c>
      <c r="D1632" s="2">
        <f>YEAR(Table1[[#This Row],[PurchaseDate]])</f>
        <v>2024</v>
      </c>
      <c r="E1632" s="2" t="str">
        <f>"Q"&amp;ROUNDUP(MONTH(Table1[[#This Row],[PurchaseDate]])/3,0)</f>
        <v>Q1</v>
      </c>
      <c r="F1632" s="2">
        <f>MONTH(Table1[[#This Row],[PurchaseDate]])</f>
        <v>3</v>
      </c>
      <c r="G1632" s="2" t="str">
        <f>TEXT(Table1[[#This Row],[PurchaseDate]],"MMM")</f>
        <v>Mar</v>
      </c>
      <c r="H1632">
        <v>7</v>
      </c>
      <c r="I1632">
        <v>678.49</v>
      </c>
      <c r="J1632" t="s">
        <v>3026</v>
      </c>
      <c r="K1632" t="s">
        <v>18</v>
      </c>
      <c r="L1632" t="s">
        <v>23</v>
      </c>
      <c r="M1632">
        <v>3</v>
      </c>
      <c r="N1632">
        <v>4749.43</v>
      </c>
    </row>
    <row r="1633" spans="1:14" x14ac:dyDescent="0.3">
      <c r="A1633" t="s">
        <v>3027</v>
      </c>
      <c r="B1633" t="s">
        <v>34</v>
      </c>
      <c r="C1633" s="1">
        <v>45035</v>
      </c>
      <c r="D1633" s="2">
        <f>YEAR(Table1[[#This Row],[PurchaseDate]])</f>
        <v>2023</v>
      </c>
      <c r="E1633" s="2" t="str">
        <f>"Q"&amp;ROUNDUP(MONTH(Table1[[#This Row],[PurchaseDate]])/3,0)</f>
        <v>Q2</v>
      </c>
      <c r="F1633" s="2">
        <f>MONTH(Table1[[#This Row],[PurchaseDate]])</f>
        <v>4</v>
      </c>
      <c r="G1633" s="2" t="str">
        <f>TEXT(Table1[[#This Row],[PurchaseDate]],"MMM")</f>
        <v>Apr</v>
      </c>
      <c r="H1633">
        <v>3</v>
      </c>
      <c r="I1633">
        <v>326.56</v>
      </c>
      <c r="J1633" t="s">
        <v>3028</v>
      </c>
      <c r="K1633" t="s">
        <v>38</v>
      </c>
      <c r="L1633" t="s">
        <v>23</v>
      </c>
      <c r="M1633">
        <v>2</v>
      </c>
      <c r="N1633">
        <v>979.68</v>
      </c>
    </row>
    <row r="1634" spans="1:14" x14ac:dyDescent="0.3">
      <c r="A1634" t="s">
        <v>3029</v>
      </c>
      <c r="B1634" t="s">
        <v>21</v>
      </c>
      <c r="C1634" s="1">
        <v>45080</v>
      </c>
      <c r="D1634" s="2">
        <f>YEAR(Table1[[#This Row],[PurchaseDate]])</f>
        <v>2023</v>
      </c>
      <c r="E1634" s="2" t="str">
        <f>"Q"&amp;ROUNDUP(MONTH(Table1[[#This Row],[PurchaseDate]])/3,0)</f>
        <v>Q2</v>
      </c>
      <c r="F1634" s="2">
        <f>MONTH(Table1[[#This Row],[PurchaseDate]])</f>
        <v>6</v>
      </c>
      <c r="G1634" s="2" t="str">
        <f>TEXT(Table1[[#This Row],[PurchaseDate]],"MMM")</f>
        <v>Jun</v>
      </c>
      <c r="H1634">
        <v>3</v>
      </c>
      <c r="I1634">
        <v>730.83</v>
      </c>
      <c r="J1634" t="s">
        <v>3030</v>
      </c>
      <c r="K1634" t="s">
        <v>38</v>
      </c>
      <c r="L1634" t="s">
        <v>19</v>
      </c>
      <c r="M1634">
        <v>5</v>
      </c>
      <c r="N1634">
        <v>2192.4899999999998</v>
      </c>
    </row>
    <row r="1635" spans="1:14" x14ac:dyDescent="0.3">
      <c r="A1635" t="s">
        <v>3031</v>
      </c>
      <c r="B1635" t="s">
        <v>21</v>
      </c>
      <c r="C1635" s="1">
        <v>45062</v>
      </c>
      <c r="D1635" s="2">
        <f>YEAR(Table1[[#This Row],[PurchaseDate]])</f>
        <v>2023</v>
      </c>
      <c r="E1635" s="2" t="str">
        <f>"Q"&amp;ROUNDUP(MONTH(Table1[[#This Row],[PurchaseDate]])/3,0)</f>
        <v>Q2</v>
      </c>
      <c r="F1635" s="2">
        <f>MONTH(Table1[[#This Row],[PurchaseDate]])</f>
        <v>5</v>
      </c>
      <c r="G1635" s="2" t="str">
        <f>TEXT(Table1[[#This Row],[PurchaseDate]],"MMM")</f>
        <v>May</v>
      </c>
      <c r="H1635">
        <v>4</v>
      </c>
      <c r="I1635">
        <v>606.28</v>
      </c>
      <c r="J1635" t="s">
        <v>3032</v>
      </c>
      <c r="K1635" t="s">
        <v>18</v>
      </c>
      <c r="L1635" t="s">
        <v>19</v>
      </c>
      <c r="M1635">
        <v>5</v>
      </c>
      <c r="N1635">
        <v>2425.12</v>
      </c>
    </row>
    <row r="1636" spans="1:14" x14ac:dyDescent="0.3">
      <c r="A1636" t="s">
        <v>3033</v>
      </c>
      <c r="B1636" t="s">
        <v>25</v>
      </c>
      <c r="C1636" s="1">
        <v>45734</v>
      </c>
      <c r="D1636" s="2">
        <f>YEAR(Table1[[#This Row],[PurchaseDate]])</f>
        <v>2025</v>
      </c>
      <c r="E1636" s="2" t="str">
        <f>"Q"&amp;ROUNDUP(MONTH(Table1[[#This Row],[PurchaseDate]])/3,0)</f>
        <v>Q1</v>
      </c>
      <c r="F1636" s="2">
        <f>MONTH(Table1[[#This Row],[PurchaseDate]])</f>
        <v>3</v>
      </c>
      <c r="G1636" s="2" t="str">
        <f>TEXT(Table1[[#This Row],[PurchaseDate]],"MMM")</f>
        <v>Mar</v>
      </c>
      <c r="H1636">
        <v>7</v>
      </c>
      <c r="I1636">
        <v>354.2</v>
      </c>
      <c r="J1636" t="s">
        <v>3034</v>
      </c>
      <c r="K1636" t="s">
        <v>13</v>
      </c>
      <c r="L1636" t="s">
        <v>58</v>
      </c>
      <c r="M1636">
        <v>3</v>
      </c>
      <c r="N1636">
        <v>2479.4</v>
      </c>
    </row>
    <row r="1637" spans="1:14" x14ac:dyDescent="0.3">
      <c r="A1637" t="s">
        <v>2239</v>
      </c>
      <c r="B1637" t="s">
        <v>42</v>
      </c>
      <c r="C1637" s="1">
        <v>45347</v>
      </c>
      <c r="D1637" s="2">
        <f>YEAR(Table1[[#This Row],[PurchaseDate]])</f>
        <v>2024</v>
      </c>
      <c r="E1637" s="2" t="str">
        <f>"Q"&amp;ROUNDUP(MONTH(Table1[[#This Row],[PurchaseDate]])/3,0)</f>
        <v>Q1</v>
      </c>
      <c r="F1637" s="2">
        <f>MONTH(Table1[[#This Row],[PurchaseDate]])</f>
        <v>2</v>
      </c>
      <c r="G1637" s="2" t="str">
        <f>TEXT(Table1[[#This Row],[PurchaseDate]],"MMM")</f>
        <v>Feb</v>
      </c>
      <c r="H1637">
        <v>1</v>
      </c>
      <c r="I1637">
        <v>146</v>
      </c>
      <c r="J1637" t="s">
        <v>2240</v>
      </c>
      <c r="K1637" t="s">
        <v>13</v>
      </c>
      <c r="L1637" t="s">
        <v>19</v>
      </c>
      <c r="M1637">
        <v>5</v>
      </c>
      <c r="N1637">
        <v>146</v>
      </c>
    </row>
    <row r="1638" spans="1:14" x14ac:dyDescent="0.3">
      <c r="A1638" t="s">
        <v>3035</v>
      </c>
      <c r="B1638" t="s">
        <v>16</v>
      </c>
      <c r="C1638" s="1">
        <v>45423</v>
      </c>
      <c r="D1638" s="2">
        <f>YEAR(Table1[[#This Row],[PurchaseDate]])</f>
        <v>2024</v>
      </c>
      <c r="E1638" s="2" t="str">
        <f>"Q"&amp;ROUNDUP(MONTH(Table1[[#This Row],[PurchaseDate]])/3,0)</f>
        <v>Q2</v>
      </c>
      <c r="F1638" s="2">
        <f>MONTH(Table1[[#This Row],[PurchaseDate]])</f>
        <v>5</v>
      </c>
      <c r="G1638" s="2" t="str">
        <f>TEXT(Table1[[#This Row],[PurchaseDate]],"MMM")</f>
        <v>May</v>
      </c>
      <c r="H1638">
        <v>6</v>
      </c>
      <c r="I1638">
        <v>360.61</v>
      </c>
      <c r="J1638" t="s">
        <v>3036</v>
      </c>
      <c r="K1638" t="s">
        <v>13</v>
      </c>
      <c r="L1638" t="s">
        <v>27</v>
      </c>
      <c r="M1638">
        <v>2</v>
      </c>
      <c r="N1638">
        <v>2163.66</v>
      </c>
    </row>
    <row r="1639" spans="1:14" x14ac:dyDescent="0.3">
      <c r="A1639" t="s">
        <v>3037</v>
      </c>
      <c r="B1639" t="s">
        <v>16</v>
      </c>
      <c r="C1639" s="1">
        <v>45525</v>
      </c>
      <c r="D1639" s="2">
        <f>YEAR(Table1[[#This Row],[PurchaseDate]])</f>
        <v>2024</v>
      </c>
      <c r="E1639" s="2" t="str">
        <f>"Q"&amp;ROUNDUP(MONTH(Table1[[#This Row],[PurchaseDate]])/3,0)</f>
        <v>Q3</v>
      </c>
      <c r="F1639" s="2">
        <f>MONTH(Table1[[#This Row],[PurchaseDate]])</f>
        <v>8</v>
      </c>
      <c r="G1639" s="2" t="str">
        <f>TEXT(Table1[[#This Row],[PurchaseDate]],"MMM")</f>
        <v>Aug</v>
      </c>
      <c r="H1639">
        <v>8</v>
      </c>
      <c r="I1639">
        <v>127.21</v>
      </c>
      <c r="J1639" t="s">
        <v>3038</v>
      </c>
      <c r="K1639" t="s">
        <v>38</v>
      </c>
      <c r="L1639" t="s">
        <v>58</v>
      </c>
      <c r="M1639">
        <v>2</v>
      </c>
      <c r="N1639">
        <v>1017.68</v>
      </c>
    </row>
    <row r="1640" spans="1:14" x14ac:dyDescent="0.3">
      <c r="A1640" t="s">
        <v>3039</v>
      </c>
      <c r="B1640" t="s">
        <v>42</v>
      </c>
      <c r="C1640" s="1">
        <v>45539</v>
      </c>
      <c r="D1640" s="2">
        <f>YEAR(Table1[[#This Row],[PurchaseDate]])</f>
        <v>2024</v>
      </c>
      <c r="E1640" s="2" t="str">
        <f>"Q"&amp;ROUNDUP(MONTH(Table1[[#This Row],[PurchaseDate]])/3,0)</f>
        <v>Q3</v>
      </c>
      <c r="F1640" s="2">
        <f>MONTH(Table1[[#This Row],[PurchaseDate]])</f>
        <v>9</v>
      </c>
      <c r="G1640" s="2" t="str">
        <f>TEXT(Table1[[#This Row],[PurchaseDate]],"MMM")</f>
        <v>Sep</v>
      </c>
      <c r="H1640">
        <v>8</v>
      </c>
      <c r="I1640">
        <v>210.44</v>
      </c>
      <c r="J1640" t="s">
        <v>3040</v>
      </c>
      <c r="K1640" t="s">
        <v>38</v>
      </c>
      <c r="L1640" t="s">
        <v>19</v>
      </c>
      <c r="M1640">
        <v>1</v>
      </c>
      <c r="N1640">
        <v>1683.52</v>
      </c>
    </row>
    <row r="1641" spans="1:14" x14ac:dyDescent="0.3">
      <c r="A1641" t="s">
        <v>3041</v>
      </c>
      <c r="B1641" t="s">
        <v>21</v>
      </c>
      <c r="C1641" s="1">
        <v>45791</v>
      </c>
      <c r="D1641" s="2">
        <f>YEAR(Table1[[#This Row],[PurchaseDate]])</f>
        <v>2025</v>
      </c>
      <c r="E1641" s="2" t="str">
        <f>"Q"&amp;ROUNDUP(MONTH(Table1[[#This Row],[PurchaseDate]])/3,0)</f>
        <v>Q2</v>
      </c>
      <c r="F1641" s="2">
        <f>MONTH(Table1[[#This Row],[PurchaseDate]])</f>
        <v>5</v>
      </c>
      <c r="G1641" s="2" t="str">
        <f>TEXT(Table1[[#This Row],[PurchaseDate]],"MMM")</f>
        <v>May</v>
      </c>
      <c r="H1641">
        <v>5</v>
      </c>
      <c r="I1641">
        <v>408.93</v>
      </c>
      <c r="J1641" t="s">
        <v>3042</v>
      </c>
      <c r="K1641" t="s">
        <v>38</v>
      </c>
      <c r="L1641" t="s">
        <v>14</v>
      </c>
      <c r="M1641">
        <v>5</v>
      </c>
      <c r="N1641">
        <v>2044.65</v>
      </c>
    </row>
    <row r="1642" spans="1:14" x14ac:dyDescent="0.3">
      <c r="A1642" t="s">
        <v>2133</v>
      </c>
      <c r="B1642" t="s">
        <v>21</v>
      </c>
      <c r="C1642" s="1">
        <v>44941</v>
      </c>
      <c r="D1642" s="2">
        <f>YEAR(Table1[[#This Row],[PurchaseDate]])</f>
        <v>2023</v>
      </c>
      <c r="E1642" s="2" t="str">
        <f>"Q"&amp;ROUNDUP(MONTH(Table1[[#This Row],[PurchaseDate]])/3,0)</f>
        <v>Q1</v>
      </c>
      <c r="F1642" s="2">
        <f>MONTH(Table1[[#This Row],[PurchaseDate]])</f>
        <v>1</v>
      </c>
      <c r="G1642" s="2" t="str">
        <f>TEXT(Table1[[#This Row],[PurchaseDate]],"MMM")</f>
        <v>Jan</v>
      </c>
      <c r="H1642">
        <v>6</v>
      </c>
      <c r="I1642">
        <v>604.42999999999995</v>
      </c>
      <c r="J1642" t="s">
        <v>2134</v>
      </c>
      <c r="K1642" t="s">
        <v>38</v>
      </c>
      <c r="L1642" t="s">
        <v>23</v>
      </c>
      <c r="M1642">
        <v>1</v>
      </c>
      <c r="N1642">
        <v>3626.58</v>
      </c>
    </row>
    <row r="1643" spans="1:14" x14ac:dyDescent="0.3">
      <c r="A1643" t="s">
        <v>1685</v>
      </c>
      <c r="B1643" t="s">
        <v>42</v>
      </c>
      <c r="C1643" s="1">
        <v>45526</v>
      </c>
      <c r="D1643" s="2">
        <f>YEAR(Table1[[#This Row],[PurchaseDate]])</f>
        <v>2024</v>
      </c>
      <c r="E1643" s="2" t="str">
        <f>"Q"&amp;ROUNDUP(MONTH(Table1[[#This Row],[PurchaseDate]])/3,0)</f>
        <v>Q3</v>
      </c>
      <c r="F1643" s="2">
        <f>MONTH(Table1[[#This Row],[PurchaseDate]])</f>
        <v>8</v>
      </c>
      <c r="G1643" s="2" t="str">
        <f>TEXT(Table1[[#This Row],[PurchaseDate]],"MMM")</f>
        <v>Aug</v>
      </c>
      <c r="H1643">
        <v>4</v>
      </c>
      <c r="I1643">
        <v>366.2</v>
      </c>
      <c r="J1643" t="s">
        <v>1686</v>
      </c>
      <c r="K1643" t="s">
        <v>13</v>
      </c>
      <c r="L1643" t="s">
        <v>23</v>
      </c>
      <c r="M1643">
        <v>3</v>
      </c>
      <c r="N1643">
        <v>1464.8</v>
      </c>
    </row>
    <row r="1644" spans="1:14" x14ac:dyDescent="0.3">
      <c r="A1644" t="s">
        <v>3043</v>
      </c>
      <c r="B1644" t="s">
        <v>25</v>
      </c>
      <c r="C1644" s="1">
        <v>45830</v>
      </c>
      <c r="D1644" s="2">
        <f>YEAR(Table1[[#This Row],[PurchaseDate]])</f>
        <v>2025</v>
      </c>
      <c r="E1644" s="2" t="str">
        <f>"Q"&amp;ROUNDUP(MONTH(Table1[[#This Row],[PurchaseDate]])/3,0)</f>
        <v>Q2</v>
      </c>
      <c r="F1644" s="2">
        <f>MONTH(Table1[[#This Row],[PurchaseDate]])</f>
        <v>6</v>
      </c>
      <c r="G1644" s="2" t="str">
        <f>TEXT(Table1[[#This Row],[PurchaseDate]],"MMM")</f>
        <v>Jun</v>
      </c>
      <c r="H1644">
        <v>1</v>
      </c>
      <c r="I1644">
        <v>470.23</v>
      </c>
      <c r="J1644" t="s">
        <v>3044</v>
      </c>
      <c r="K1644" t="s">
        <v>13</v>
      </c>
      <c r="L1644" t="s">
        <v>27</v>
      </c>
      <c r="M1644">
        <v>3</v>
      </c>
      <c r="N1644">
        <v>470.23</v>
      </c>
    </row>
    <row r="1645" spans="1:14" x14ac:dyDescent="0.3">
      <c r="A1645" t="s">
        <v>3045</v>
      </c>
      <c r="B1645" t="s">
        <v>25</v>
      </c>
      <c r="C1645" s="1">
        <v>45648</v>
      </c>
      <c r="D1645" s="2">
        <f>YEAR(Table1[[#This Row],[PurchaseDate]])</f>
        <v>2024</v>
      </c>
      <c r="E1645" s="2" t="str">
        <f>"Q"&amp;ROUNDUP(MONTH(Table1[[#This Row],[PurchaseDate]])/3,0)</f>
        <v>Q4</v>
      </c>
      <c r="F1645" s="2">
        <f>MONTH(Table1[[#This Row],[PurchaseDate]])</f>
        <v>12</v>
      </c>
      <c r="G1645" s="2" t="str">
        <f>TEXT(Table1[[#This Row],[PurchaseDate]],"MMM")</f>
        <v>Dec</v>
      </c>
      <c r="H1645">
        <v>3</v>
      </c>
      <c r="I1645">
        <v>232.73</v>
      </c>
      <c r="J1645" t="s">
        <v>3046</v>
      </c>
      <c r="K1645" t="s">
        <v>18</v>
      </c>
      <c r="L1645" t="s">
        <v>58</v>
      </c>
      <c r="M1645">
        <v>3</v>
      </c>
      <c r="N1645">
        <v>698.19</v>
      </c>
    </row>
    <row r="1646" spans="1:14" x14ac:dyDescent="0.3">
      <c r="A1646" t="s">
        <v>3047</v>
      </c>
      <c r="B1646" t="s">
        <v>25</v>
      </c>
      <c r="C1646" s="1">
        <v>44949</v>
      </c>
      <c r="D1646" s="2">
        <f>YEAR(Table1[[#This Row],[PurchaseDate]])</f>
        <v>2023</v>
      </c>
      <c r="E1646" s="2" t="str">
        <f>"Q"&amp;ROUNDUP(MONTH(Table1[[#This Row],[PurchaseDate]])/3,0)</f>
        <v>Q1</v>
      </c>
      <c r="F1646" s="2">
        <f>MONTH(Table1[[#This Row],[PurchaseDate]])</f>
        <v>1</v>
      </c>
      <c r="G1646" s="2" t="str">
        <f>TEXT(Table1[[#This Row],[PurchaseDate]],"MMM")</f>
        <v>Jan</v>
      </c>
      <c r="H1646">
        <v>6</v>
      </c>
      <c r="I1646">
        <v>744.27</v>
      </c>
      <c r="J1646" t="s">
        <v>3048</v>
      </c>
      <c r="K1646" t="s">
        <v>38</v>
      </c>
      <c r="L1646" t="s">
        <v>19</v>
      </c>
      <c r="M1646">
        <v>5</v>
      </c>
      <c r="N1646">
        <v>4465.62</v>
      </c>
    </row>
    <row r="1647" spans="1:14" x14ac:dyDescent="0.3">
      <c r="A1647" t="s">
        <v>3049</v>
      </c>
      <c r="B1647" t="s">
        <v>16</v>
      </c>
      <c r="C1647" s="1">
        <v>45257</v>
      </c>
      <c r="D1647" s="2">
        <f>YEAR(Table1[[#This Row],[PurchaseDate]])</f>
        <v>2023</v>
      </c>
      <c r="E1647" s="2" t="str">
        <f>"Q"&amp;ROUNDUP(MONTH(Table1[[#This Row],[PurchaseDate]])/3,0)</f>
        <v>Q4</v>
      </c>
      <c r="F1647" s="2">
        <f>MONTH(Table1[[#This Row],[PurchaseDate]])</f>
        <v>11</v>
      </c>
      <c r="G1647" s="2" t="str">
        <f>TEXT(Table1[[#This Row],[PurchaseDate]],"MMM")</f>
        <v>Nov</v>
      </c>
      <c r="H1647">
        <v>8</v>
      </c>
      <c r="I1647">
        <v>290.91000000000003</v>
      </c>
      <c r="J1647" t="s">
        <v>3050</v>
      </c>
      <c r="K1647" t="s">
        <v>13</v>
      </c>
      <c r="L1647" t="s">
        <v>19</v>
      </c>
      <c r="M1647">
        <v>4</v>
      </c>
      <c r="N1647">
        <v>2327.2800000000002</v>
      </c>
    </row>
    <row r="1648" spans="1:14" x14ac:dyDescent="0.3">
      <c r="A1648" t="s">
        <v>3051</v>
      </c>
      <c r="B1648" t="s">
        <v>34</v>
      </c>
      <c r="C1648" s="1">
        <v>45821</v>
      </c>
      <c r="D1648" s="2">
        <f>YEAR(Table1[[#This Row],[PurchaseDate]])</f>
        <v>2025</v>
      </c>
      <c r="E1648" s="2" t="str">
        <f>"Q"&amp;ROUNDUP(MONTH(Table1[[#This Row],[PurchaseDate]])/3,0)</f>
        <v>Q2</v>
      </c>
      <c r="F1648" s="2">
        <f>MONTH(Table1[[#This Row],[PurchaseDate]])</f>
        <v>6</v>
      </c>
      <c r="G1648" s="2" t="str">
        <f>TEXT(Table1[[#This Row],[PurchaseDate]],"MMM")</f>
        <v>Jun</v>
      </c>
      <c r="H1648">
        <v>8</v>
      </c>
      <c r="I1648">
        <v>425.3</v>
      </c>
      <c r="J1648" t="s">
        <v>3052</v>
      </c>
      <c r="K1648" t="s">
        <v>38</v>
      </c>
      <c r="L1648" t="s">
        <v>27</v>
      </c>
      <c r="M1648">
        <v>4</v>
      </c>
      <c r="N1648">
        <v>3402.4</v>
      </c>
    </row>
    <row r="1649" spans="1:14" x14ac:dyDescent="0.3">
      <c r="A1649" t="s">
        <v>3053</v>
      </c>
      <c r="B1649" t="s">
        <v>29</v>
      </c>
      <c r="C1649" s="1">
        <v>45673</v>
      </c>
      <c r="D1649" s="2">
        <f>YEAR(Table1[[#This Row],[PurchaseDate]])</f>
        <v>2025</v>
      </c>
      <c r="E1649" s="2" t="str">
        <f>"Q"&amp;ROUNDUP(MONTH(Table1[[#This Row],[PurchaseDate]])/3,0)</f>
        <v>Q1</v>
      </c>
      <c r="F1649" s="2">
        <f>MONTH(Table1[[#This Row],[PurchaseDate]])</f>
        <v>1</v>
      </c>
      <c r="G1649" s="2" t="str">
        <f>TEXT(Table1[[#This Row],[PurchaseDate]],"MMM")</f>
        <v>Jan</v>
      </c>
      <c r="H1649">
        <v>7</v>
      </c>
      <c r="I1649">
        <v>406.68</v>
      </c>
      <c r="J1649" t="s">
        <v>3054</v>
      </c>
      <c r="K1649" t="s">
        <v>18</v>
      </c>
      <c r="L1649" t="s">
        <v>23</v>
      </c>
      <c r="M1649">
        <v>5</v>
      </c>
      <c r="N1649">
        <v>2846.76</v>
      </c>
    </row>
    <row r="1650" spans="1:14" x14ac:dyDescent="0.3">
      <c r="A1650" t="s">
        <v>3055</v>
      </c>
      <c r="B1650" t="s">
        <v>34</v>
      </c>
      <c r="C1650" s="1">
        <v>45761</v>
      </c>
      <c r="D1650" s="2">
        <f>YEAR(Table1[[#This Row],[PurchaseDate]])</f>
        <v>2025</v>
      </c>
      <c r="E1650" s="2" t="str">
        <f>"Q"&amp;ROUNDUP(MONTH(Table1[[#This Row],[PurchaseDate]])/3,0)</f>
        <v>Q2</v>
      </c>
      <c r="F1650" s="2">
        <f>MONTH(Table1[[#This Row],[PurchaseDate]])</f>
        <v>4</v>
      </c>
      <c r="G1650" s="2" t="str">
        <f>TEXT(Table1[[#This Row],[PurchaseDate]],"MMM")</f>
        <v>Apr</v>
      </c>
      <c r="H1650">
        <v>5</v>
      </c>
      <c r="I1650">
        <v>167.11</v>
      </c>
      <c r="J1650" t="s">
        <v>3056</v>
      </c>
      <c r="K1650" t="s">
        <v>38</v>
      </c>
      <c r="L1650" t="s">
        <v>23</v>
      </c>
      <c r="M1650">
        <v>3</v>
      </c>
      <c r="N1650">
        <v>835.55</v>
      </c>
    </row>
    <row r="1651" spans="1:14" x14ac:dyDescent="0.3">
      <c r="A1651" t="s">
        <v>3057</v>
      </c>
      <c r="B1651" t="s">
        <v>29</v>
      </c>
      <c r="C1651" s="1">
        <v>45334</v>
      </c>
      <c r="D1651" s="2">
        <f>YEAR(Table1[[#This Row],[PurchaseDate]])</f>
        <v>2024</v>
      </c>
      <c r="E1651" s="2" t="str">
        <f>"Q"&amp;ROUNDUP(MONTH(Table1[[#This Row],[PurchaseDate]])/3,0)</f>
        <v>Q1</v>
      </c>
      <c r="F1651" s="2">
        <f>MONTH(Table1[[#This Row],[PurchaseDate]])</f>
        <v>2</v>
      </c>
      <c r="G1651" s="2" t="str">
        <f>TEXT(Table1[[#This Row],[PurchaseDate]],"MMM")</f>
        <v>Feb</v>
      </c>
      <c r="H1651">
        <v>6</v>
      </c>
      <c r="I1651">
        <v>607.23</v>
      </c>
      <c r="J1651" t="s">
        <v>3058</v>
      </c>
      <c r="K1651" t="s">
        <v>38</v>
      </c>
      <c r="L1651" t="s">
        <v>27</v>
      </c>
      <c r="M1651">
        <v>3</v>
      </c>
      <c r="N1651">
        <v>3643.38</v>
      </c>
    </row>
    <row r="1652" spans="1:14" x14ac:dyDescent="0.3">
      <c r="A1652" t="s">
        <v>3059</v>
      </c>
      <c r="B1652" t="s">
        <v>34</v>
      </c>
      <c r="C1652" s="1">
        <v>45225</v>
      </c>
      <c r="D1652" s="2">
        <f>YEAR(Table1[[#This Row],[PurchaseDate]])</f>
        <v>2023</v>
      </c>
      <c r="E1652" s="2" t="str">
        <f>"Q"&amp;ROUNDUP(MONTH(Table1[[#This Row],[PurchaseDate]])/3,0)</f>
        <v>Q4</v>
      </c>
      <c r="F1652" s="2">
        <f>MONTH(Table1[[#This Row],[PurchaseDate]])</f>
        <v>10</v>
      </c>
      <c r="G1652" s="2" t="str">
        <f>TEXT(Table1[[#This Row],[PurchaseDate]],"MMM")</f>
        <v>Oct</v>
      </c>
      <c r="H1652">
        <v>7</v>
      </c>
      <c r="I1652">
        <v>437.66</v>
      </c>
      <c r="J1652" t="s">
        <v>3060</v>
      </c>
      <c r="K1652" t="s">
        <v>18</v>
      </c>
      <c r="L1652" t="s">
        <v>58</v>
      </c>
      <c r="M1652">
        <v>4</v>
      </c>
      <c r="N1652">
        <v>3063.62</v>
      </c>
    </row>
    <row r="1653" spans="1:14" x14ac:dyDescent="0.3">
      <c r="A1653" t="s">
        <v>3061</v>
      </c>
      <c r="B1653" t="s">
        <v>42</v>
      </c>
      <c r="C1653" s="1">
        <v>45140</v>
      </c>
      <c r="D1653" s="2">
        <f>YEAR(Table1[[#This Row],[PurchaseDate]])</f>
        <v>2023</v>
      </c>
      <c r="E1653" s="2" t="str">
        <f>"Q"&amp;ROUNDUP(MONTH(Table1[[#This Row],[PurchaseDate]])/3,0)</f>
        <v>Q3</v>
      </c>
      <c r="F1653" s="2">
        <f>MONTH(Table1[[#This Row],[PurchaseDate]])</f>
        <v>8</v>
      </c>
      <c r="G1653" s="2" t="str">
        <f>TEXT(Table1[[#This Row],[PurchaseDate]],"MMM")</f>
        <v>Aug</v>
      </c>
      <c r="H1653">
        <v>8</v>
      </c>
      <c r="I1653">
        <v>757.81</v>
      </c>
      <c r="J1653" t="s">
        <v>3062</v>
      </c>
      <c r="K1653" t="s">
        <v>18</v>
      </c>
      <c r="L1653" t="s">
        <v>58</v>
      </c>
      <c r="M1653">
        <v>2</v>
      </c>
      <c r="N1653">
        <v>6062.48</v>
      </c>
    </row>
    <row r="1654" spans="1:14" x14ac:dyDescent="0.3">
      <c r="A1654" t="s">
        <v>3063</v>
      </c>
      <c r="B1654" t="s">
        <v>16</v>
      </c>
      <c r="C1654" s="1">
        <v>45559</v>
      </c>
      <c r="D1654" s="2">
        <f>YEAR(Table1[[#This Row],[PurchaseDate]])</f>
        <v>2024</v>
      </c>
      <c r="E1654" s="2" t="str">
        <f>"Q"&amp;ROUNDUP(MONTH(Table1[[#This Row],[PurchaseDate]])/3,0)</f>
        <v>Q3</v>
      </c>
      <c r="F1654" s="2">
        <f>MONTH(Table1[[#This Row],[PurchaseDate]])</f>
        <v>9</v>
      </c>
      <c r="G1654" s="2" t="str">
        <f>TEXT(Table1[[#This Row],[PurchaseDate]],"MMM")</f>
        <v>Sep</v>
      </c>
      <c r="H1654">
        <v>7</v>
      </c>
      <c r="I1654">
        <v>362.42</v>
      </c>
      <c r="J1654" t="s">
        <v>3064</v>
      </c>
      <c r="K1654" t="s">
        <v>13</v>
      </c>
      <c r="L1654" t="s">
        <v>58</v>
      </c>
      <c r="M1654">
        <v>4</v>
      </c>
      <c r="N1654">
        <v>2536.94</v>
      </c>
    </row>
    <row r="1655" spans="1:14" x14ac:dyDescent="0.3">
      <c r="A1655" t="s">
        <v>3065</v>
      </c>
      <c r="B1655" t="s">
        <v>11</v>
      </c>
      <c r="C1655" s="1">
        <v>45375</v>
      </c>
      <c r="D1655" s="2">
        <f>YEAR(Table1[[#This Row],[PurchaseDate]])</f>
        <v>2024</v>
      </c>
      <c r="E1655" s="2" t="str">
        <f>"Q"&amp;ROUNDUP(MONTH(Table1[[#This Row],[PurchaseDate]])/3,0)</f>
        <v>Q1</v>
      </c>
      <c r="F1655" s="2">
        <f>MONTH(Table1[[#This Row],[PurchaseDate]])</f>
        <v>3</v>
      </c>
      <c r="G1655" s="2" t="str">
        <f>TEXT(Table1[[#This Row],[PurchaseDate]],"MMM")</f>
        <v>Mar</v>
      </c>
      <c r="H1655">
        <v>8</v>
      </c>
      <c r="I1655">
        <v>208.1</v>
      </c>
      <c r="J1655" t="s">
        <v>3066</v>
      </c>
      <c r="K1655" t="s">
        <v>18</v>
      </c>
      <c r="L1655" t="s">
        <v>19</v>
      </c>
      <c r="M1655">
        <v>5</v>
      </c>
      <c r="N1655">
        <v>1664.8</v>
      </c>
    </row>
    <row r="1656" spans="1:14" x14ac:dyDescent="0.3">
      <c r="A1656" t="s">
        <v>3067</v>
      </c>
      <c r="B1656" t="s">
        <v>25</v>
      </c>
      <c r="C1656" s="1">
        <v>45351</v>
      </c>
      <c r="D1656" s="2">
        <f>YEAR(Table1[[#This Row],[PurchaseDate]])</f>
        <v>2024</v>
      </c>
      <c r="E1656" s="2" t="str">
        <f>"Q"&amp;ROUNDUP(MONTH(Table1[[#This Row],[PurchaseDate]])/3,0)</f>
        <v>Q1</v>
      </c>
      <c r="F1656" s="2">
        <f>MONTH(Table1[[#This Row],[PurchaseDate]])</f>
        <v>2</v>
      </c>
      <c r="G1656" s="2" t="str">
        <f>TEXT(Table1[[#This Row],[PurchaseDate]],"MMM")</f>
        <v>Feb</v>
      </c>
      <c r="H1656">
        <v>5</v>
      </c>
      <c r="I1656">
        <v>637.52</v>
      </c>
      <c r="J1656" t="s">
        <v>3068</v>
      </c>
      <c r="K1656" t="s">
        <v>38</v>
      </c>
      <c r="L1656" t="s">
        <v>27</v>
      </c>
      <c r="M1656">
        <v>4</v>
      </c>
      <c r="N1656">
        <v>3187.6</v>
      </c>
    </row>
    <row r="1657" spans="1:14" x14ac:dyDescent="0.3">
      <c r="A1657" t="s">
        <v>3069</v>
      </c>
      <c r="B1657" t="s">
        <v>11</v>
      </c>
      <c r="C1657" s="1">
        <v>45780</v>
      </c>
      <c r="D1657" s="2">
        <f>YEAR(Table1[[#This Row],[PurchaseDate]])</f>
        <v>2025</v>
      </c>
      <c r="E1657" s="2" t="str">
        <f>"Q"&amp;ROUNDUP(MONTH(Table1[[#This Row],[PurchaseDate]])/3,0)</f>
        <v>Q2</v>
      </c>
      <c r="F1657" s="2">
        <f>MONTH(Table1[[#This Row],[PurchaseDate]])</f>
        <v>5</v>
      </c>
      <c r="G1657" s="2" t="str">
        <f>TEXT(Table1[[#This Row],[PurchaseDate]],"MMM")</f>
        <v>May</v>
      </c>
      <c r="H1657">
        <v>3</v>
      </c>
      <c r="I1657">
        <v>180.86</v>
      </c>
      <c r="J1657" t="s">
        <v>3070</v>
      </c>
      <c r="K1657" t="s">
        <v>38</v>
      </c>
      <c r="L1657" t="s">
        <v>19</v>
      </c>
      <c r="M1657">
        <v>3</v>
      </c>
      <c r="N1657">
        <v>542.58000000000004</v>
      </c>
    </row>
    <row r="1658" spans="1:14" x14ac:dyDescent="0.3">
      <c r="A1658" t="s">
        <v>3071</v>
      </c>
      <c r="B1658" t="s">
        <v>21</v>
      </c>
      <c r="C1658" s="1">
        <v>45404</v>
      </c>
      <c r="D1658" s="2">
        <f>YEAR(Table1[[#This Row],[PurchaseDate]])</f>
        <v>2024</v>
      </c>
      <c r="E1658" s="2" t="str">
        <f>"Q"&amp;ROUNDUP(MONTH(Table1[[#This Row],[PurchaseDate]])/3,0)</f>
        <v>Q2</v>
      </c>
      <c r="F1658" s="2">
        <f>MONTH(Table1[[#This Row],[PurchaseDate]])</f>
        <v>4</v>
      </c>
      <c r="G1658" s="2" t="str">
        <f>TEXT(Table1[[#This Row],[PurchaseDate]],"MMM")</f>
        <v>Apr</v>
      </c>
      <c r="H1658">
        <v>1</v>
      </c>
      <c r="I1658">
        <v>214.93</v>
      </c>
      <c r="J1658" t="s">
        <v>3072</v>
      </c>
      <c r="K1658" t="s">
        <v>18</v>
      </c>
      <c r="L1658" t="s">
        <v>27</v>
      </c>
      <c r="M1658">
        <v>2</v>
      </c>
      <c r="N1658">
        <v>214.93</v>
      </c>
    </row>
    <row r="1659" spans="1:14" x14ac:dyDescent="0.3">
      <c r="A1659" t="s">
        <v>3073</v>
      </c>
      <c r="B1659" t="s">
        <v>42</v>
      </c>
      <c r="C1659" s="1">
        <v>45282</v>
      </c>
      <c r="D1659" s="2">
        <f>YEAR(Table1[[#This Row],[PurchaseDate]])</f>
        <v>2023</v>
      </c>
      <c r="E1659" s="2" t="str">
        <f>"Q"&amp;ROUNDUP(MONTH(Table1[[#This Row],[PurchaseDate]])/3,0)</f>
        <v>Q4</v>
      </c>
      <c r="F1659" s="2">
        <f>MONTH(Table1[[#This Row],[PurchaseDate]])</f>
        <v>12</v>
      </c>
      <c r="G1659" s="2" t="str">
        <f>TEXT(Table1[[#This Row],[PurchaseDate]],"MMM")</f>
        <v>Dec</v>
      </c>
      <c r="H1659">
        <v>7</v>
      </c>
      <c r="I1659">
        <v>375</v>
      </c>
      <c r="J1659" t="s">
        <v>3074</v>
      </c>
      <c r="K1659" t="s">
        <v>38</v>
      </c>
      <c r="L1659" t="s">
        <v>27</v>
      </c>
      <c r="M1659">
        <v>4</v>
      </c>
      <c r="N1659">
        <v>2625</v>
      </c>
    </row>
    <row r="1660" spans="1:14" x14ac:dyDescent="0.3">
      <c r="A1660" t="s">
        <v>3075</v>
      </c>
      <c r="B1660" t="s">
        <v>42</v>
      </c>
      <c r="C1660" s="1">
        <v>45273</v>
      </c>
      <c r="D1660" s="2">
        <f>YEAR(Table1[[#This Row],[PurchaseDate]])</f>
        <v>2023</v>
      </c>
      <c r="E1660" s="2" t="str">
        <f>"Q"&amp;ROUNDUP(MONTH(Table1[[#This Row],[PurchaseDate]])/3,0)</f>
        <v>Q4</v>
      </c>
      <c r="F1660" s="2">
        <f>MONTH(Table1[[#This Row],[PurchaseDate]])</f>
        <v>12</v>
      </c>
      <c r="G1660" s="2" t="str">
        <f>TEXT(Table1[[#This Row],[PurchaseDate]],"MMM")</f>
        <v>Dec</v>
      </c>
      <c r="H1660">
        <v>8</v>
      </c>
      <c r="I1660">
        <v>247.38</v>
      </c>
      <c r="J1660" t="s">
        <v>3076</v>
      </c>
      <c r="K1660" t="s">
        <v>13</v>
      </c>
      <c r="L1660" t="s">
        <v>19</v>
      </c>
      <c r="M1660">
        <v>5</v>
      </c>
      <c r="N1660">
        <v>1979.04</v>
      </c>
    </row>
    <row r="1661" spans="1:14" x14ac:dyDescent="0.3">
      <c r="A1661" t="s">
        <v>1553</v>
      </c>
      <c r="B1661" t="s">
        <v>16</v>
      </c>
      <c r="C1661" s="1">
        <v>45126</v>
      </c>
      <c r="D1661" s="2">
        <f>YEAR(Table1[[#This Row],[PurchaseDate]])</f>
        <v>2023</v>
      </c>
      <c r="E1661" s="2" t="str">
        <f>"Q"&amp;ROUNDUP(MONTH(Table1[[#This Row],[PurchaseDate]])/3,0)</f>
        <v>Q3</v>
      </c>
      <c r="F1661" s="2">
        <f>MONTH(Table1[[#This Row],[PurchaseDate]])</f>
        <v>7</v>
      </c>
      <c r="G1661" s="2" t="str">
        <f>TEXT(Table1[[#This Row],[PurchaseDate]],"MMM")</f>
        <v>Jul</v>
      </c>
      <c r="H1661">
        <v>7</v>
      </c>
      <c r="I1661">
        <v>170.42</v>
      </c>
      <c r="J1661" t="s">
        <v>1554</v>
      </c>
      <c r="K1661" t="s">
        <v>38</v>
      </c>
      <c r="L1661" t="s">
        <v>27</v>
      </c>
      <c r="M1661">
        <v>1</v>
      </c>
      <c r="N1661">
        <v>1192.94</v>
      </c>
    </row>
    <row r="1662" spans="1:14" x14ac:dyDescent="0.3">
      <c r="A1662" t="s">
        <v>3077</v>
      </c>
      <c r="B1662" t="s">
        <v>25</v>
      </c>
      <c r="C1662" s="1">
        <v>44945</v>
      </c>
      <c r="D1662" s="2">
        <f>YEAR(Table1[[#This Row],[PurchaseDate]])</f>
        <v>2023</v>
      </c>
      <c r="E1662" s="2" t="str">
        <f>"Q"&amp;ROUNDUP(MONTH(Table1[[#This Row],[PurchaseDate]])/3,0)</f>
        <v>Q1</v>
      </c>
      <c r="F1662" s="2">
        <f>MONTH(Table1[[#This Row],[PurchaseDate]])</f>
        <v>1</v>
      </c>
      <c r="G1662" s="2" t="str">
        <f>TEXT(Table1[[#This Row],[PurchaseDate]],"MMM")</f>
        <v>Jan</v>
      </c>
      <c r="H1662">
        <v>5</v>
      </c>
      <c r="I1662">
        <v>641.57000000000005</v>
      </c>
      <c r="J1662" t="s">
        <v>3078</v>
      </c>
      <c r="K1662" t="s">
        <v>18</v>
      </c>
      <c r="L1662" t="s">
        <v>19</v>
      </c>
      <c r="M1662">
        <v>2</v>
      </c>
      <c r="N1662">
        <v>3207.85</v>
      </c>
    </row>
    <row r="1663" spans="1:14" x14ac:dyDescent="0.3">
      <c r="A1663" t="s">
        <v>3079</v>
      </c>
      <c r="B1663" t="s">
        <v>34</v>
      </c>
      <c r="C1663" s="1">
        <v>45456</v>
      </c>
      <c r="D1663" s="2">
        <f>YEAR(Table1[[#This Row],[PurchaseDate]])</f>
        <v>2024</v>
      </c>
      <c r="E1663" s="2" t="str">
        <f>"Q"&amp;ROUNDUP(MONTH(Table1[[#This Row],[PurchaseDate]])/3,0)</f>
        <v>Q2</v>
      </c>
      <c r="F1663" s="2">
        <f>MONTH(Table1[[#This Row],[PurchaseDate]])</f>
        <v>6</v>
      </c>
      <c r="G1663" s="2" t="str">
        <f>TEXT(Table1[[#This Row],[PurchaseDate]],"MMM")</f>
        <v>Jun</v>
      </c>
      <c r="H1663">
        <v>7</v>
      </c>
      <c r="I1663">
        <v>462.28</v>
      </c>
      <c r="J1663" t="s">
        <v>3080</v>
      </c>
      <c r="K1663" t="s">
        <v>13</v>
      </c>
      <c r="L1663" t="s">
        <v>14</v>
      </c>
      <c r="M1663">
        <v>5</v>
      </c>
      <c r="N1663">
        <v>3235.96</v>
      </c>
    </row>
    <row r="1664" spans="1:14" x14ac:dyDescent="0.3">
      <c r="A1664" t="s">
        <v>3081</v>
      </c>
      <c r="B1664" t="s">
        <v>29</v>
      </c>
      <c r="C1664" s="1">
        <v>45314</v>
      </c>
      <c r="D1664" s="2">
        <f>YEAR(Table1[[#This Row],[PurchaseDate]])</f>
        <v>2024</v>
      </c>
      <c r="E1664" s="2" t="str">
        <f>"Q"&amp;ROUNDUP(MONTH(Table1[[#This Row],[PurchaseDate]])/3,0)</f>
        <v>Q1</v>
      </c>
      <c r="F1664" s="2">
        <f>MONTH(Table1[[#This Row],[PurchaseDate]])</f>
        <v>1</v>
      </c>
      <c r="G1664" s="2" t="str">
        <f>TEXT(Table1[[#This Row],[PurchaseDate]],"MMM")</f>
        <v>Jan</v>
      </c>
      <c r="H1664">
        <v>4</v>
      </c>
      <c r="I1664">
        <v>693.32</v>
      </c>
      <c r="J1664" t="s">
        <v>3082</v>
      </c>
      <c r="K1664" t="s">
        <v>13</v>
      </c>
      <c r="L1664" t="s">
        <v>23</v>
      </c>
      <c r="M1664">
        <v>5</v>
      </c>
      <c r="N1664">
        <v>2773.28</v>
      </c>
    </row>
    <row r="1665" spans="1:14" x14ac:dyDescent="0.3">
      <c r="A1665" t="s">
        <v>2825</v>
      </c>
      <c r="B1665" t="s">
        <v>21</v>
      </c>
      <c r="C1665" s="1">
        <v>45826</v>
      </c>
      <c r="D1665" s="2">
        <f>YEAR(Table1[[#This Row],[PurchaseDate]])</f>
        <v>2025</v>
      </c>
      <c r="E1665" s="2" t="str">
        <f>"Q"&amp;ROUNDUP(MONTH(Table1[[#This Row],[PurchaseDate]])/3,0)</f>
        <v>Q2</v>
      </c>
      <c r="F1665" s="2">
        <f>MONTH(Table1[[#This Row],[PurchaseDate]])</f>
        <v>6</v>
      </c>
      <c r="G1665" s="2" t="str">
        <f>TEXT(Table1[[#This Row],[PurchaseDate]],"MMM")</f>
        <v>Jun</v>
      </c>
      <c r="H1665">
        <v>6</v>
      </c>
      <c r="I1665">
        <v>533.1</v>
      </c>
      <c r="J1665" t="s">
        <v>2826</v>
      </c>
      <c r="K1665" t="s">
        <v>18</v>
      </c>
      <c r="L1665" t="s">
        <v>19</v>
      </c>
      <c r="M1665">
        <v>1</v>
      </c>
      <c r="N1665">
        <v>3198.6</v>
      </c>
    </row>
    <row r="1666" spans="1:14" x14ac:dyDescent="0.3">
      <c r="A1666" t="s">
        <v>3083</v>
      </c>
      <c r="B1666" t="s">
        <v>42</v>
      </c>
      <c r="C1666" s="1">
        <v>45292</v>
      </c>
      <c r="D1666" s="2">
        <f>YEAR(Table1[[#This Row],[PurchaseDate]])</f>
        <v>2024</v>
      </c>
      <c r="E1666" s="2" t="str">
        <f>"Q"&amp;ROUNDUP(MONTH(Table1[[#This Row],[PurchaseDate]])/3,0)</f>
        <v>Q1</v>
      </c>
      <c r="F1666" s="2">
        <f>MONTH(Table1[[#This Row],[PurchaseDate]])</f>
        <v>1</v>
      </c>
      <c r="G1666" s="2" t="str">
        <f>TEXT(Table1[[#This Row],[PurchaseDate]],"MMM")</f>
        <v>Jan</v>
      </c>
      <c r="H1666">
        <v>6</v>
      </c>
      <c r="I1666">
        <v>577.75</v>
      </c>
      <c r="J1666" t="s">
        <v>3084</v>
      </c>
      <c r="K1666" t="s">
        <v>38</v>
      </c>
      <c r="L1666" t="s">
        <v>58</v>
      </c>
      <c r="M1666">
        <v>1</v>
      </c>
      <c r="N1666">
        <v>3466.5</v>
      </c>
    </row>
    <row r="1667" spans="1:14" x14ac:dyDescent="0.3">
      <c r="A1667" t="s">
        <v>3085</v>
      </c>
      <c r="B1667" t="s">
        <v>21</v>
      </c>
      <c r="C1667" s="1">
        <v>45295</v>
      </c>
      <c r="D1667" s="2">
        <f>YEAR(Table1[[#This Row],[PurchaseDate]])</f>
        <v>2024</v>
      </c>
      <c r="E1667" s="2" t="str">
        <f>"Q"&amp;ROUNDUP(MONTH(Table1[[#This Row],[PurchaseDate]])/3,0)</f>
        <v>Q1</v>
      </c>
      <c r="F1667" s="2">
        <f>MONTH(Table1[[#This Row],[PurchaseDate]])</f>
        <v>1</v>
      </c>
      <c r="G1667" s="2" t="str">
        <f>TEXT(Table1[[#This Row],[PurchaseDate]],"MMM")</f>
        <v>Jan</v>
      </c>
      <c r="H1667">
        <v>6</v>
      </c>
      <c r="I1667">
        <v>307.64999999999998</v>
      </c>
      <c r="J1667" t="s">
        <v>3086</v>
      </c>
      <c r="K1667" t="s">
        <v>18</v>
      </c>
      <c r="L1667" t="s">
        <v>19</v>
      </c>
      <c r="M1667">
        <v>3</v>
      </c>
      <c r="N1667">
        <v>1845.9</v>
      </c>
    </row>
    <row r="1668" spans="1:14" x14ac:dyDescent="0.3">
      <c r="A1668" t="s">
        <v>3087</v>
      </c>
      <c r="B1668" t="s">
        <v>16</v>
      </c>
      <c r="C1668" s="1">
        <v>44952</v>
      </c>
      <c r="D1668" s="2">
        <f>YEAR(Table1[[#This Row],[PurchaseDate]])</f>
        <v>2023</v>
      </c>
      <c r="E1668" s="2" t="str">
        <f>"Q"&amp;ROUNDUP(MONTH(Table1[[#This Row],[PurchaseDate]])/3,0)</f>
        <v>Q1</v>
      </c>
      <c r="F1668" s="2">
        <f>MONTH(Table1[[#This Row],[PurchaseDate]])</f>
        <v>1</v>
      </c>
      <c r="G1668" s="2" t="str">
        <f>TEXT(Table1[[#This Row],[PurchaseDate]],"MMM")</f>
        <v>Jan</v>
      </c>
      <c r="H1668">
        <v>2</v>
      </c>
      <c r="I1668">
        <v>181.2</v>
      </c>
      <c r="J1668" t="s">
        <v>3088</v>
      </c>
      <c r="K1668" t="s">
        <v>18</v>
      </c>
      <c r="L1668" t="s">
        <v>58</v>
      </c>
      <c r="M1668">
        <v>5</v>
      </c>
      <c r="N1668">
        <v>362.4</v>
      </c>
    </row>
    <row r="1669" spans="1:14" x14ac:dyDescent="0.3">
      <c r="A1669" t="s">
        <v>3089</v>
      </c>
      <c r="B1669" t="s">
        <v>29</v>
      </c>
      <c r="C1669" s="1">
        <v>45571</v>
      </c>
      <c r="D1669" s="2">
        <f>YEAR(Table1[[#This Row],[PurchaseDate]])</f>
        <v>2024</v>
      </c>
      <c r="E1669" s="2" t="str">
        <f>"Q"&amp;ROUNDUP(MONTH(Table1[[#This Row],[PurchaseDate]])/3,0)</f>
        <v>Q4</v>
      </c>
      <c r="F1669" s="2">
        <f>MONTH(Table1[[#This Row],[PurchaseDate]])</f>
        <v>10</v>
      </c>
      <c r="G1669" s="2" t="str">
        <f>TEXT(Table1[[#This Row],[PurchaseDate]],"MMM")</f>
        <v>Oct</v>
      </c>
      <c r="H1669">
        <v>8</v>
      </c>
      <c r="I1669">
        <v>172.99</v>
      </c>
      <c r="J1669" t="s">
        <v>3090</v>
      </c>
      <c r="K1669" t="s">
        <v>38</v>
      </c>
      <c r="L1669" t="s">
        <v>58</v>
      </c>
      <c r="M1669">
        <v>4</v>
      </c>
      <c r="N1669">
        <v>1383.92</v>
      </c>
    </row>
    <row r="1670" spans="1:14" x14ac:dyDescent="0.3">
      <c r="A1670" t="s">
        <v>3091</v>
      </c>
      <c r="B1670" t="s">
        <v>34</v>
      </c>
      <c r="C1670" s="1">
        <v>44994</v>
      </c>
      <c r="D1670" s="2">
        <f>YEAR(Table1[[#This Row],[PurchaseDate]])</f>
        <v>2023</v>
      </c>
      <c r="E1670" s="2" t="str">
        <f>"Q"&amp;ROUNDUP(MONTH(Table1[[#This Row],[PurchaseDate]])/3,0)</f>
        <v>Q1</v>
      </c>
      <c r="F1670" s="2">
        <f>MONTH(Table1[[#This Row],[PurchaseDate]])</f>
        <v>3</v>
      </c>
      <c r="G1670" s="2" t="str">
        <f>TEXT(Table1[[#This Row],[PurchaseDate]],"MMM")</f>
        <v>Mar</v>
      </c>
      <c r="H1670">
        <v>1</v>
      </c>
      <c r="I1670">
        <v>716.32</v>
      </c>
      <c r="J1670" t="s">
        <v>3092</v>
      </c>
      <c r="K1670" t="s">
        <v>18</v>
      </c>
      <c r="L1670" t="s">
        <v>23</v>
      </c>
      <c r="M1670">
        <v>4</v>
      </c>
      <c r="N1670">
        <v>716.32</v>
      </c>
    </row>
    <row r="1671" spans="1:14" x14ac:dyDescent="0.3">
      <c r="A1671" t="s">
        <v>3093</v>
      </c>
      <c r="B1671" t="s">
        <v>29</v>
      </c>
      <c r="C1671" s="1">
        <v>45089</v>
      </c>
      <c r="D1671" s="2">
        <f>YEAR(Table1[[#This Row],[PurchaseDate]])</f>
        <v>2023</v>
      </c>
      <c r="E1671" s="2" t="str">
        <f>"Q"&amp;ROUNDUP(MONTH(Table1[[#This Row],[PurchaseDate]])/3,0)</f>
        <v>Q2</v>
      </c>
      <c r="F1671" s="2">
        <f>MONTH(Table1[[#This Row],[PurchaseDate]])</f>
        <v>6</v>
      </c>
      <c r="G1671" s="2" t="str">
        <f>TEXT(Table1[[#This Row],[PurchaseDate]],"MMM")</f>
        <v>Jun</v>
      </c>
      <c r="H1671">
        <v>4</v>
      </c>
      <c r="I1671">
        <v>77.44</v>
      </c>
      <c r="J1671" t="s">
        <v>3094</v>
      </c>
      <c r="K1671" t="s">
        <v>38</v>
      </c>
      <c r="L1671" t="s">
        <v>19</v>
      </c>
      <c r="M1671">
        <v>2</v>
      </c>
      <c r="N1671">
        <v>309.76</v>
      </c>
    </row>
    <row r="1672" spans="1:14" x14ac:dyDescent="0.3">
      <c r="A1672" t="s">
        <v>1369</v>
      </c>
      <c r="B1672" t="s">
        <v>34</v>
      </c>
      <c r="C1672" s="1">
        <v>45147</v>
      </c>
      <c r="D1672" s="2">
        <f>YEAR(Table1[[#This Row],[PurchaseDate]])</f>
        <v>2023</v>
      </c>
      <c r="E1672" s="2" t="str">
        <f>"Q"&amp;ROUNDUP(MONTH(Table1[[#This Row],[PurchaseDate]])/3,0)</f>
        <v>Q3</v>
      </c>
      <c r="F1672" s="2">
        <f>MONTH(Table1[[#This Row],[PurchaseDate]])</f>
        <v>8</v>
      </c>
      <c r="G1672" s="2" t="str">
        <f>TEXT(Table1[[#This Row],[PurchaseDate]],"MMM")</f>
        <v>Aug</v>
      </c>
      <c r="H1672">
        <v>2</v>
      </c>
      <c r="I1672">
        <v>595.6</v>
      </c>
      <c r="J1672" t="s">
        <v>1370</v>
      </c>
      <c r="K1672" t="s">
        <v>13</v>
      </c>
      <c r="L1672" t="s">
        <v>58</v>
      </c>
      <c r="M1672">
        <v>5</v>
      </c>
      <c r="N1672">
        <v>1191.2</v>
      </c>
    </row>
    <row r="1673" spans="1:14" x14ac:dyDescent="0.3">
      <c r="A1673" t="s">
        <v>3095</v>
      </c>
      <c r="B1673" t="s">
        <v>42</v>
      </c>
      <c r="C1673" s="1">
        <v>45166</v>
      </c>
      <c r="D1673" s="2">
        <f>YEAR(Table1[[#This Row],[PurchaseDate]])</f>
        <v>2023</v>
      </c>
      <c r="E1673" s="2" t="str">
        <f>"Q"&amp;ROUNDUP(MONTH(Table1[[#This Row],[PurchaseDate]])/3,0)</f>
        <v>Q3</v>
      </c>
      <c r="F1673" s="2">
        <f>MONTH(Table1[[#This Row],[PurchaseDate]])</f>
        <v>8</v>
      </c>
      <c r="G1673" s="2" t="str">
        <f>TEXT(Table1[[#This Row],[PurchaseDate]],"MMM")</f>
        <v>Aug</v>
      </c>
      <c r="H1673">
        <v>4</v>
      </c>
      <c r="I1673">
        <v>104.51</v>
      </c>
      <c r="J1673" t="s">
        <v>3096</v>
      </c>
      <c r="K1673" t="s">
        <v>38</v>
      </c>
      <c r="L1673" t="s">
        <v>58</v>
      </c>
      <c r="M1673">
        <v>4</v>
      </c>
      <c r="N1673">
        <v>418.04</v>
      </c>
    </row>
    <row r="1674" spans="1:14" x14ac:dyDescent="0.3">
      <c r="A1674" t="s">
        <v>3097</v>
      </c>
      <c r="B1674" t="s">
        <v>21</v>
      </c>
      <c r="C1674" s="1">
        <v>45496</v>
      </c>
      <c r="D1674" s="2">
        <f>YEAR(Table1[[#This Row],[PurchaseDate]])</f>
        <v>2024</v>
      </c>
      <c r="E1674" s="2" t="str">
        <f>"Q"&amp;ROUNDUP(MONTH(Table1[[#This Row],[PurchaseDate]])/3,0)</f>
        <v>Q3</v>
      </c>
      <c r="F1674" s="2">
        <f>MONTH(Table1[[#This Row],[PurchaseDate]])</f>
        <v>7</v>
      </c>
      <c r="G1674" s="2" t="str">
        <f>TEXT(Table1[[#This Row],[PurchaseDate]],"MMM")</f>
        <v>Jul</v>
      </c>
      <c r="H1674">
        <v>5</v>
      </c>
      <c r="I1674">
        <v>499.6</v>
      </c>
      <c r="J1674" t="s">
        <v>3098</v>
      </c>
      <c r="K1674" t="s">
        <v>38</v>
      </c>
      <c r="L1674" t="s">
        <v>27</v>
      </c>
      <c r="M1674">
        <v>3</v>
      </c>
      <c r="N1674">
        <v>2498</v>
      </c>
    </row>
    <row r="1675" spans="1:14" x14ac:dyDescent="0.3">
      <c r="A1675" t="s">
        <v>3099</v>
      </c>
      <c r="B1675" t="s">
        <v>29</v>
      </c>
      <c r="C1675" s="1">
        <v>45069</v>
      </c>
      <c r="D1675" s="2">
        <f>YEAR(Table1[[#This Row],[PurchaseDate]])</f>
        <v>2023</v>
      </c>
      <c r="E1675" s="2" t="str">
        <f>"Q"&amp;ROUNDUP(MONTH(Table1[[#This Row],[PurchaseDate]])/3,0)</f>
        <v>Q2</v>
      </c>
      <c r="F1675" s="2">
        <f>MONTH(Table1[[#This Row],[PurchaseDate]])</f>
        <v>5</v>
      </c>
      <c r="G1675" s="2" t="str">
        <f>TEXT(Table1[[#This Row],[PurchaseDate]],"MMM")</f>
        <v>May</v>
      </c>
      <c r="H1675">
        <v>4</v>
      </c>
      <c r="I1675">
        <v>718.49</v>
      </c>
      <c r="J1675" t="s">
        <v>3100</v>
      </c>
      <c r="K1675" t="s">
        <v>13</v>
      </c>
      <c r="L1675" t="s">
        <v>23</v>
      </c>
      <c r="M1675">
        <v>2</v>
      </c>
      <c r="N1675">
        <v>2873.96</v>
      </c>
    </row>
    <row r="1676" spans="1:14" x14ac:dyDescent="0.3">
      <c r="A1676" t="s">
        <v>3101</v>
      </c>
      <c r="B1676" t="s">
        <v>29</v>
      </c>
      <c r="C1676" s="1">
        <v>45656</v>
      </c>
      <c r="D1676" s="2">
        <f>YEAR(Table1[[#This Row],[PurchaseDate]])</f>
        <v>2024</v>
      </c>
      <c r="E1676" s="2" t="str">
        <f>"Q"&amp;ROUNDUP(MONTH(Table1[[#This Row],[PurchaseDate]])/3,0)</f>
        <v>Q4</v>
      </c>
      <c r="F1676" s="2">
        <f>MONTH(Table1[[#This Row],[PurchaseDate]])</f>
        <v>12</v>
      </c>
      <c r="G1676" s="2" t="str">
        <f>TEXT(Table1[[#This Row],[PurchaseDate]],"MMM")</f>
        <v>Dec</v>
      </c>
      <c r="H1676">
        <v>7</v>
      </c>
      <c r="I1676">
        <v>208.38</v>
      </c>
      <c r="J1676" t="s">
        <v>3102</v>
      </c>
      <c r="K1676" t="s">
        <v>13</v>
      </c>
      <c r="L1676" t="s">
        <v>58</v>
      </c>
      <c r="M1676">
        <v>1</v>
      </c>
      <c r="N1676">
        <v>1458.66</v>
      </c>
    </row>
    <row r="1677" spans="1:14" x14ac:dyDescent="0.3">
      <c r="A1677" t="s">
        <v>3103</v>
      </c>
      <c r="B1677" t="s">
        <v>29</v>
      </c>
      <c r="C1677" s="1">
        <v>45020</v>
      </c>
      <c r="D1677" s="2">
        <f>YEAR(Table1[[#This Row],[PurchaseDate]])</f>
        <v>2023</v>
      </c>
      <c r="E1677" s="2" t="str">
        <f>"Q"&amp;ROUNDUP(MONTH(Table1[[#This Row],[PurchaseDate]])/3,0)</f>
        <v>Q2</v>
      </c>
      <c r="F1677" s="2">
        <f>MONTH(Table1[[#This Row],[PurchaseDate]])</f>
        <v>4</v>
      </c>
      <c r="G1677" s="2" t="str">
        <f>TEXT(Table1[[#This Row],[PurchaseDate]],"MMM")</f>
        <v>Apr</v>
      </c>
      <c r="H1677">
        <v>5</v>
      </c>
      <c r="I1677">
        <v>14.67</v>
      </c>
      <c r="J1677" t="s">
        <v>3104</v>
      </c>
      <c r="K1677" t="s">
        <v>38</v>
      </c>
      <c r="L1677" t="s">
        <v>27</v>
      </c>
      <c r="M1677">
        <v>3</v>
      </c>
      <c r="N1677">
        <v>73.349999999999994</v>
      </c>
    </row>
    <row r="1678" spans="1:14" x14ac:dyDescent="0.3">
      <c r="A1678" t="s">
        <v>3105</v>
      </c>
      <c r="B1678" t="s">
        <v>21</v>
      </c>
      <c r="C1678" s="1">
        <v>45755</v>
      </c>
      <c r="D1678" s="2">
        <f>YEAR(Table1[[#This Row],[PurchaseDate]])</f>
        <v>2025</v>
      </c>
      <c r="E1678" s="2" t="str">
        <f>"Q"&amp;ROUNDUP(MONTH(Table1[[#This Row],[PurchaseDate]])/3,0)</f>
        <v>Q2</v>
      </c>
      <c r="F1678" s="2">
        <f>MONTH(Table1[[#This Row],[PurchaseDate]])</f>
        <v>4</v>
      </c>
      <c r="G1678" s="2" t="str">
        <f>TEXT(Table1[[#This Row],[PurchaseDate]],"MMM")</f>
        <v>Apr</v>
      </c>
      <c r="H1678">
        <v>2</v>
      </c>
      <c r="I1678">
        <v>463.17</v>
      </c>
      <c r="J1678" t="s">
        <v>3106</v>
      </c>
      <c r="K1678" t="s">
        <v>18</v>
      </c>
      <c r="L1678" t="s">
        <v>58</v>
      </c>
      <c r="M1678">
        <v>2</v>
      </c>
      <c r="N1678">
        <v>926.34</v>
      </c>
    </row>
    <row r="1679" spans="1:14" x14ac:dyDescent="0.3">
      <c r="A1679" t="s">
        <v>1087</v>
      </c>
      <c r="B1679" t="s">
        <v>21</v>
      </c>
      <c r="C1679" s="1">
        <v>45731</v>
      </c>
      <c r="D1679" s="2">
        <f>YEAR(Table1[[#This Row],[PurchaseDate]])</f>
        <v>2025</v>
      </c>
      <c r="E1679" s="2" t="str">
        <f>"Q"&amp;ROUNDUP(MONTH(Table1[[#This Row],[PurchaseDate]])/3,0)</f>
        <v>Q1</v>
      </c>
      <c r="F1679" s="2">
        <f>MONTH(Table1[[#This Row],[PurchaseDate]])</f>
        <v>3</v>
      </c>
      <c r="G1679" s="2" t="str">
        <f>TEXT(Table1[[#This Row],[PurchaseDate]],"MMM")</f>
        <v>Mar</v>
      </c>
      <c r="H1679">
        <v>2</v>
      </c>
      <c r="I1679">
        <v>277.76</v>
      </c>
      <c r="J1679" t="s">
        <v>1088</v>
      </c>
      <c r="K1679" t="s">
        <v>38</v>
      </c>
      <c r="L1679" t="s">
        <v>23</v>
      </c>
      <c r="M1679">
        <v>5</v>
      </c>
      <c r="N1679">
        <v>555.52</v>
      </c>
    </row>
    <row r="1680" spans="1:14" x14ac:dyDescent="0.3">
      <c r="A1680" t="s">
        <v>3107</v>
      </c>
      <c r="B1680" t="s">
        <v>34</v>
      </c>
      <c r="C1680" s="1">
        <v>45608</v>
      </c>
      <c r="D1680" s="2">
        <f>YEAR(Table1[[#This Row],[PurchaseDate]])</f>
        <v>2024</v>
      </c>
      <c r="E1680" s="2" t="str">
        <f>"Q"&amp;ROUNDUP(MONTH(Table1[[#This Row],[PurchaseDate]])/3,0)</f>
        <v>Q4</v>
      </c>
      <c r="F1680" s="2">
        <f>MONTH(Table1[[#This Row],[PurchaseDate]])</f>
        <v>11</v>
      </c>
      <c r="G1680" s="2" t="str">
        <f>TEXT(Table1[[#This Row],[PurchaseDate]],"MMM")</f>
        <v>Nov</v>
      </c>
      <c r="H1680">
        <v>4</v>
      </c>
      <c r="I1680">
        <v>276.02</v>
      </c>
      <c r="J1680" t="s">
        <v>3108</v>
      </c>
      <c r="K1680" t="s">
        <v>38</v>
      </c>
      <c r="L1680" t="s">
        <v>19</v>
      </c>
      <c r="M1680">
        <v>5</v>
      </c>
      <c r="N1680">
        <v>1104.08</v>
      </c>
    </row>
    <row r="1681" spans="1:14" x14ac:dyDescent="0.3">
      <c r="A1681" t="s">
        <v>3109</v>
      </c>
      <c r="B1681" t="s">
        <v>25</v>
      </c>
      <c r="C1681" s="1">
        <v>45040</v>
      </c>
      <c r="D1681" s="2">
        <f>YEAR(Table1[[#This Row],[PurchaseDate]])</f>
        <v>2023</v>
      </c>
      <c r="E1681" s="2" t="str">
        <f>"Q"&amp;ROUNDUP(MONTH(Table1[[#This Row],[PurchaseDate]])/3,0)</f>
        <v>Q2</v>
      </c>
      <c r="F1681" s="2">
        <f>MONTH(Table1[[#This Row],[PurchaseDate]])</f>
        <v>4</v>
      </c>
      <c r="G1681" s="2" t="str">
        <f>TEXT(Table1[[#This Row],[PurchaseDate]],"MMM")</f>
        <v>Apr</v>
      </c>
      <c r="H1681">
        <v>2</v>
      </c>
      <c r="I1681">
        <v>279.12</v>
      </c>
      <c r="J1681" t="s">
        <v>3110</v>
      </c>
      <c r="K1681" t="s">
        <v>38</v>
      </c>
      <c r="L1681" t="s">
        <v>19</v>
      </c>
      <c r="M1681">
        <v>2</v>
      </c>
      <c r="N1681">
        <v>558.24</v>
      </c>
    </row>
    <row r="1682" spans="1:14" x14ac:dyDescent="0.3">
      <c r="A1682" t="s">
        <v>3111</v>
      </c>
      <c r="B1682" t="s">
        <v>16</v>
      </c>
      <c r="C1682" s="1">
        <v>45053</v>
      </c>
      <c r="D1682" s="2">
        <f>YEAR(Table1[[#This Row],[PurchaseDate]])</f>
        <v>2023</v>
      </c>
      <c r="E1682" s="2" t="str">
        <f>"Q"&amp;ROUNDUP(MONTH(Table1[[#This Row],[PurchaseDate]])/3,0)</f>
        <v>Q2</v>
      </c>
      <c r="F1682" s="2">
        <f>MONTH(Table1[[#This Row],[PurchaseDate]])</f>
        <v>5</v>
      </c>
      <c r="G1682" s="2" t="str">
        <f>TEXT(Table1[[#This Row],[PurchaseDate]],"MMM")</f>
        <v>May</v>
      </c>
      <c r="H1682">
        <v>3</v>
      </c>
      <c r="I1682">
        <v>405.99</v>
      </c>
      <c r="J1682" t="s">
        <v>3112</v>
      </c>
      <c r="K1682" t="s">
        <v>38</v>
      </c>
      <c r="L1682" t="s">
        <v>27</v>
      </c>
      <c r="M1682">
        <v>5</v>
      </c>
      <c r="N1682">
        <v>1217.97</v>
      </c>
    </row>
    <row r="1683" spans="1:14" x14ac:dyDescent="0.3">
      <c r="A1683" t="s">
        <v>3113</v>
      </c>
      <c r="B1683" t="s">
        <v>21</v>
      </c>
      <c r="C1683" s="1">
        <v>45023</v>
      </c>
      <c r="D1683" s="2">
        <f>YEAR(Table1[[#This Row],[PurchaseDate]])</f>
        <v>2023</v>
      </c>
      <c r="E1683" s="2" t="str">
        <f>"Q"&amp;ROUNDUP(MONTH(Table1[[#This Row],[PurchaseDate]])/3,0)</f>
        <v>Q2</v>
      </c>
      <c r="F1683" s="2">
        <f>MONTH(Table1[[#This Row],[PurchaseDate]])</f>
        <v>4</v>
      </c>
      <c r="G1683" s="2" t="str">
        <f>TEXT(Table1[[#This Row],[PurchaseDate]],"MMM")</f>
        <v>Apr</v>
      </c>
      <c r="H1683">
        <v>7</v>
      </c>
      <c r="I1683">
        <v>137.94</v>
      </c>
      <c r="J1683" t="s">
        <v>3114</v>
      </c>
      <c r="K1683" t="s">
        <v>13</v>
      </c>
      <c r="L1683" t="s">
        <v>27</v>
      </c>
      <c r="M1683">
        <v>5</v>
      </c>
      <c r="N1683">
        <v>965.58</v>
      </c>
    </row>
    <row r="1684" spans="1:14" x14ac:dyDescent="0.3">
      <c r="A1684" t="s">
        <v>3115</v>
      </c>
      <c r="B1684" t="s">
        <v>11</v>
      </c>
      <c r="C1684" s="1">
        <v>45146</v>
      </c>
      <c r="D1684" s="2">
        <f>YEAR(Table1[[#This Row],[PurchaseDate]])</f>
        <v>2023</v>
      </c>
      <c r="E1684" s="2" t="str">
        <f>"Q"&amp;ROUNDUP(MONTH(Table1[[#This Row],[PurchaseDate]])/3,0)</f>
        <v>Q3</v>
      </c>
      <c r="F1684" s="2">
        <f>MONTH(Table1[[#This Row],[PurchaseDate]])</f>
        <v>8</v>
      </c>
      <c r="G1684" s="2" t="str">
        <f>TEXT(Table1[[#This Row],[PurchaseDate]],"MMM")</f>
        <v>Aug</v>
      </c>
      <c r="H1684">
        <v>1</v>
      </c>
      <c r="I1684">
        <v>690.28</v>
      </c>
      <c r="J1684" t="s">
        <v>3116</v>
      </c>
      <c r="K1684" t="s">
        <v>18</v>
      </c>
      <c r="L1684" t="s">
        <v>14</v>
      </c>
      <c r="M1684">
        <v>4</v>
      </c>
      <c r="N1684">
        <v>690.28</v>
      </c>
    </row>
    <row r="1685" spans="1:14" x14ac:dyDescent="0.3">
      <c r="A1685" t="s">
        <v>2413</v>
      </c>
      <c r="B1685" t="s">
        <v>34</v>
      </c>
      <c r="C1685" s="1">
        <v>45166</v>
      </c>
      <c r="D1685" s="2">
        <f>YEAR(Table1[[#This Row],[PurchaseDate]])</f>
        <v>2023</v>
      </c>
      <c r="E1685" s="2" t="str">
        <f>"Q"&amp;ROUNDUP(MONTH(Table1[[#This Row],[PurchaseDate]])/3,0)</f>
        <v>Q3</v>
      </c>
      <c r="F1685" s="2">
        <f>MONTH(Table1[[#This Row],[PurchaseDate]])</f>
        <v>8</v>
      </c>
      <c r="G1685" s="2" t="str">
        <f>TEXT(Table1[[#This Row],[PurchaseDate]],"MMM")</f>
        <v>Aug</v>
      </c>
      <c r="H1685">
        <v>5</v>
      </c>
      <c r="I1685">
        <v>732.49</v>
      </c>
      <c r="J1685" t="s">
        <v>2414</v>
      </c>
      <c r="K1685" t="s">
        <v>13</v>
      </c>
      <c r="L1685" t="s">
        <v>27</v>
      </c>
      <c r="M1685">
        <v>2</v>
      </c>
      <c r="N1685">
        <v>3662.45</v>
      </c>
    </row>
    <row r="1686" spans="1:14" x14ac:dyDescent="0.3">
      <c r="A1686" t="s">
        <v>3117</v>
      </c>
      <c r="B1686" t="s">
        <v>16</v>
      </c>
      <c r="C1686" s="1">
        <v>45391</v>
      </c>
      <c r="D1686" s="2">
        <f>YEAR(Table1[[#This Row],[PurchaseDate]])</f>
        <v>2024</v>
      </c>
      <c r="E1686" s="2" t="str">
        <f>"Q"&amp;ROUNDUP(MONTH(Table1[[#This Row],[PurchaseDate]])/3,0)</f>
        <v>Q2</v>
      </c>
      <c r="F1686" s="2">
        <f>MONTH(Table1[[#This Row],[PurchaseDate]])</f>
        <v>4</v>
      </c>
      <c r="G1686" s="2" t="str">
        <f>TEXT(Table1[[#This Row],[PurchaseDate]],"MMM")</f>
        <v>Apr</v>
      </c>
      <c r="H1686">
        <v>5</v>
      </c>
      <c r="I1686">
        <v>670.44</v>
      </c>
      <c r="J1686" t="s">
        <v>3118</v>
      </c>
      <c r="K1686" t="s">
        <v>38</v>
      </c>
      <c r="L1686" t="s">
        <v>23</v>
      </c>
      <c r="M1686">
        <v>3</v>
      </c>
      <c r="N1686">
        <v>3352.2</v>
      </c>
    </row>
    <row r="1687" spans="1:14" x14ac:dyDescent="0.3">
      <c r="A1687" t="s">
        <v>3119</v>
      </c>
      <c r="B1687" t="s">
        <v>11</v>
      </c>
      <c r="C1687" s="1">
        <v>45760</v>
      </c>
      <c r="D1687" s="2">
        <f>YEAR(Table1[[#This Row],[PurchaseDate]])</f>
        <v>2025</v>
      </c>
      <c r="E1687" s="2" t="str">
        <f>"Q"&amp;ROUNDUP(MONTH(Table1[[#This Row],[PurchaseDate]])/3,0)</f>
        <v>Q2</v>
      </c>
      <c r="F1687" s="2">
        <f>MONTH(Table1[[#This Row],[PurchaseDate]])</f>
        <v>4</v>
      </c>
      <c r="G1687" s="2" t="str">
        <f>TEXT(Table1[[#This Row],[PurchaseDate]],"MMM")</f>
        <v>Apr</v>
      </c>
      <c r="H1687">
        <v>7</v>
      </c>
      <c r="I1687">
        <v>699.99</v>
      </c>
      <c r="J1687" t="s">
        <v>3120</v>
      </c>
      <c r="K1687" t="s">
        <v>38</v>
      </c>
      <c r="L1687" t="s">
        <v>23</v>
      </c>
      <c r="M1687">
        <v>4</v>
      </c>
      <c r="N1687">
        <v>4899.93</v>
      </c>
    </row>
    <row r="1688" spans="1:14" x14ac:dyDescent="0.3">
      <c r="A1688" t="s">
        <v>3121</v>
      </c>
      <c r="B1688" t="s">
        <v>21</v>
      </c>
      <c r="C1688" s="1">
        <v>45824</v>
      </c>
      <c r="D1688" s="2">
        <f>YEAR(Table1[[#This Row],[PurchaseDate]])</f>
        <v>2025</v>
      </c>
      <c r="E1688" s="2" t="str">
        <f>"Q"&amp;ROUNDUP(MONTH(Table1[[#This Row],[PurchaseDate]])/3,0)</f>
        <v>Q2</v>
      </c>
      <c r="F1688" s="2">
        <f>MONTH(Table1[[#This Row],[PurchaseDate]])</f>
        <v>6</v>
      </c>
      <c r="G1688" s="2" t="str">
        <f>TEXT(Table1[[#This Row],[PurchaseDate]],"MMM")</f>
        <v>Jun</v>
      </c>
      <c r="H1688">
        <v>2</v>
      </c>
      <c r="I1688">
        <v>680.09</v>
      </c>
      <c r="J1688" t="s">
        <v>3122</v>
      </c>
      <c r="K1688" t="s">
        <v>38</v>
      </c>
      <c r="L1688" t="s">
        <v>14</v>
      </c>
      <c r="M1688">
        <v>2</v>
      </c>
      <c r="N1688">
        <v>1360.18</v>
      </c>
    </row>
    <row r="1689" spans="1:14" x14ac:dyDescent="0.3">
      <c r="A1689" t="s">
        <v>3123</v>
      </c>
      <c r="B1689" t="s">
        <v>16</v>
      </c>
      <c r="C1689" s="1">
        <v>45009</v>
      </c>
      <c r="D1689" s="2">
        <f>YEAR(Table1[[#This Row],[PurchaseDate]])</f>
        <v>2023</v>
      </c>
      <c r="E1689" s="2" t="str">
        <f>"Q"&amp;ROUNDUP(MONTH(Table1[[#This Row],[PurchaseDate]])/3,0)</f>
        <v>Q1</v>
      </c>
      <c r="F1689" s="2">
        <f>MONTH(Table1[[#This Row],[PurchaseDate]])</f>
        <v>3</v>
      </c>
      <c r="G1689" s="2" t="str">
        <f>TEXT(Table1[[#This Row],[PurchaseDate]],"MMM")</f>
        <v>Mar</v>
      </c>
      <c r="H1689">
        <v>1</v>
      </c>
      <c r="I1689">
        <v>509.84</v>
      </c>
      <c r="J1689" t="s">
        <v>3124</v>
      </c>
      <c r="K1689" t="s">
        <v>18</v>
      </c>
      <c r="L1689" t="s">
        <v>58</v>
      </c>
      <c r="M1689">
        <v>1</v>
      </c>
      <c r="N1689">
        <v>509.84</v>
      </c>
    </row>
    <row r="1690" spans="1:14" x14ac:dyDescent="0.3">
      <c r="A1690" t="s">
        <v>3125</v>
      </c>
      <c r="B1690" t="s">
        <v>42</v>
      </c>
      <c r="C1690" s="1">
        <v>45519</v>
      </c>
      <c r="D1690" s="2">
        <f>YEAR(Table1[[#This Row],[PurchaseDate]])</f>
        <v>2024</v>
      </c>
      <c r="E1690" s="2" t="str">
        <f>"Q"&amp;ROUNDUP(MONTH(Table1[[#This Row],[PurchaseDate]])/3,0)</f>
        <v>Q3</v>
      </c>
      <c r="F1690" s="2">
        <f>MONTH(Table1[[#This Row],[PurchaseDate]])</f>
        <v>8</v>
      </c>
      <c r="G1690" s="2" t="str">
        <f>TEXT(Table1[[#This Row],[PurchaseDate]],"MMM")</f>
        <v>Aug</v>
      </c>
      <c r="H1690">
        <v>2</v>
      </c>
      <c r="I1690">
        <v>533.20000000000005</v>
      </c>
      <c r="J1690" t="s">
        <v>3126</v>
      </c>
      <c r="K1690" t="s">
        <v>18</v>
      </c>
      <c r="L1690" t="s">
        <v>14</v>
      </c>
      <c r="M1690">
        <v>2</v>
      </c>
      <c r="N1690">
        <v>1066.4000000000001</v>
      </c>
    </row>
    <row r="1691" spans="1:14" x14ac:dyDescent="0.3">
      <c r="A1691" t="s">
        <v>407</v>
      </c>
      <c r="B1691" t="s">
        <v>11</v>
      </c>
      <c r="C1691" s="1">
        <v>45530</v>
      </c>
      <c r="D1691" s="2">
        <f>YEAR(Table1[[#This Row],[PurchaseDate]])</f>
        <v>2024</v>
      </c>
      <c r="E1691" s="2" t="str">
        <f>"Q"&amp;ROUNDUP(MONTH(Table1[[#This Row],[PurchaseDate]])/3,0)</f>
        <v>Q3</v>
      </c>
      <c r="F1691" s="2">
        <f>MONTH(Table1[[#This Row],[PurchaseDate]])</f>
        <v>8</v>
      </c>
      <c r="G1691" s="2" t="str">
        <f>TEXT(Table1[[#This Row],[PurchaseDate]],"MMM")</f>
        <v>Aug</v>
      </c>
      <c r="H1691">
        <v>1</v>
      </c>
      <c r="I1691">
        <v>660.13</v>
      </c>
      <c r="J1691" t="s">
        <v>408</v>
      </c>
      <c r="K1691" t="s">
        <v>38</v>
      </c>
      <c r="L1691" t="s">
        <v>27</v>
      </c>
      <c r="M1691">
        <v>4</v>
      </c>
      <c r="N1691">
        <v>660.13</v>
      </c>
    </row>
    <row r="1692" spans="1:14" x14ac:dyDescent="0.3">
      <c r="A1692" t="s">
        <v>3127</v>
      </c>
      <c r="B1692" t="s">
        <v>11</v>
      </c>
      <c r="C1692" s="1">
        <v>45111</v>
      </c>
      <c r="D1692" s="2">
        <f>YEAR(Table1[[#This Row],[PurchaseDate]])</f>
        <v>2023</v>
      </c>
      <c r="E1692" s="2" t="str">
        <f>"Q"&amp;ROUNDUP(MONTH(Table1[[#This Row],[PurchaseDate]])/3,0)</f>
        <v>Q3</v>
      </c>
      <c r="F1692" s="2">
        <f>MONTH(Table1[[#This Row],[PurchaseDate]])</f>
        <v>7</v>
      </c>
      <c r="G1692" s="2" t="str">
        <f>TEXT(Table1[[#This Row],[PurchaseDate]],"MMM")</f>
        <v>Jul</v>
      </c>
      <c r="H1692">
        <v>5</v>
      </c>
      <c r="I1692">
        <v>416.36</v>
      </c>
      <c r="J1692" t="s">
        <v>3128</v>
      </c>
      <c r="K1692" t="s">
        <v>38</v>
      </c>
      <c r="L1692" t="s">
        <v>19</v>
      </c>
      <c r="M1692">
        <v>5</v>
      </c>
      <c r="N1692">
        <v>2081.8000000000002</v>
      </c>
    </row>
    <row r="1693" spans="1:14" x14ac:dyDescent="0.3">
      <c r="A1693" t="s">
        <v>773</v>
      </c>
      <c r="B1693" t="s">
        <v>11</v>
      </c>
      <c r="C1693" s="1">
        <v>45673</v>
      </c>
      <c r="D1693" s="2">
        <f>YEAR(Table1[[#This Row],[PurchaseDate]])</f>
        <v>2025</v>
      </c>
      <c r="E1693" s="2" t="str">
        <f>"Q"&amp;ROUNDUP(MONTH(Table1[[#This Row],[PurchaseDate]])/3,0)</f>
        <v>Q1</v>
      </c>
      <c r="F1693" s="2">
        <f>MONTH(Table1[[#This Row],[PurchaseDate]])</f>
        <v>1</v>
      </c>
      <c r="G1693" s="2" t="str">
        <f>TEXT(Table1[[#This Row],[PurchaseDate]],"MMM")</f>
        <v>Jan</v>
      </c>
      <c r="H1693">
        <v>5</v>
      </c>
      <c r="I1693">
        <v>29.75</v>
      </c>
      <c r="J1693" t="s">
        <v>774</v>
      </c>
      <c r="K1693" t="s">
        <v>18</v>
      </c>
      <c r="L1693" t="s">
        <v>14</v>
      </c>
      <c r="M1693">
        <v>4</v>
      </c>
      <c r="N1693">
        <v>148.75</v>
      </c>
    </row>
    <row r="1694" spans="1:14" x14ac:dyDescent="0.3">
      <c r="A1694" t="s">
        <v>3129</v>
      </c>
      <c r="B1694" t="s">
        <v>42</v>
      </c>
      <c r="C1694" s="1">
        <v>45632</v>
      </c>
      <c r="D1694" s="2">
        <f>YEAR(Table1[[#This Row],[PurchaseDate]])</f>
        <v>2024</v>
      </c>
      <c r="E1694" s="2" t="str">
        <f>"Q"&amp;ROUNDUP(MONTH(Table1[[#This Row],[PurchaseDate]])/3,0)</f>
        <v>Q4</v>
      </c>
      <c r="F1694" s="2">
        <f>MONTH(Table1[[#This Row],[PurchaseDate]])</f>
        <v>12</v>
      </c>
      <c r="G1694" s="2" t="str">
        <f>TEXT(Table1[[#This Row],[PurchaseDate]],"MMM")</f>
        <v>Dec</v>
      </c>
      <c r="H1694">
        <v>2</v>
      </c>
      <c r="I1694">
        <v>179.16</v>
      </c>
      <c r="J1694" t="s">
        <v>3130</v>
      </c>
      <c r="K1694" t="s">
        <v>38</v>
      </c>
      <c r="L1694" t="s">
        <v>27</v>
      </c>
      <c r="M1694">
        <v>3</v>
      </c>
      <c r="N1694">
        <v>358.32</v>
      </c>
    </row>
    <row r="1695" spans="1:14" x14ac:dyDescent="0.3">
      <c r="A1695" t="s">
        <v>3131</v>
      </c>
      <c r="B1695" t="s">
        <v>21</v>
      </c>
      <c r="C1695" s="1">
        <v>45317</v>
      </c>
      <c r="D1695" s="2">
        <f>YEAR(Table1[[#This Row],[PurchaseDate]])</f>
        <v>2024</v>
      </c>
      <c r="E1695" s="2" t="str">
        <f>"Q"&amp;ROUNDUP(MONTH(Table1[[#This Row],[PurchaseDate]])/3,0)</f>
        <v>Q1</v>
      </c>
      <c r="F1695" s="2">
        <f>MONTH(Table1[[#This Row],[PurchaseDate]])</f>
        <v>1</v>
      </c>
      <c r="G1695" s="2" t="str">
        <f>TEXT(Table1[[#This Row],[PurchaseDate]],"MMM")</f>
        <v>Jan</v>
      </c>
      <c r="H1695">
        <v>2</v>
      </c>
      <c r="I1695">
        <v>717.61</v>
      </c>
      <c r="J1695" t="s">
        <v>3132</v>
      </c>
      <c r="K1695" t="s">
        <v>38</v>
      </c>
      <c r="L1695" t="s">
        <v>19</v>
      </c>
      <c r="M1695">
        <v>2</v>
      </c>
      <c r="N1695">
        <v>1435.22</v>
      </c>
    </row>
    <row r="1696" spans="1:14" x14ac:dyDescent="0.3">
      <c r="A1696" t="s">
        <v>3133</v>
      </c>
      <c r="B1696" t="s">
        <v>42</v>
      </c>
      <c r="C1696" s="1">
        <v>45520</v>
      </c>
      <c r="D1696" s="2">
        <f>YEAR(Table1[[#This Row],[PurchaseDate]])</f>
        <v>2024</v>
      </c>
      <c r="E1696" s="2" t="str">
        <f>"Q"&amp;ROUNDUP(MONTH(Table1[[#This Row],[PurchaseDate]])/3,0)</f>
        <v>Q3</v>
      </c>
      <c r="F1696" s="2">
        <f>MONTH(Table1[[#This Row],[PurchaseDate]])</f>
        <v>8</v>
      </c>
      <c r="G1696" s="2" t="str">
        <f>TEXT(Table1[[#This Row],[PurchaseDate]],"MMM")</f>
        <v>Aug</v>
      </c>
      <c r="H1696">
        <v>6</v>
      </c>
      <c r="I1696">
        <v>360.74</v>
      </c>
      <c r="J1696" t="s">
        <v>3134</v>
      </c>
      <c r="K1696" t="s">
        <v>13</v>
      </c>
      <c r="L1696" t="s">
        <v>58</v>
      </c>
      <c r="M1696">
        <v>4</v>
      </c>
      <c r="N1696">
        <v>2164.44</v>
      </c>
    </row>
    <row r="1697" spans="1:14" x14ac:dyDescent="0.3">
      <c r="A1697" t="s">
        <v>3135</v>
      </c>
      <c r="B1697" t="s">
        <v>16</v>
      </c>
      <c r="C1697" s="1">
        <v>45216</v>
      </c>
      <c r="D1697" s="2">
        <f>YEAR(Table1[[#This Row],[PurchaseDate]])</f>
        <v>2023</v>
      </c>
      <c r="E1697" s="2" t="str">
        <f>"Q"&amp;ROUNDUP(MONTH(Table1[[#This Row],[PurchaseDate]])/3,0)</f>
        <v>Q4</v>
      </c>
      <c r="F1697" s="2">
        <f>MONTH(Table1[[#This Row],[PurchaseDate]])</f>
        <v>10</v>
      </c>
      <c r="G1697" s="2" t="str">
        <f>TEXT(Table1[[#This Row],[PurchaseDate]],"MMM")</f>
        <v>Oct</v>
      </c>
      <c r="H1697">
        <v>4</v>
      </c>
      <c r="I1697">
        <v>234.79</v>
      </c>
      <c r="J1697" t="s">
        <v>3136</v>
      </c>
      <c r="K1697" t="s">
        <v>13</v>
      </c>
      <c r="L1697" t="s">
        <v>14</v>
      </c>
      <c r="M1697">
        <v>1</v>
      </c>
      <c r="N1697">
        <v>939.16</v>
      </c>
    </row>
    <row r="1698" spans="1:14" x14ac:dyDescent="0.3">
      <c r="A1698" t="s">
        <v>3137</v>
      </c>
      <c r="B1698" t="s">
        <v>42</v>
      </c>
      <c r="C1698" s="1">
        <v>45082</v>
      </c>
      <c r="D1698" s="2">
        <f>YEAR(Table1[[#This Row],[PurchaseDate]])</f>
        <v>2023</v>
      </c>
      <c r="E1698" s="2" t="str">
        <f>"Q"&amp;ROUNDUP(MONTH(Table1[[#This Row],[PurchaseDate]])/3,0)</f>
        <v>Q2</v>
      </c>
      <c r="F1698" s="2">
        <f>MONTH(Table1[[#This Row],[PurchaseDate]])</f>
        <v>6</v>
      </c>
      <c r="G1698" s="2" t="str">
        <f>TEXT(Table1[[#This Row],[PurchaseDate]],"MMM")</f>
        <v>Jun</v>
      </c>
      <c r="H1698">
        <v>4</v>
      </c>
      <c r="I1698">
        <v>595.29</v>
      </c>
      <c r="J1698" t="s">
        <v>3138</v>
      </c>
      <c r="K1698" t="s">
        <v>18</v>
      </c>
      <c r="L1698" t="s">
        <v>23</v>
      </c>
      <c r="M1698">
        <v>4</v>
      </c>
      <c r="N1698">
        <v>2381.16</v>
      </c>
    </row>
    <row r="1699" spans="1:14" x14ac:dyDescent="0.3">
      <c r="A1699" t="s">
        <v>3139</v>
      </c>
      <c r="B1699" t="s">
        <v>21</v>
      </c>
      <c r="C1699" s="1">
        <v>45018</v>
      </c>
      <c r="D1699" s="2">
        <f>YEAR(Table1[[#This Row],[PurchaseDate]])</f>
        <v>2023</v>
      </c>
      <c r="E1699" s="2" t="str">
        <f>"Q"&amp;ROUNDUP(MONTH(Table1[[#This Row],[PurchaseDate]])/3,0)</f>
        <v>Q2</v>
      </c>
      <c r="F1699" s="2">
        <f>MONTH(Table1[[#This Row],[PurchaseDate]])</f>
        <v>4</v>
      </c>
      <c r="G1699" s="2" t="str">
        <f>TEXT(Table1[[#This Row],[PurchaseDate]],"MMM")</f>
        <v>Apr</v>
      </c>
      <c r="H1699">
        <v>6</v>
      </c>
      <c r="I1699">
        <v>54.35</v>
      </c>
      <c r="J1699" t="s">
        <v>3140</v>
      </c>
      <c r="K1699" t="s">
        <v>13</v>
      </c>
      <c r="L1699" t="s">
        <v>27</v>
      </c>
      <c r="M1699">
        <v>3</v>
      </c>
      <c r="N1699">
        <v>326.10000000000002</v>
      </c>
    </row>
    <row r="1700" spans="1:14" x14ac:dyDescent="0.3">
      <c r="A1700" t="s">
        <v>3141</v>
      </c>
      <c r="B1700" t="s">
        <v>42</v>
      </c>
      <c r="C1700" s="1">
        <v>45836</v>
      </c>
      <c r="D1700" s="2">
        <f>YEAR(Table1[[#This Row],[PurchaseDate]])</f>
        <v>2025</v>
      </c>
      <c r="E1700" s="2" t="str">
        <f>"Q"&amp;ROUNDUP(MONTH(Table1[[#This Row],[PurchaseDate]])/3,0)</f>
        <v>Q2</v>
      </c>
      <c r="F1700" s="2">
        <f>MONTH(Table1[[#This Row],[PurchaseDate]])</f>
        <v>6</v>
      </c>
      <c r="G1700" s="2" t="str">
        <f>TEXT(Table1[[#This Row],[PurchaseDate]],"MMM")</f>
        <v>Jun</v>
      </c>
      <c r="H1700">
        <v>6</v>
      </c>
      <c r="I1700">
        <v>438.12</v>
      </c>
      <c r="J1700" t="s">
        <v>3142</v>
      </c>
      <c r="K1700" t="s">
        <v>18</v>
      </c>
      <c r="L1700" t="s">
        <v>58</v>
      </c>
      <c r="M1700">
        <v>4</v>
      </c>
      <c r="N1700">
        <v>2628.72</v>
      </c>
    </row>
    <row r="1701" spans="1:14" x14ac:dyDescent="0.3">
      <c r="A1701" t="s">
        <v>3143</v>
      </c>
      <c r="B1701" t="s">
        <v>21</v>
      </c>
      <c r="C1701" s="1">
        <v>45110</v>
      </c>
      <c r="D1701" s="2">
        <f>YEAR(Table1[[#This Row],[PurchaseDate]])</f>
        <v>2023</v>
      </c>
      <c r="E1701" s="2" t="str">
        <f>"Q"&amp;ROUNDUP(MONTH(Table1[[#This Row],[PurchaseDate]])/3,0)</f>
        <v>Q3</v>
      </c>
      <c r="F1701" s="2">
        <f>MONTH(Table1[[#This Row],[PurchaseDate]])</f>
        <v>7</v>
      </c>
      <c r="G1701" s="2" t="str">
        <f>TEXT(Table1[[#This Row],[PurchaseDate]],"MMM")</f>
        <v>Jul</v>
      </c>
      <c r="H1701">
        <v>8</v>
      </c>
      <c r="I1701">
        <v>298.3</v>
      </c>
      <c r="J1701" t="s">
        <v>3144</v>
      </c>
      <c r="K1701" t="s">
        <v>13</v>
      </c>
      <c r="L1701" t="s">
        <v>19</v>
      </c>
      <c r="M1701">
        <v>2</v>
      </c>
      <c r="N1701">
        <v>2386.4</v>
      </c>
    </row>
    <row r="1702" spans="1:14" x14ac:dyDescent="0.3">
      <c r="A1702" t="s">
        <v>3145</v>
      </c>
      <c r="B1702" t="s">
        <v>34</v>
      </c>
      <c r="C1702" s="1">
        <v>45640</v>
      </c>
      <c r="D1702" s="2">
        <f>YEAR(Table1[[#This Row],[PurchaseDate]])</f>
        <v>2024</v>
      </c>
      <c r="E1702" s="2" t="str">
        <f>"Q"&amp;ROUNDUP(MONTH(Table1[[#This Row],[PurchaseDate]])/3,0)</f>
        <v>Q4</v>
      </c>
      <c r="F1702" s="2">
        <f>MONTH(Table1[[#This Row],[PurchaseDate]])</f>
        <v>12</v>
      </c>
      <c r="G1702" s="2" t="str">
        <f>TEXT(Table1[[#This Row],[PurchaseDate]],"MMM")</f>
        <v>Dec</v>
      </c>
      <c r="H1702">
        <v>8</v>
      </c>
      <c r="I1702">
        <v>407.56</v>
      </c>
      <c r="J1702" t="s">
        <v>3146</v>
      </c>
      <c r="K1702" t="s">
        <v>18</v>
      </c>
      <c r="L1702" t="s">
        <v>23</v>
      </c>
      <c r="M1702">
        <v>3</v>
      </c>
      <c r="N1702">
        <v>3260.48</v>
      </c>
    </row>
    <row r="1703" spans="1:14" x14ac:dyDescent="0.3">
      <c r="A1703" t="s">
        <v>3147</v>
      </c>
      <c r="B1703" t="s">
        <v>11</v>
      </c>
      <c r="C1703" s="1">
        <v>45362</v>
      </c>
      <c r="D1703" s="2">
        <f>YEAR(Table1[[#This Row],[PurchaseDate]])</f>
        <v>2024</v>
      </c>
      <c r="E1703" s="2" t="str">
        <f>"Q"&amp;ROUNDUP(MONTH(Table1[[#This Row],[PurchaseDate]])/3,0)</f>
        <v>Q1</v>
      </c>
      <c r="F1703" s="2">
        <f>MONTH(Table1[[#This Row],[PurchaseDate]])</f>
        <v>3</v>
      </c>
      <c r="G1703" s="2" t="str">
        <f>TEXT(Table1[[#This Row],[PurchaseDate]],"MMM")</f>
        <v>Mar</v>
      </c>
      <c r="H1703">
        <v>4</v>
      </c>
      <c r="I1703">
        <v>585.67999999999995</v>
      </c>
      <c r="J1703" t="s">
        <v>3148</v>
      </c>
      <c r="K1703" t="s">
        <v>18</v>
      </c>
      <c r="L1703" t="s">
        <v>27</v>
      </c>
      <c r="M1703">
        <v>2</v>
      </c>
      <c r="N1703">
        <v>2342.7199999999998</v>
      </c>
    </row>
    <row r="1704" spans="1:14" x14ac:dyDescent="0.3">
      <c r="A1704" t="s">
        <v>3149</v>
      </c>
      <c r="B1704" t="s">
        <v>42</v>
      </c>
      <c r="C1704" s="1">
        <v>45588</v>
      </c>
      <c r="D1704" s="2">
        <f>YEAR(Table1[[#This Row],[PurchaseDate]])</f>
        <v>2024</v>
      </c>
      <c r="E1704" s="2" t="str">
        <f>"Q"&amp;ROUNDUP(MONTH(Table1[[#This Row],[PurchaseDate]])/3,0)</f>
        <v>Q4</v>
      </c>
      <c r="F1704" s="2">
        <f>MONTH(Table1[[#This Row],[PurchaseDate]])</f>
        <v>10</v>
      </c>
      <c r="G1704" s="2" t="str">
        <f>TEXT(Table1[[#This Row],[PurchaseDate]],"MMM")</f>
        <v>Oct</v>
      </c>
      <c r="H1704">
        <v>3</v>
      </c>
      <c r="I1704">
        <v>503.12</v>
      </c>
      <c r="J1704" t="s">
        <v>3150</v>
      </c>
      <c r="K1704" t="s">
        <v>38</v>
      </c>
      <c r="L1704" t="s">
        <v>23</v>
      </c>
      <c r="M1704">
        <v>3</v>
      </c>
      <c r="N1704">
        <v>1509.36</v>
      </c>
    </row>
    <row r="1705" spans="1:14" x14ac:dyDescent="0.3">
      <c r="A1705" t="s">
        <v>3151</v>
      </c>
      <c r="B1705" t="s">
        <v>21</v>
      </c>
      <c r="C1705" s="1">
        <v>45420</v>
      </c>
      <c r="D1705" s="2">
        <f>YEAR(Table1[[#This Row],[PurchaseDate]])</f>
        <v>2024</v>
      </c>
      <c r="E1705" s="2" t="str">
        <f>"Q"&amp;ROUNDUP(MONTH(Table1[[#This Row],[PurchaseDate]])/3,0)</f>
        <v>Q2</v>
      </c>
      <c r="F1705" s="2">
        <f>MONTH(Table1[[#This Row],[PurchaseDate]])</f>
        <v>5</v>
      </c>
      <c r="G1705" s="2" t="str">
        <f>TEXT(Table1[[#This Row],[PurchaseDate]],"MMM")</f>
        <v>May</v>
      </c>
      <c r="H1705">
        <v>4</v>
      </c>
      <c r="I1705">
        <v>69.17</v>
      </c>
      <c r="J1705" t="s">
        <v>3152</v>
      </c>
      <c r="K1705" t="s">
        <v>38</v>
      </c>
      <c r="L1705" t="s">
        <v>58</v>
      </c>
      <c r="M1705">
        <v>4</v>
      </c>
      <c r="N1705">
        <v>276.68</v>
      </c>
    </row>
    <row r="1706" spans="1:14" x14ac:dyDescent="0.3">
      <c r="A1706" t="s">
        <v>3153</v>
      </c>
      <c r="B1706" t="s">
        <v>29</v>
      </c>
      <c r="C1706" s="1">
        <v>45564</v>
      </c>
      <c r="D1706" s="2">
        <f>YEAR(Table1[[#This Row],[PurchaseDate]])</f>
        <v>2024</v>
      </c>
      <c r="E1706" s="2" t="str">
        <f>"Q"&amp;ROUNDUP(MONTH(Table1[[#This Row],[PurchaseDate]])/3,0)</f>
        <v>Q3</v>
      </c>
      <c r="F1706" s="2">
        <f>MONTH(Table1[[#This Row],[PurchaseDate]])</f>
        <v>9</v>
      </c>
      <c r="G1706" s="2" t="str">
        <f>TEXT(Table1[[#This Row],[PurchaseDate]],"MMM")</f>
        <v>Sep</v>
      </c>
      <c r="H1706">
        <v>8</v>
      </c>
      <c r="I1706">
        <v>588.84</v>
      </c>
      <c r="J1706" t="s">
        <v>3154</v>
      </c>
      <c r="K1706" t="s">
        <v>38</v>
      </c>
      <c r="L1706" t="s">
        <v>23</v>
      </c>
      <c r="M1706">
        <v>3</v>
      </c>
      <c r="N1706">
        <v>4710.72</v>
      </c>
    </row>
    <row r="1707" spans="1:14" x14ac:dyDescent="0.3">
      <c r="A1707" t="s">
        <v>3155</v>
      </c>
      <c r="B1707" t="s">
        <v>42</v>
      </c>
      <c r="C1707" s="1">
        <v>44942</v>
      </c>
      <c r="D1707" s="2">
        <f>YEAR(Table1[[#This Row],[PurchaseDate]])</f>
        <v>2023</v>
      </c>
      <c r="E1707" s="2" t="str">
        <f>"Q"&amp;ROUNDUP(MONTH(Table1[[#This Row],[PurchaseDate]])/3,0)</f>
        <v>Q1</v>
      </c>
      <c r="F1707" s="2">
        <f>MONTH(Table1[[#This Row],[PurchaseDate]])</f>
        <v>1</v>
      </c>
      <c r="G1707" s="2" t="str">
        <f>TEXT(Table1[[#This Row],[PurchaseDate]],"MMM")</f>
        <v>Jan</v>
      </c>
      <c r="H1707">
        <v>8</v>
      </c>
      <c r="I1707">
        <v>343.72</v>
      </c>
      <c r="J1707" t="s">
        <v>3156</v>
      </c>
      <c r="K1707" t="s">
        <v>18</v>
      </c>
      <c r="L1707" t="s">
        <v>27</v>
      </c>
      <c r="M1707">
        <v>5</v>
      </c>
      <c r="N1707">
        <v>2749.76</v>
      </c>
    </row>
    <row r="1708" spans="1:14" x14ac:dyDescent="0.3">
      <c r="A1708" t="s">
        <v>3157</v>
      </c>
      <c r="B1708" t="s">
        <v>34</v>
      </c>
      <c r="C1708" s="1">
        <v>45236</v>
      </c>
      <c r="D1708" s="2">
        <f>YEAR(Table1[[#This Row],[PurchaseDate]])</f>
        <v>2023</v>
      </c>
      <c r="E1708" s="2" t="str">
        <f>"Q"&amp;ROUNDUP(MONTH(Table1[[#This Row],[PurchaseDate]])/3,0)</f>
        <v>Q4</v>
      </c>
      <c r="F1708" s="2">
        <f>MONTH(Table1[[#This Row],[PurchaseDate]])</f>
        <v>11</v>
      </c>
      <c r="G1708" s="2" t="str">
        <f>TEXT(Table1[[#This Row],[PurchaseDate]],"MMM")</f>
        <v>Nov</v>
      </c>
      <c r="H1708">
        <v>8</v>
      </c>
      <c r="I1708">
        <v>619.45000000000005</v>
      </c>
      <c r="J1708" t="s">
        <v>3158</v>
      </c>
      <c r="K1708" t="s">
        <v>38</v>
      </c>
      <c r="L1708" t="s">
        <v>23</v>
      </c>
      <c r="M1708">
        <v>4</v>
      </c>
      <c r="N1708">
        <v>4955.6000000000004</v>
      </c>
    </row>
    <row r="1709" spans="1:14" x14ac:dyDescent="0.3">
      <c r="A1709" t="s">
        <v>3159</v>
      </c>
      <c r="B1709" t="s">
        <v>34</v>
      </c>
      <c r="C1709" s="1">
        <v>45499</v>
      </c>
      <c r="D1709" s="2">
        <f>YEAR(Table1[[#This Row],[PurchaseDate]])</f>
        <v>2024</v>
      </c>
      <c r="E1709" s="2" t="str">
        <f>"Q"&amp;ROUNDUP(MONTH(Table1[[#This Row],[PurchaseDate]])/3,0)</f>
        <v>Q3</v>
      </c>
      <c r="F1709" s="2">
        <f>MONTH(Table1[[#This Row],[PurchaseDate]])</f>
        <v>7</v>
      </c>
      <c r="G1709" s="2" t="str">
        <f>TEXT(Table1[[#This Row],[PurchaseDate]],"MMM")</f>
        <v>Jul</v>
      </c>
      <c r="H1709">
        <v>6</v>
      </c>
      <c r="I1709">
        <v>244.4</v>
      </c>
      <c r="J1709" t="s">
        <v>3160</v>
      </c>
      <c r="K1709" t="s">
        <v>18</v>
      </c>
      <c r="L1709" t="s">
        <v>19</v>
      </c>
      <c r="M1709">
        <v>2</v>
      </c>
      <c r="N1709">
        <v>1466.4</v>
      </c>
    </row>
    <row r="1710" spans="1:14" x14ac:dyDescent="0.3">
      <c r="A1710" t="s">
        <v>3161</v>
      </c>
      <c r="B1710" t="s">
        <v>34</v>
      </c>
      <c r="C1710" s="1">
        <v>45200</v>
      </c>
      <c r="D1710" s="2">
        <f>YEAR(Table1[[#This Row],[PurchaseDate]])</f>
        <v>2023</v>
      </c>
      <c r="E1710" s="2" t="str">
        <f>"Q"&amp;ROUNDUP(MONTH(Table1[[#This Row],[PurchaseDate]])/3,0)</f>
        <v>Q4</v>
      </c>
      <c r="F1710" s="2">
        <f>MONTH(Table1[[#This Row],[PurchaseDate]])</f>
        <v>10</v>
      </c>
      <c r="G1710" s="2" t="str">
        <f>TEXT(Table1[[#This Row],[PurchaseDate]],"MMM")</f>
        <v>Oct</v>
      </c>
      <c r="H1710">
        <v>6</v>
      </c>
      <c r="I1710">
        <v>229.64</v>
      </c>
      <c r="J1710" t="s">
        <v>3162</v>
      </c>
      <c r="K1710" t="s">
        <v>38</v>
      </c>
      <c r="L1710" t="s">
        <v>14</v>
      </c>
      <c r="M1710">
        <v>3</v>
      </c>
      <c r="N1710">
        <v>1377.84</v>
      </c>
    </row>
    <row r="1711" spans="1:14" x14ac:dyDescent="0.3">
      <c r="A1711" t="s">
        <v>3163</v>
      </c>
      <c r="B1711" t="s">
        <v>34</v>
      </c>
      <c r="C1711" s="1">
        <v>45561</v>
      </c>
      <c r="D1711" s="2">
        <f>YEAR(Table1[[#This Row],[PurchaseDate]])</f>
        <v>2024</v>
      </c>
      <c r="E1711" s="2" t="str">
        <f>"Q"&amp;ROUNDUP(MONTH(Table1[[#This Row],[PurchaseDate]])/3,0)</f>
        <v>Q3</v>
      </c>
      <c r="F1711" s="2">
        <f>MONTH(Table1[[#This Row],[PurchaseDate]])</f>
        <v>9</v>
      </c>
      <c r="G1711" s="2" t="str">
        <f>TEXT(Table1[[#This Row],[PurchaseDate]],"MMM")</f>
        <v>Sep</v>
      </c>
      <c r="H1711">
        <v>4</v>
      </c>
      <c r="I1711">
        <v>733.97</v>
      </c>
      <c r="J1711" t="s">
        <v>3164</v>
      </c>
      <c r="K1711" t="s">
        <v>13</v>
      </c>
      <c r="L1711" t="s">
        <v>14</v>
      </c>
      <c r="M1711">
        <v>5</v>
      </c>
      <c r="N1711">
        <v>2935.88</v>
      </c>
    </row>
    <row r="1712" spans="1:14" x14ac:dyDescent="0.3">
      <c r="A1712" t="s">
        <v>3165</v>
      </c>
      <c r="B1712" t="s">
        <v>42</v>
      </c>
      <c r="C1712" s="1">
        <v>45485</v>
      </c>
      <c r="D1712" s="2">
        <f>YEAR(Table1[[#This Row],[PurchaseDate]])</f>
        <v>2024</v>
      </c>
      <c r="E1712" s="2" t="str">
        <f>"Q"&amp;ROUNDUP(MONTH(Table1[[#This Row],[PurchaseDate]])/3,0)</f>
        <v>Q3</v>
      </c>
      <c r="F1712" s="2">
        <f>MONTH(Table1[[#This Row],[PurchaseDate]])</f>
        <v>7</v>
      </c>
      <c r="G1712" s="2" t="str">
        <f>TEXT(Table1[[#This Row],[PurchaseDate]],"MMM")</f>
        <v>Jul</v>
      </c>
      <c r="H1712">
        <v>3</v>
      </c>
      <c r="I1712">
        <v>539.65</v>
      </c>
      <c r="J1712" t="s">
        <v>3166</v>
      </c>
      <c r="K1712" t="s">
        <v>38</v>
      </c>
      <c r="L1712" t="s">
        <v>58</v>
      </c>
      <c r="M1712">
        <v>2</v>
      </c>
      <c r="N1712">
        <v>1618.95</v>
      </c>
    </row>
    <row r="1713" spans="1:14" x14ac:dyDescent="0.3">
      <c r="A1713" t="s">
        <v>3167</v>
      </c>
      <c r="B1713" t="s">
        <v>25</v>
      </c>
      <c r="C1713" s="1">
        <v>44981</v>
      </c>
      <c r="D1713" s="2">
        <f>YEAR(Table1[[#This Row],[PurchaseDate]])</f>
        <v>2023</v>
      </c>
      <c r="E1713" s="2" t="str">
        <f>"Q"&amp;ROUNDUP(MONTH(Table1[[#This Row],[PurchaseDate]])/3,0)</f>
        <v>Q1</v>
      </c>
      <c r="F1713" s="2">
        <f>MONTH(Table1[[#This Row],[PurchaseDate]])</f>
        <v>2</v>
      </c>
      <c r="G1713" s="2" t="str">
        <f>TEXT(Table1[[#This Row],[PurchaseDate]],"MMM")</f>
        <v>Feb</v>
      </c>
      <c r="H1713">
        <v>5</v>
      </c>
      <c r="I1713">
        <v>112</v>
      </c>
      <c r="J1713" t="s">
        <v>3168</v>
      </c>
      <c r="K1713" t="s">
        <v>13</v>
      </c>
      <c r="L1713" t="s">
        <v>19</v>
      </c>
      <c r="M1713">
        <v>1</v>
      </c>
      <c r="N1713">
        <v>560</v>
      </c>
    </row>
    <row r="1714" spans="1:14" x14ac:dyDescent="0.3">
      <c r="A1714" t="s">
        <v>3169</v>
      </c>
      <c r="B1714" t="s">
        <v>42</v>
      </c>
      <c r="C1714" s="1">
        <v>44947</v>
      </c>
      <c r="D1714" s="2">
        <f>YEAR(Table1[[#This Row],[PurchaseDate]])</f>
        <v>2023</v>
      </c>
      <c r="E1714" s="2" t="str">
        <f>"Q"&amp;ROUNDUP(MONTH(Table1[[#This Row],[PurchaseDate]])/3,0)</f>
        <v>Q1</v>
      </c>
      <c r="F1714" s="2">
        <f>MONTH(Table1[[#This Row],[PurchaseDate]])</f>
        <v>1</v>
      </c>
      <c r="G1714" s="2" t="str">
        <f>TEXT(Table1[[#This Row],[PurchaseDate]],"MMM")</f>
        <v>Jan</v>
      </c>
      <c r="H1714">
        <v>8</v>
      </c>
      <c r="I1714">
        <v>564.16</v>
      </c>
      <c r="J1714" t="s">
        <v>3170</v>
      </c>
      <c r="K1714" t="s">
        <v>38</v>
      </c>
      <c r="L1714" t="s">
        <v>58</v>
      </c>
      <c r="M1714">
        <v>1</v>
      </c>
      <c r="N1714">
        <v>4513.28</v>
      </c>
    </row>
    <row r="1715" spans="1:14" x14ac:dyDescent="0.3">
      <c r="A1715" t="s">
        <v>3171</v>
      </c>
      <c r="B1715" t="s">
        <v>16</v>
      </c>
      <c r="C1715" s="1">
        <v>45337</v>
      </c>
      <c r="D1715" s="2">
        <f>YEAR(Table1[[#This Row],[PurchaseDate]])</f>
        <v>2024</v>
      </c>
      <c r="E1715" s="2" t="str">
        <f>"Q"&amp;ROUNDUP(MONTH(Table1[[#This Row],[PurchaseDate]])/3,0)</f>
        <v>Q1</v>
      </c>
      <c r="F1715" s="2">
        <f>MONTH(Table1[[#This Row],[PurchaseDate]])</f>
        <v>2</v>
      </c>
      <c r="G1715" s="2" t="str">
        <f>TEXT(Table1[[#This Row],[PurchaseDate]],"MMM")</f>
        <v>Feb</v>
      </c>
      <c r="H1715">
        <v>1</v>
      </c>
      <c r="I1715">
        <v>387.28</v>
      </c>
      <c r="J1715" t="s">
        <v>3172</v>
      </c>
      <c r="K1715" t="s">
        <v>18</v>
      </c>
      <c r="L1715" t="s">
        <v>27</v>
      </c>
      <c r="M1715">
        <v>5</v>
      </c>
      <c r="N1715">
        <v>387.28</v>
      </c>
    </row>
    <row r="1716" spans="1:14" x14ac:dyDescent="0.3">
      <c r="A1716" t="s">
        <v>3173</v>
      </c>
      <c r="B1716" t="s">
        <v>16</v>
      </c>
      <c r="C1716" s="1">
        <v>45416</v>
      </c>
      <c r="D1716" s="2">
        <f>YEAR(Table1[[#This Row],[PurchaseDate]])</f>
        <v>2024</v>
      </c>
      <c r="E1716" s="2" t="str">
        <f>"Q"&amp;ROUNDUP(MONTH(Table1[[#This Row],[PurchaseDate]])/3,0)</f>
        <v>Q2</v>
      </c>
      <c r="F1716" s="2">
        <f>MONTH(Table1[[#This Row],[PurchaseDate]])</f>
        <v>5</v>
      </c>
      <c r="G1716" s="2" t="str">
        <f>TEXT(Table1[[#This Row],[PurchaseDate]],"MMM")</f>
        <v>May</v>
      </c>
      <c r="H1716">
        <v>3</v>
      </c>
      <c r="I1716">
        <v>503.73</v>
      </c>
      <c r="J1716" t="s">
        <v>3174</v>
      </c>
      <c r="K1716" t="s">
        <v>38</v>
      </c>
      <c r="L1716" t="s">
        <v>19</v>
      </c>
      <c r="M1716">
        <v>2</v>
      </c>
      <c r="N1716">
        <v>1511.19</v>
      </c>
    </row>
    <row r="1717" spans="1:14" x14ac:dyDescent="0.3">
      <c r="A1717" t="s">
        <v>3175</v>
      </c>
      <c r="B1717" t="s">
        <v>42</v>
      </c>
      <c r="C1717" s="1">
        <v>44997</v>
      </c>
      <c r="D1717" s="2">
        <f>YEAR(Table1[[#This Row],[PurchaseDate]])</f>
        <v>2023</v>
      </c>
      <c r="E1717" s="2" t="str">
        <f>"Q"&amp;ROUNDUP(MONTH(Table1[[#This Row],[PurchaseDate]])/3,0)</f>
        <v>Q1</v>
      </c>
      <c r="F1717" s="2">
        <f>MONTH(Table1[[#This Row],[PurchaseDate]])</f>
        <v>3</v>
      </c>
      <c r="G1717" s="2" t="str">
        <f>TEXT(Table1[[#This Row],[PurchaseDate]],"MMM")</f>
        <v>Mar</v>
      </c>
      <c r="H1717">
        <v>6</v>
      </c>
      <c r="I1717">
        <v>100.99</v>
      </c>
      <c r="J1717" t="s">
        <v>3176</v>
      </c>
      <c r="K1717" t="s">
        <v>13</v>
      </c>
      <c r="L1717" t="s">
        <v>27</v>
      </c>
      <c r="M1717">
        <v>5</v>
      </c>
      <c r="N1717">
        <v>605.94000000000005</v>
      </c>
    </row>
    <row r="1718" spans="1:14" x14ac:dyDescent="0.3">
      <c r="A1718" t="s">
        <v>3177</v>
      </c>
      <c r="B1718" t="s">
        <v>29</v>
      </c>
      <c r="C1718" s="1">
        <v>45539</v>
      </c>
      <c r="D1718" s="2">
        <f>YEAR(Table1[[#This Row],[PurchaseDate]])</f>
        <v>2024</v>
      </c>
      <c r="E1718" s="2" t="str">
        <f>"Q"&amp;ROUNDUP(MONTH(Table1[[#This Row],[PurchaseDate]])/3,0)</f>
        <v>Q3</v>
      </c>
      <c r="F1718" s="2">
        <f>MONTH(Table1[[#This Row],[PurchaseDate]])</f>
        <v>9</v>
      </c>
      <c r="G1718" s="2" t="str">
        <f>TEXT(Table1[[#This Row],[PurchaseDate]],"MMM")</f>
        <v>Sep</v>
      </c>
      <c r="H1718">
        <v>1</v>
      </c>
      <c r="I1718">
        <v>308.02</v>
      </c>
      <c r="J1718" t="s">
        <v>3178</v>
      </c>
      <c r="K1718" t="s">
        <v>13</v>
      </c>
      <c r="L1718" t="s">
        <v>23</v>
      </c>
      <c r="M1718">
        <v>1</v>
      </c>
      <c r="N1718">
        <v>308.02</v>
      </c>
    </row>
    <row r="1719" spans="1:14" x14ac:dyDescent="0.3">
      <c r="A1719" t="s">
        <v>3179</v>
      </c>
      <c r="B1719" t="s">
        <v>29</v>
      </c>
      <c r="C1719" s="1">
        <v>45260</v>
      </c>
      <c r="D1719" s="2">
        <f>YEAR(Table1[[#This Row],[PurchaseDate]])</f>
        <v>2023</v>
      </c>
      <c r="E1719" s="2" t="str">
        <f>"Q"&amp;ROUNDUP(MONTH(Table1[[#This Row],[PurchaseDate]])/3,0)</f>
        <v>Q4</v>
      </c>
      <c r="F1719" s="2">
        <f>MONTH(Table1[[#This Row],[PurchaseDate]])</f>
        <v>11</v>
      </c>
      <c r="G1719" s="2" t="str">
        <f>TEXT(Table1[[#This Row],[PurchaseDate]],"MMM")</f>
        <v>Nov</v>
      </c>
      <c r="H1719">
        <v>8</v>
      </c>
      <c r="I1719">
        <v>82.29</v>
      </c>
      <c r="J1719" t="s">
        <v>3180</v>
      </c>
      <c r="K1719" t="s">
        <v>18</v>
      </c>
      <c r="L1719" t="s">
        <v>23</v>
      </c>
      <c r="M1719">
        <v>4</v>
      </c>
      <c r="N1719">
        <v>658.32</v>
      </c>
    </row>
    <row r="1720" spans="1:14" x14ac:dyDescent="0.3">
      <c r="A1720" t="s">
        <v>3181</v>
      </c>
      <c r="B1720" t="s">
        <v>34</v>
      </c>
      <c r="C1720" s="1">
        <v>45243</v>
      </c>
      <c r="D1720" s="2">
        <f>YEAR(Table1[[#This Row],[PurchaseDate]])</f>
        <v>2023</v>
      </c>
      <c r="E1720" s="2" t="str">
        <f>"Q"&amp;ROUNDUP(MONTH(Table1[[#This Row],[PurchaseDate]])/3,0)</f>
        <v>Q4</v>
      </c>
      <c r="F1720" s="2">
        <f>MONTH(Table1[[#This Row],[PurchaseDate]])</f>
        <v>11</v>
      </c>
      <c r="G1720" s="2" t="str">
        <f>TEXT(Table1[[#This Row],[PurchaseDate]],"MMM")</f>
        <v>Nov</v>
      </c>
      <c r="H1720">
        <v>6</v>
      </c>
      <c r="I1720">
        <v>67.400000000000006</v>
      </c>
      <c r="J1720" t="s">
        <v>3182</v>
      </c>
      <c r="K1720" t="s">
        <v>38</v>
      </c>
      <c r="L1720" t="s">
        <v>14</v>
      </c>
      <c r="M1720">
        <v>3</v>
      </c>
      <c r="N1720">
        <v>404.4</v>
      </c>
    </row>
    <row r="1721" spans="1:14" x14ac:dyDescent="0.3">
      <c r="A1721" t="s">
        <v>3183</v>
      </c>
      <c r="B1721" t="s">
        <v>21</v>
      </c>
      <c r="C1721" s="1">
        <v>45521</v>
      </c>
      <c r="D1721" s="2">
        <f>YEAR(Table1[[#This Row],[PurchaseDate]])</f>
        <v>2024</v>
      </c>
      <c r="E1721" s="2" t="str">
        <f>"Q"&amp;ROUNDUP(MONTH(Table1[[#This Row],[PurchaseDate]])/3,0)</f>
        <v>Q3</v>
      </c>
      <c r="F1721" s="2">
        <f>MONTH(Table1[[#This Row],[PurchaseDate]])</f>
        <v>8</v>
      </c>
      <c r="G1721" s="2" t="str">
        <f>TEXT(Table1[[#This Row],[PurchaseDate]],"MMM")</f>
        <v>Aug</v>
      </c>
      <c r="H1721">
        <v>6</v>
      </c>
      <c r="I1721">
        <v>223.32</v>
      </c>
      <c r="J1721" t="s">
        <v>3184</v>
      </c>
      <c r="K1721" t="s">
        <v>13</v>
      </c>
      <c r="L1721" t="s">
        <v>14</v>
      </c>
      <c r="M1721">
        <v>2</v>
      </c>
      <c r="N1721">
        <v>1339.92</v>
      </c>
    </row>
    <row r="1722" spans="1:14" x14ac:dyDescent="0.3">
      <c r="A1722" t="s">
        <v>3185</v>
      </c>
      <c r="B1722" t="s">
        <v>16</v>
      </c>
      <c r="C1722" s="1">
        <v>45270</v>
      </c>
      <c r="D1722" s="2">
        <f>YEAR(Table1[[#This Row],[PurchaseDate]])</f>
        <v>2023</v>
      </c>
      <c r="E1722" s="2" t="str">
        <f>"Q"&amp;ROUNDUP(MONTH(Table1[[#This Row],[PurchaseDate]])/3,0)</f>
        <v>Q4</v>
      </c>
      <c r="F1722" s="2">
        <f>MONTH(Table1[[#This Row],[PurchaseDate]])</f>
        <v>12</v>
      </c>
      <c r="G1722" s="2" t="str">
        <f>TEXT(Table1[[#This Row],[PurchaseDate]],"MMM")</f>
        <v>Dec</v>
      </c>
      <c r="H1722">
        <v>3</v>
      </c>
      <c r="I1722">
        <v>227.94</v>
      </c>
      <c r="J1722" t="s">
        <v>3186</v>
      </c>
      <c r="K1722" t="s">
        <v>38</v>
      </c>
      <c r="L1722" t="s">
        <v>58</v>
      </c>
      <c r="M1722">
        <v>5</v>
      </c>
      <c r="N1722">
        <v>683.82</v>
      </c>
    </row>
    <row r="1723" spans="1:14" x14ac:dyDescent="0.3">
      <c r="A1723" t="s">
        <v>1809</v>
      </c>
      <c r="B1723" t="s">
        <v>16</v>
      </c>
      <c r="C1723" s="1">
        <v>44934</v>
      </c>
      <c r="D1723" s="2">
        <f>YEAR(Table1[[#This Row],[PurchaseDate]])</f>
        <v>2023</v>
      </c>
      <c r="E1723" s="2" t="str">
        <f>"Q"&amp;ROUNDUP(MONTH(Table1[[#This Row],[PurchaseDate]])/3,0)</f>
        <v>Q1</v>
      </c>
      <c r="F1723" s="2">
        <f>MONTH(Table1[[#This Row],[PurchaseDate]])</f>
        <v>1</v>
      </c>
      <c r="G1723" s="2" t="str">
        <f>TEXT(Table1[[#This Row],[PurchaseDate]],"MMM")</f>
        <v>Jan</v>
      </c>
      <c r="H1723">
        <v>1</v>
      </c>
      <c r="I1723">
        <v>776.47</v>
      </c>
      <c r="J1723" t="s">
        <v>1810</v>
      </c>
      <c r="K1723" t="s">
        <v>18</v>
      </c>
      <c r="L1723" t="s">
        <v>19</v>
      </c>
      <c r="M1723">
        <v>3</v>
      </c>
      <c r="N1723">
        <v>776.47</v>
      </c>
    </row>
    <row r="1724" spans="1:14" x14ac:dyDescent="0.3">
      <c r="A1724" t="s">
        <v>1541</v>
      </c>
      <c r="B1724" t="s">
        <v>29</v>
      </c>
      <c r="C1724" s="1">
        <v>44997</v>
      </c>
      <c r="D1724" s="2">
        <f>YEAR(Table1[[#This Row],[PurchaseDate]])</f>
        <v>2023</v>
      </c>
      <c r="E1724" s="2" t="str">
        <f>"Q"&amp;ROUNDUP(MONTH(Table1[[#This Row],[PurchaseDate]])/3,0)</f>
        <v>Q1</v>
      </c>
      <c r="F1724" s="2">
        <f>MONTH(Table1[[#This Row],[PurchaseDate]])</f>
        <v>3</v>
      </c>
      <c r="G1724" s="2" t="str">
        <f>TEXT(Table1[[#This Row],[PurchaseDate]],"MMM")</f>
        <v>Mar</v>
      </c>
      <c r="H1724">
        <v>7</v>
      </c>
      <c r="I1724">
        <v>197.08</v>
      </c>
      <c r="J1724" t="s">
        <v>1542</v>
      </c>
      <c r="K1724" t="s">
        <v>38</v>
      </c>
      <c r="L1724" t="s">
        <v>14</v>
      </c>
      <c r="M1724">
        <v>4</v>
      </c>
      <c r="N1724">
        <v>1379.56</v>
      </c>
    </row>
    <row r="1725" spans="1:14" x14ac:dyDescent="0.3">
      <c r="A1725" t="s">
        <v>3187</v>
      </c>
      <c r="B1725" t="s">
        <v>21</v>
      </c>
      <c r="C1725" s="1">
        <v>45591</v>
      </c>
      <c r="D1725" s="2">
        <f>YEAR(Table1[[#This Row],[PurchaseDate]])</f>
        <v>2024</v>
      </c>
      <c r="E1725" s="2" t="str">
        <f>"Q"&amp;ROUNDUP(MONTH(Table1[[#This Row],[PurchaseDate]])/3,0)</f>
        <v>Q4</v>
      </c>
      <c r="F1725" s="2">
        <f>MONTH(Table1[[#This Row],[PurchaseDate]])</f>
        <v>10</v>
      </c>
      <c r="G1725" s="2" t="str">
        <f>TEXT(Table1[[#This Row],[PurchaseDate]],"MMM")</f>
        <v>Oct</v>
      </c>
      <c r="H1725">
        <v>1</v>
      </c>
      <c r="I1725">
        <v>55.74</v>
      </c>
      <c r="J1725" t="s">
        <v>3188</v>
      </c>
      <c r="K1725" t="s">
        <v>13</v>
      </c>
      <c r="L1725" t="s">
        <v>19</v>
      </c>
      <c r="M1725">
        <v>1</v>
      </c>
      <c r="N1725">
        <v>55.74</v>
      </c>
    </row>
    <row r="1726" spans="1:14" x14ac:dyDescent="0.3">
      <c r="A1726" t="s">
        <v>3189</v>
      </c>
      <c r="B1726" t="s">
        <v>16</v>
      </c>
      <c r="C1726" s="1">
        <v>45171</v>
      </c>
      <c r="D1726" s="2">
        <f>YEAR(Table1[[#This Row],[PurchaseDate]])</f>
        <v>2023</v>
      </c>
      <c r="E1726" s="2" t="str">
        <f>"Q"&amp;ROUNDUP(MONTH(Table1[[#This Row],[PurchaseDate]])/3,0)</f>
        <v>Q3</v>
      </c>
      <c r="F1726" s="2">
        <f>MONTH(Table1[[#This Row],[PurchaseDate]])</f>
        <v>9</v>
      </c>
      <c r="G1726" s="2" t="str">
        <f>TEXT(Table1[[#This Row],[PurchaseDate]],"MMM")</f>
        <v>Sep</v>
      </c>
      <c r="H1726">
        <v>8</v>
      </c>
      <c r="I1726">
        <v>663.83</v>
      </c>
      <c r="J1726" t="s">
        <v>3190</v>
      </c>
      <c r="K1726" t="s">
        <v>13</v>
      </c>
      <c r="L1726" t="s">
        <v>27</v>
      </c>
      <c r="M1726">
        <v>1</v>
      </c>
      <c r="N1726">
        <v>5310.64</v>
      </c>
    </row>
    <row r="1727" spans="1:14" x14ac:dyDescent="0.3">
      <c r="A1727" t="s">
        <v>2131</v>
      </c>
      <c r="B1727" t="s">
        <v>25</v>
      </c>
      <c r="C1727" s="1">
        <v>45487</v>
      </c>
      <c r="D1727" s="2">
        <f>YEAR(Table1[[#This Row],[PurchaseDate]])</f>
        <v>2024</v>
      </c>
      <c r="E1727" s="2" t="str">
        <f>"Q"&amp;ROUNDUP(MONTH(Table1[[#This Row],[PurchaseDate]])/3,0)</f>
        <v>Q3</v>
      </c>
      <c r="F1727" s="2">
        <f>MONTH(Table1[[#This Row],[PurchaseDate]])</f>
        <v>7</v>
      </c>
      <c r="G1727" s="2" t="str">
        <f>TEXT(Table1[[#This Row],[PurchaseDate]],"MMM")</f>
        <v>Jul</v>
      </c>
      <c r="H1727">
        <v>8</v>
      </c>
      <c r="I1727">
        <v>521.44000000000005</v>
      </c>
      <c r="J1727" t="s">
        <v>2132</v>
      </c>
      <c r="K1727" t="s">
        <v>38</v>
      </c>
      <c r="L1727" t="s">
        <v>58</v>
      </c>
      <c r="M1727">
        <v>5</v>
      </c>
      <c r="N1727">
        <v>4171.5200000000004</v>
      </c>
    </row>
    <row r="1728" spans="1:14" x14ac:dyDescent="0.3">
      <c r="A1728" t="s">
        <v>3191</v>
      </c>
      <c r="B1728" t="s">
        <v>29</v>
      </c>
      <c r="C1728" s="1">
        <v>45112</v>
      </c>
      <c r="D1728" s="2">
        <f>YEAR(Table1[[#This Row],[PurchaseDate]])</f>
        <v>2023</v>
      </c>
      <c r="E1728" s="2" t="str">
        <f>"Q"&amp;ROUNDUP(MONTH(Table1[[#This Row],[PurchaseDate]])/3,0)</f>
        <v>Q3</v>
      </c>
      <c r="F1728" s="2">
        <f>MONTH(Table1[[#This Row],[PurchaseDate]])</f>
        <v>7</v>
      </c>
      <c r="G1728" s="2" t="str">
        <f>TEXT(Table1[[#This Row],[PurchaseDate]],"MMM")</f>
        <v>Jul</v>
      </c>
      <c r="H1728">
        <v>4</v>
      </c>
      <c r="I1728">
        <v>561.38</v>
      </c>
      <c r="J1728" t="s">
        <v>3192</v>
      </c>
      <c r="K1728" t="s">
        <v>18</v>
      </c>
      <c r="L1728" t="s">
        <v>19</v>
      </c>
      <c r="M1728">
        <v>1</v>
      </c>
      <c r="N1728">
        <v>2245.52</v>
      </c>
    </row>
    <row r="1729" spans="1:14" x14ac:dyDescent="0.3">
      <c r="A1729" t="s">
        <v>3193</v>
      </c>
      <c r="B1729" t="s">
        <v>34</v>
      </c>
      <c r="C1729" s="1">
        <v>45682</v>
      </c>
      <c r="D1729" s="2">
        <f>YEAR(Table1[[#This Row],[PurchaseDate]])</f>
        <v>2025</v>
      </c>
      <c r="E1729" s="2" t="str">
        <f>"Q"&amp;ROUNDUP(MONTH(Table1[[#This Row],[PurchaseDate]])/3,0)</f>
        <v>Q1</v>
      </c>
      <c r="F1729" s="2">
        <f>MONTH(Table1[[#This Row],[PurchaseDate]])</f>
        <v>1</v>
      </c>
      <c r="G1729" s="2" t="str">
        <f>TEXT(Table1[[#This Row],[PurchaseDate]],"MMM")</f>
        <v>Jan</v>
      </c>
      <c r="H1729">
        <v>3</v>
      </c>
      <c r="I1729">
        <v>624.15</v>
      </c>
      <c r="J1729" t="s">
        <v>3194</v>
      </c>
      <c r="K1729" t="s">
        <v>38</v>
      </c>
      <c r="L1729" t="s">
        <v>27</v>
      </c>
      <c r="M1729">
        <v>1</v>
      </c>
      <c r="N1729">
        <v>1872.45</v>
      </c>
    </row>
    <row r="1730" spans="1:14" x14ac:dyDescent="0.3">
      <c r="A1730" t="s">
        <v>1861</v>
      </c>
      <c r="B1730" t="s">
        <v>29</v>
      </c>
      <c r="C1730" s="1">
        <v>45837</v>
      </c>
      <c r="D1730" s="2">
        <f>YEAR(Table1[[#This Row],[PurchaseDate]])</f>
        <v>2025</v>
      </c>
      <c r="E1730" s="2" t="str">
        <f>"Q"&amp;ROUNDUP(MONTH(Table1[[#This Row],[PurchaseDate]])/3,0)</f>
        <v>Q2</v>
      </c>
      <c r="F1730" s="2">
        <f>MONTH(Table1[[#This Row],[PurchaseDate]])</f>
        <v>6</v>
      </c>
      <c r="G1730" s="2" t="str">
        <f>TEXT(Table1[[#This Row],[PurchaseDate]],"MMM")</f>
        <v>Jun</v>
      </c>
      <c r="H1730">
        <v>7</v>
      </c>
      <c r="I1730">
        <v>513.51</v>
      </c>
      <c r="J1730" t="s">
        <v>1862</v>
      </c>
      <c r="K1730" t="s">
        <v>13</v>
      </c>
      <c r="L1730" t="s">
        <v>27</v>
      </c>
      <c r="M1730">
        <v>1</v>
      </c>
      <c r="N1730">
        <v>3594.57</v>
      </c>
    </row>
    <row r="1731" spans="1:14" x14ac:dyDescent="0.3">
      <c r="A1731" t="s">
        <v>3195</v>
      </c>
      <c r="B1731" t="s">
        <v>11</v>
      </c>
      <c r="C1731" s="1">
        <v>45573</v>
      </c>
      <c r="D1731" s="2">
        <f>YEAR(Table1[[#This Row],[PurchaseDate]])</f>
        <v>2024</v>
      </c>
      <c r="E1731" s="2" t="str">
        <f>"Q"&amp;ROUNDUP(MONTH(Table1[[#This Row],[PurchaseDate]])/3,0)</f>
        <v>Q4</v>
      </c>
      <c r="F1731" s="2">
        <f>MONTH(Table1[[#This Row],[PurchaseDate]])</f>
        <v>10</v>
      </c>
      <c r="G1731" s="2" t="str">
        <f>TEXT(Table1[[#This Row],[PurchaseDate]],"MMM")</f>
        <v>Oct</v>
      </c>
      <c r="H1731">
        <v>3</v>
      </c>
      <c r="I1731">
        <v>77.41</v>
      </c>
      <c r="J1731" t="s">
        <v>3196</v>
      </c>
      <c r="K1731" t="s">
        <v>13</v>
      </c>
      <c r="L1731" t="s">
        <v>14</v>
      </c>
      <c r="M1731">
        <v>1</v>
      </c>
      <c r="N1731">
        <v>232.23</v>
      </c>
    </row>
    <row r="1732" spans="1:14" x14ac:dyDescent="0.3">
      <c r="A1732" t="s">
        <v>3197</v>
      </c>
      <c r="B1732" t="s">
        <v>25</v>
      </c>
      <c r="C1732" s="1">
        <v>45755</v>
      </c>
      <c r="D1732" s="2">
        <f>YEAR(Table1[[#This Row],[PurchaseDate]])</f>
        <v>2025</v>
      </c>
      <c r="E1732" s="2" t="str">
        <f>"Q"&amp;ROUNDUP(MONTH(Table1[[#This Row],[PurchaseDate]])/3,0)</f>
        <v>Q2</v>
      </c>
      <c r="F1732" s="2">
        <f>MONTH(Table1[[#This Row],[PurchaseDate]])</f>
        <v>4</v>
      </c>
      <c r="G1732" s="2" t="str">
        <f>TEXT(Table1[[#This Row],[PurchaseDate]],"MMM")</f>
        <v>Apr</v>
      </c>
      <c r="H1732">
        <v>3</v>
      </c>
      <c r="I1732">
        <v>754.2</v>
      </c>
      <c r="J1732" t="s">
        <v>3198</v>
      </c>
      <c r="K1732" t="s">
        <v>13</v>
      </c>
      <c r="L1732" t="s">
        <v>23</v>
      </c>
      <c r="M1732">
        <v>3</v>
      </c>
      <c r="N1732">
        <v>2262.6</v>
      </c>
    </row>
    <row r="1733" spans="1:14" x14ac:dyDescent="0.3">
      <c r="A1733" t="s">
        <v>2029</v>
      </c>
      <c r="B1733" t="s">
        <v>42</v>
      </c>
      <c r="C1733" s="1">
        <v>45495</v>
      </c>
      <c r="D1733" s="2">
        <f>YEAR(Table1[[#This Row],[PurchaseDate]])</f>
        <v>2024</v>
      </c>
      <c r="E1733" s="2" t="str">
        <f>"Q"&amp;ROUNDUP(MONTH(Table1[[#This Row],[PurchaseDate]])/3,0)</f>
        <v>Q3</v>
      </c>
      <c r="F1733" s="2">
        <f>MONTH(Table1[[#This Row],[PurchaseDate]])</f>
        <v>7</v>
      </c>
      <c r="G1733" s="2" t="str">
        <f>TEXT(Table1[[#This Row],[PurchaseDate]],"MMM")</f>
        <v>Jul</v>
      </c>
      <c r="H1733">
        <v>2</v>
      </c>
      <c r="I1733">
        <v>144.86000000000001</v>
      </c>
      <c r="J1733" t="s">
        <v>2030</v>
      </c>
      <c r="K1733" t="s">
        <v>13</v>
      </c>
      <c r="L1733" t="s">
        <v>23</v>
      </c>
      <c r="M1733">
        <v>4</v>
      </c>
      <c r="N1733">
        <v>289.72000000000003</v>
      </c>
    </row>
    <row r="1734" spans="1:14" x14ac:dyDescent="0.3">
      <c r="A1734" t="s">
        <v>201</v>
      </c>
      <c r="B1734" t="s">
        <v>21</v>
      </c>
      <c r="C1734" s="1">
        <v>45036</v>
      </c>
      <c r="D1734" s="2">
        <f>YEAR(Table1[[#This Row],[PurchaseDate]])</f>
        <v>2023</v>
      </c>
      <c r="E1734" s="2" t="str">
        <f>"Q"&amp;ROUNDUP(MONTH(Table1[[#This Row],[PurchaseDate]])/3,0)</f>
        <v>Q2</v>
      </c>
      <c r="F1734" s="2">
        <f>MONTH(Table1[[#This Row],[PurchaseDate]])</f>
        <v>4</v>
      </c>
      <c r="G1734" s="2" t="str">
        <f>TEXT(Table1[[#This Row],[PurchaseDate]],"MMM")</f>
        <v>Apr</v>
      </c>
      <c r="H1734">
        <v>4</v>
      </c>
      <c r="I1734">
        <v>576.35</v>
      </c>
      <c r="J1734" t="s">
        <v>202</v>
      </c>
      <c r="K1734" t="s">
        <v>13</v>
      </c>
      <c r="L1734" t="s">
        <v>58</v>
      </c>
      <c r="M1734">
        <v>5</v>
      </c>
      <c r="N1734">
        <v>2305.4</v>
      </c>
    </row>
    <row r="1735" spans="1:14" x14ac:dyDescent="0.3">
      <c r="A1735" t="s">
        <v>1295</v>
      </c>
      <c r="B1735" t="s">
        <v>21</v>
      </c>
      <c r="C1735" s="1">
        <v>45345</v>
      </c>
      <c r="D1735" s="2">
        <f>YEAR(Table1[[#This Row],[PurchaseDate]])</f>
        <v>2024</v>
      </c>
      <c r="E1735" s="2" t="str">
        <f>"Q"&amp;ROUNDUP(MONTH(Table1[[#This Row],[PurchaseDate]])/3,0)</f>
        <v>Q1</v>
      </c>
      <c r="F1735" s="2">
        <f>MONTH(Table1[[#This Row],[PurchaseDate]])</f>
        <v>2</v>
      </c>
      <c r="G1735" s="2" t="str">
        <f>TEXT(Table1[[#This Row],[PurchaseDate]],"MMM")</f>
        <v>Feb</v>
      </c>
      <c r="H1735">
        <v>3</v>
      </c>
      <c r="I1735">
        <v>651.11</v>
      </c>
      <c r="J1735" t="s">
        <v>1296</v>
      </c>
      <c r="K1735" t="s">
        <v>38</v>
      </c>
      <c r="L1735" t="s">
        <v>58</v>
      </c>
      <c r="M1735">
        <v>2</v>
      </c>
      <c r="N1735">
        <v>1953.33</v>
      </c>
    </row>
    <row r="1736" spans="1:14" x14ac:dyDescent="0.3">
      <c r="A1736" t="s">
        <v>3199</v>
      </c>
      <c r="B1736" t="s">
        <v>16</v>
      </c>
      <c r="C1736" s="1">
        <v>45124</v>
      </c>
      <c r="D1736" s="2">
        <f>YEAR(Table1[[#This Row],[PurchaseDate]])</f>
        <v>2023</v>
      </c>
      <c r="E1736" s="2" t="str">
        <f>"Q"&amp;ROUNDUP(MONTH(Table1[[#This Row],[PurchaseDate]])/3,0)</f>
        <v>Q3</v>
      </c>
      <c r="F1736" s="2">
        <f>MONTH(Table1[[#This Row],[PurchaseDate]])</f>
        <v>7</v>
      </c>
      <c r="G1736" s="2" t="str">
        <f>TEXT(Table1[[#This Row],[PurchaseDate]],"MMM")</f>
        <v>Jul</v>
      </c>
      <c r="H1736">
        <v>8</v>
      </c>
      <c r="I1736">
        <v>7.01</v>
      </c>
      <c r="J1736" t="s">
        <v>3200</v>
      </c>
      <c r="K1736" t="s">
        <v>13</v>
      </c>
      <c r="L1736" t="s">
        <v>27</v>
      </c>
      <c r="M1736">
        <v>1</v>
      </c>
      <c r="N1736">
        <v>56.08</v>
      </c>
    </row>
    <row r="1737" spans="1:14" x14ac:dyDescent="0.3">
      <c r="A1737" t="s">
        <v>3201</v>
      </c>
      <c r="B1737" t="s">
        <v>34</v>
      </c>
      <c r="C1737" s="1">
        <v>45826</v>
      </c>
      <c r="D1737" s="2">
        <f>YEAR(Table1[[#This Row],[PurchaseDate]])</f>
        <v>2025</v>
      </c>
      <c r="E1737" s="2" t="str">
        <f>"Q"&amp;ROUNDUP(MONTH(Table1[[#This Row],[PurchaseDate]])/3,0)</f>
        <v>Q2</v>
      </c>
      <c r="F1737" s="2">
        <f>MONTH(Table1[[#This Row],[PurchaseDate]])</f>
        <v>6</v>
      </c>
      <c r="G1737" s="2" t="str">
        <f>TEXT(Table1[[#This Row],[PurchaseDate]],"MMM")</f>
        <v>Jun</v>
      </c>
      <c r="H1737">
        <v>8</v>
      </c>
      <c r="I1737">
        <v>144.27000000000001</v>
      </c>
      <c r="J1737" t="s">
        <v>3202</v>
      </c>
      <c r="K1737" t="s">
        <v>38</v>
      </c>
      <c r="L1737" t="s">
        <v>58</v>
      </c>
      <c r="M1737">
        <v>1</v>
      </c>
      <c r="N1737">
        <v>1154.1600000000001</v>
      </c>
    </row>
    <row r="1738" spans="1:14" x14ac:dyDescent="0.3">
      <c r="A1738" t="s">
        <v>3203</v>
      </c>
      <c r="B1738" t="s">
        <v>29</v>
      </c>
      <c r="C1738" s="1">
        <v>45403</v>
      </c>
      <c r="D1738" s="2">
        <f>YEAR(Table1[[#This Row],[PurchaseDate]])</f>
        <v>2024</v>
      </c>
      <c r="E1738" s="2" t="str">
        <f>"Q"&amp;ROUNDUP(MONTH(Table1[[#This Row],[PurchaseDate]])/3,0)</f>
        <v>Q2</v>
      </c>
      <c r="F1738" s="2">
        <f>MONTH(Table1[[#This Row],[PurchaseDate]])</f>
        <v>4</v>
      </c>
      <c r="G1738" s="2" t="str">
        <f>TEXT(Table1[[#This Row],[PurchaseDate]],"MMM")</f>
        <v>Apr</v>
      </c>
      <c r="H1738">
        <v>7</v>
      </c>
      <c r="I1738">
        <v>734.16</v>
      </c>
      <c r="J1738" t="s">
        <v>3204</v>
      </c>
      <c r="K1738" t="s">
        <v>13</v>
      </c>
      <c r="L1738" t="s">
        <v>19</v>
      </c>
      <c r="M1738">
        <v>1</v>
      </c>
      <c r="N1738">
        <v>5139.12</v>
      </c>
    </row>
    <row r="1739" spans="1:14" x14ac:dyDescent="0.3">
      <c r="A1739" t="s">
        <v>3205</v>
      </c>
      <c r="B1739" t="s">
        <v>34</v>
      </c>
      <c r="C1739" s="1">
        <v>45817</v>
      </c>
      <c r="D1739" s="2">
        <f>YEAR(Table1[[#This Row],[PurchaseDate]])</f>
        <v>2025</v>
      </c>
      <c r="E1739" s="2" t="str">
        <f>"Q"&amp;ROUNDUP(MONTH(Table1[[#This Row],[PurchaseDate]])/3,0)</f>
        <v>Q2</v>
      </c>
      <c r="F1739" s="2">
        <f>MONTH(Table1[[#This Row],[PurchaseDate]])</f>
        <v>6</v>
      </c>
      <c r="G1739" s="2" t="str">
        <f>TEXT(Table1[[#This Row],[PurchaseDate]],"MMM")</f>
        <v>Jun</v>
      </c>
      <c r="H1739">
        <v>8</v>
      </c>
      <c r="I1739">
        <v>253.18</v>
      </c>
      <c r="J1739" t="s">
        <v>3206</v>
      </c>
      <c r="K1739" t="s">
        <v>18</v>
      </c>
      <c r="L1739" t="s">
        <v>19</v>
      </c>
      <c r="M1739">
        <v>4</v>
      </c>
      <c r="N1739">
        <v>2025.44</v>
      </c>
    </row>
    <row r="1740" spans="1:14" x14ac:dyDescent="0.3">
      <c r="A1740" t="s">
        <v>3207</v>
      </c>
      <c r="B1740" t="s">
        <v>25</v>
      </c>
      <c r="C1740" s="1">
        <v>45604</v>
      </c>
      <c r="D1740" s="2">
        <f>YEAR(Table1[[#This Row],[PurchaseDate]])</f>
        <v>2024</v>
      </c>
      <c r="E1740" s="2" t="str">
        <f>"Q"&amp;ROUNDUP(MONTH(Table1[[#This Row],[PurchaseDate]])/3,0)</f>
        <v>Q4</v>
      </c>
      <c r="F1740" s="2">
        <f>MONTH(Table1[[#This Row],[PurchaseDate]])</f>
        <v>11</v>
      </c>
      <c r="G1740" s="2" t="str">
        <f>TEXT(Table1[[#This Row],[PurchaseDate]],"MMM")</f>
        <v>Nov</v>
      </c>
      <c r="H1740">
        <v>8</v>
      </c>
      <c r="I1740">
        <v>798.64</v>
      </c>
      <c r="J1740" t="s">
        <v>3208</v>
      </c>
      <c r="K1740" t="s">
        <v>38</v>
      </c>
      <c r="L1740" t="s">
        <v>58</v>
      </c>
      <c r="M1740">
        <v>2</v>
      </c>
      <c r="N1740">
        <v>6389.12</v>
      </c>
    </row>
    <row r="1741" spans="1:14" x14ac:dyDescent="0.3">
      <c r="A1741" t="s">
        <v>3209</v>
      </c>
      <c r="B1741" t="s">
        <v>25</v>
      </c>
      <c r="C1741" s="1">
        <v>45610</v>
      </c>
      <c r="D1741" s="2">
        <f>YEAR(Table1[[#This Row],[PurchaseDate]])</f>
        <v>2024</v>
      </c>
      <c r="E1741" s="2" t="str">
        <f>"Q"&amp;ROUNDUP(MONTH(Table1[[#This Row],[PurchaseDate]])/3,0)</f>
        <v>Q4</v>
      </c>
      <c r="F1741" s="2">
        <f>MONTH(Table1[[#This Row],[PurchaseDate]])</f>
        <v>11</v>
      </c>
      <c r="G1741" s="2" t="str">
        <f>TEXT(Table1[[#This Row],[PurchaseDate]],"MMM")</f>
        <v>Nov</v>
      </c>
      <c r="H1741">
        <v>2</v>
      </c>
      <c r="I1741">
        <v>506.84</v>
      </c>
      <c r="J1741" t="s">
        <v>3210</v>
      </c>
      <c r="K1741" t="s">
        <v>18</v>
      </c>
      <c r="L1741" t="s">
        <v>23</v>
      </c>
      <c r="M1741">
        <v>2</v>
      </c>
      <c r="N1741">
        <v>1013.68</v>
      </c>
    </row>
    <row r="1742" spans="1:14" x14ac:dyDescent="0.3">
      <c r="A1742" t="s">
        <v>3211</v>
      </c>
      <c r="B1742" t="s">
        <v>21</v>
      </c>
      <c r="C1742" s="1">
        <v>45126</v>
      </c>
      <c r="D1742" s="2">
        <f>YEAR(Table1[[#This Row],[PurchaseDate]])</f>
        <v>2023</v>
      </c>
      <c r="E1742" s="2" t="str">
        <f>"Q"&amp;ROUNDUP(MONTH(Table1[[#This Row],[PurchaseDate]])/3,0)</f>
        <v>Q3</v>
      </c>
      <c r="F1742" s="2">
        <f>MONTH(Table1[[#This Row],[PurchaseDate]])</f>
        <v>7</v>
      </c>
      <c r="G1742" s="2" t="str">
        <f>TEXT(Table1[[#This Row],[PurchaseDate]],"MMM")</f>
        <v>Jul</v>
      </c>
      <c r="H1742">
        <v>6</v>
      </c>
      <c r="I1742">
        <v>227.14</v>
      </c>
      <c r="J1742" t="s">
        <v>3212</v>
      </c>
      <c r="K1742" t="s">
        <v>13</v>
      </c>
      <c r="L1742" t="s">
        <v>23</v>
      </c>
      <c r="M1742">
        <v>1</v>
      </c>
      <c r="N1742">
        <v>1362.84</v>
      </c>
    </row>
    <row r="1743" spans="1:14" x14ac:dyDescent="0.3">
      <c r="A1743" t="s">
        <v>3213</v>
      </c>
      <c r="B1743" t="s">
        <v>11</v>
      </c>
      <c r="C1743" s="1">
        <v>45828</v>
      </c>
      <c r="D1743" s="2">
        <f>YEAR(Table1[[#This Row],[PurchaseDate]])</f>
        <v>2025</v>
      </c>
      <c r="E1743" s="2" t="str">
        <f>"Q"&amp;ROUNDUP(MONTH(Table1[[#This Row],[PurchaseDate]])/3,0)</f>
        <v>Q2</v>
      </c>
      <c r="F1743" s="2">
        <f>MONTH(Table1[[#This Row],[PurchaseDate]])</f>
        <v>6</v>
      </c>
      <c r="G1743" s="2" t="str">
        <f>TEXT(Table1[[#This Row],[PurchaseDate]],"MMM")</f>
        <v>Jun</v>
      </c>
      <c r="H1743">
        <v>5</v>
      </c>
      <c r="I1743">
        <v>773.23</v>
      </c>
      <c r="J1743" t="s">
        <v>3214</v>
      </c>
      <c r="K1743" t="s">
        <v>38</v>
      </c>
      <c r="L1743" t="s">
        <v>58</v>
      </c>
      <c r="M1743">
        <v>3</v>
      </c>
      <c r="N1743">
        <v>3866.15</v>
      </c>
    </row>
    <row r="1744" spans="1:14" x14ac:dyDescent="0.3">
      <c r="A1744" t="s">
        <v>3215</v>
      </c>
      <c r="B1744" t="s">
        <v>16</v>
      </c>
      <c r="C1744" s="1">
        <v>45187</v>
      </c>
      <c r="D1744" s="2">
        <f>YEAR(Table1[[#This Row],[PurchaseDate]])</f>
        <v>2023</v>
      </c>
      <c r="E1744" s="2" t="str">
        <f>"Q"&amp;ROUNDUP(MONTH(Table1[[#This Row],[PurchaseDate]])/3,0)</f>
        <v>Q3</v>
      </c>
      <c r="F1744" s="2">
        <f>MONTH(Table1[[#This Row],[PurchaseDate]])</f>
        <v>9</v>
      </c>
      <c r="G1744" s="2" t="str">
        <f>TEXT(Table1[[#This Row],[PurchaseDate]],"MMM")</f>
        <v>Sep</v>
      </c>
      <c r="H1744">
        <v>3</v>
      </c>
      <c r="I1744">
        <v>388.05</v>
      </c>
      <c r="J1744" t="s">
        <v>3216</v>
      </c>
      <c r="K1744" t="s">
        <v>38</v>
      </c>
      <c r="L1744" t="s">
        <v>58</v>
      </c>
      <c r="M1744">
        <v>2</v>
      </c>
      <c r="N1744">
        <v>1164.1500000000001</v>
      </c>
    </row>
    <row r="1745" spans="1:14" x14ac:dyDescent="0.3">
      <c r="A1745" t="s">
        <v>3217</v>
      </c>
      <c r="B1745" t="s">
        <v>16</v>
      </c>
      <c r="C1745" s="1">
        <v>45576</v>
      </c>
      <c r="D1745" s="2">
        <f>YEAR(Table1[[#This Row],[PurchaseDate]])</f>
        <v>2024</v>
      </c>
      <c r="E1745" s="2" t="str">
        <f>"Q"&amp;ROUNDUP(MONTH(Table1[[#This Row],[PurchaseDate]])/3,0)</f>
        <v>Q4</v>
      </c>
      <c r="F1745" s="2">
        <f>MONTH(Table1[[#This Row],[PurchaseDate]])</f>
        <v>10</v>
      </c>
      <c r="G1745" s="2" t="str">
        <f>TEXT(Table1[[#This Row],[PurchaseDate]],"MMM")</f>
        <v>Oct</v>
      </c>
      <c r="H1745">
        <v>6</v>
      </c>
      <c r="I1745">
        <v>298.48</v>
      </c>
      <c r="J1745" t="s">
        <v>3218</v>
      </c>
      <c r="K1745" t="s">
        <v>13</v>
      </c>
      <c r="L1745" t="s">
        <v>58</v>
      </c>
      <c r="M1745">
        <v>2</v>
      </c>
      <c r="N1745">
        <v>1790.88</v>
      </c>
    </row>
    <row r="1746" spans="1:14" x14ac:dyDescent="0.3">
      <c r="A1746" t="s">
        <v>2955</v>
      </c>
      <c r="B1746" t="s">
        <v>34</v>
      </c>
      <c r="C1746" s="1">
        <v>45326</v>
      </c>
      <c r="D1746" s="2">
        <f>YEAR(Table1[[#This Row],[PurchaseDate]])</f>
        <v>2024</v>
      </c>
      <c r="E1746" s="2" t="str">
        <f>"Q"&amp;ROUNDUP(MONTH(Table1[[#This Row],[PurchaseDate]])/3,0)</f>
        <v>Q1</v>
      </c>
      <c r="F1746" s="2">
        <f>MONTH(Table1[[#This Row],[PurchaseDate]])</f>
        <v>2</v>
      </c>
      <c r="G1746" s="2" t="str">
        <f>TEXT(Table1[[#This Row],[PurchaseDate]],"MMM")</f>
        <v>Feb</v>
      </c>
      <c r="H1746">
        <v>3</v>
      </c>
      <c r="I1746">
        <v>365.21</v>
      </c>
      <c r="J1746" t="s">
        <v>2956</v>
      </c>
      <c r="K1746" t="s">
        <v>38</v>
      </c>
      <c r="L1746" t="s">
        <v>58</v>
      </c>
      <c r="M1746">
        <v>2</v>
      </c>
      <c r="N1746">
        <v>1095.6300000000001</v>
      </c>
    </row>
    <row r="1747" spans="1:14" x14ac:dyDescent="0.3">
      <c r="A1747" t="s">
        <v>3219</v>
      </c>
      <c r="B1747" t="s">
        <v>42</v>
      </c>
      <c r="C1747" s="1">
        <v>45143</v>
      </c>
      <c r="D1747" s="2">
        <f>YEAR(Table1[[#This Row],[PurchaseDate]])</f>
        <v>2023</v>
      </c>
      <c r="E1747" s="2" t="str">
        <f>"Q"&amp;ROUNDUP(MONTH(Table1[[#This Row],[PurchaseDate]])/3,0)</f>
        <v>Q3</v>
      </c>
      <c r="F1747" s="2">
        <f>MONTH(Table1[[#This Row],[PurchaseDate]])</f>
        <v>8</v>
      </c>
      <c r="G1747" s="2" t="str">
        <f>TEXT(Table1[[#This Row],[PurchaseDate]],"MMM")</f>
        <v>Aug</v>
      </c>
      <c r="H1747">
        <v>3</v>
      </c>
      <c r="I1747">
        <v>137.72999999999999</v>
      </c>
      <c r="J1747" t="s">
        <v>3220</v>
      </c>
      <c r="K1747" t="s">
        <v>38</v>
      </c>
      <c r="L1747" t="s">
        <v>23</v>
      </c>
      <c r="M1747">
        <v>1</v>
      </c>
      <c r="N1747">
        <v>413.19</v>
      </c>
    </row>
    <row r="1748" spans="1:14" x14ac:dyDescent="0.3">
      <c r="A1748" t="s">
        <v>3221</v>
      </c>
      <c r="B1748" t="s">
        <v>16</v>
      </c>
      <c r="C1748" s="1">
        <v>45237</v>
      </c>
      <c r="D1748" s="2">
        <f>YEAR(Table1[[#This Row],[PurchaseDate]])</f>
        <v>2023</v>
      </c>
      <c r="E1748" s="2" t="str">
        <f>"Q"&amp;ROUNDUP(MONTH(Table1[[#This Row],[PurchaseDate]])/3,0)</f>
        <v>Q4</v>
      </c>
      <c r="F1748" s="2">
        <f>MONTH(Table1[[#This Row],[PurchaseDate]])</f>
        <v>11</v>
      </c>
      <c r="G1748" s="2" t="str">
        <f>TEXT(Table1[[#This Row],[PurchaseDate]],"MMM")</f>
        <v>Nov</v>
      </c>
      <c r="H1748">
        <v>2</v>
      </c>
      <c r="I1748">
        <v>224.29</v>
      </c>
      <c r="J1748" t="s">
        <v>3222</v>
      </c>
      <c r="K1748" t="s">
        <v>38</v>
      </c>
      <c r="L1748" t="s">
        <v>27</v>
      </c>
      <c r="M1748">
        <v>1</v>
      </c>
      <c r="N1748">
        <v>448.58</v>
      </c>
    </row>
    <row r="1749" spans="1:14" x14ac:dyDescent="0.3">
      <c r="A1749" t="s">
        <v>3223</v>
      </c>
      <c r="B1749" t="s">
        <v>29</v>
      </c>
      <c r="C1749" s="1">
        <v>45475</v>
      </c>
      <c r="D1749" s="2">
        <f>YEAR(Table1[[#This Row],[PurchaseDate]])</f>
        <v>2024</v>
      </c>
      <c r="E1749" s="2" t="str">
        <f>"Q"&amp;ROUNDUP(MONTH(Table1[[#This Row],[PurchaseDate]])/3,0)</f>
        <v>Q3</v>
      </c>
      <c r="F1749" s="2">
        <f>MONTH(Table1[[#This Row],[PurchaseDate]])</f>
        <v>7</v>
      </c>
      <c r="G1749" s="2" t="str">
        <f>TEXT(Table1[[#This Row],[PurchaseDate]],"MMM")</f>
        <v>Jul</v>
      </c>
      <c r="H1749">
        <v>2</v>
      </c>
      <c r="I1749">
        <v>77.790000000000006</v>
      </c>
      <c r="J1749" t="s">
        <v>3224</v>
      </c>
      <c r="K1749" t="s">
        <v>18</v>
      </c>
      <c r="L1749" t="s">
        <v>23</v>
      </c>
      <c r="M1749">
        <v>2</v>
      </c>
      <c r="N1749">
        <v>155.58000000000001</v>
      </c>
    </row>
    <row r="1750" spans="1:14" x14ac:dyDescent="0.3">
      <c r="A1750" t="s">
        <v>3225</v>
      </c>
      <c r="B1750" t="s">
        <v>25</v>
      </c>
      <c r="C1750" s="1">
        <v>45112</v>
      </c>
      <c r="D1750" s="2">
        <f>YEAR(Table1[[#This Row],[PurchaseDate]])</f>
        <v>2023</v>
      </c>
      <c r="E1750" s="2" t="str">
        <f>"Q"&amp;ROUNDUP(MONTH(Table1[[#This Row],[PurchaseDate]])/3,0)</f>
        <v>Q3</v>
      </c>
      <c r="F1750" s="2">
        <f>MONTH(Table1[[#This Row],[PurchaseDate]])</f>
        <v>7</v>
      </c>
      <c r="G1750" s="2" t="str">
        <f>TEXT(Table1[[#This Row],[PurchaseDate]],"MMM")</f>
        <v>Jul</v>
      </c>
      <c r="H1750">
        <v>3</v>
      </c>
      <c r="I1750">
        <v>611.67999999999995</v>
      </c>
      <c r="J1750" t="s">
        <v>3226</v>
      </c>
      <c r="K1750" t="s">
        <v>38</v>
      </c>
      <c r="L1750" t="s">
        <v>23</v>
      </c>
      <c r="M1750">
        <v>3</v>
      </c>
      <c r="N1750">
        <v>1835.04</v>
      </c>
    </row>
    <row r="1751" spans="1:14" x14ac:dyDescent="0.3">
      <c r="A1751" t="s">
        <v>3227</v>
      </c>
      <c r="B1751" t="s">
        <v>21</v>
      </c>
      <c r="C1751" s="1">
        <v>45771</v>
      </c>
      <c r="D1751" s="2">
        <f>YEAR(Table1[[#This Row],[PurchaseDate]])</f>
        <v>2025</v>
      </c>
      <c r="E1751" s="2" t="str">
        <f>"Q"&amp;ROUNDUP(MONTH(Table1[[#This Row],[PurchaseDate]])/3,0)</f>
        <v>Q2</v>
      </c>
      <c r="F1751" s="2">
        <f>MONTH(Table1[[#This Row],[PurchaseDate]])</f>
        <v>4</v>
      </c>
      <c r="G1751" s="2" t="str">
        <f>TEXT(Table1[[#This Row],[PurchaseDate]],"MMM")</f>
        <v>Apr</v>
      </c>
      <c r="H1751">
        <v>2</v>
      </c>
      <c r="I1751">
        <v>209.06</v>
      </c>
      <c r="J1751" t="s">
        <v>3228</v>
      </c>
      <c r="K1751" t="s">
        <v>18</v>
      </c>
      <c r="L1751" t="s">
        <v>27</v>
      </c>
      <c r="M1751">
        <v>1</v>
      </c>
      <c r="N1751">
        <v>418.12</v>
      </c>
    </row>
    <row r="1752" spans="1:14" x14ac:dyDescent="0.3">
      <c r="A1752" t="s">
        <v>3229</v>
      </c>
      <c r="B1752" t="s">
        <v>42</v>
      </c>
      <c r="C1752" s="1">
        <v>45253</v>
      </c>
      <c r="D1752" s="2">
        <f>YEAR(Table1[[#This Row],[PurchaseDate]])</f>
        <v>2023</v>
      </c>
      <c r="E1752" s="2" t="str">
        <f>"Q"&amp;ROUNDUP(MONTH(Table1[[#This Row],[PurchaseDate]])/3,0)</f>
        <v>Q4</v>
      </c>
      <c r="F1752" s="2">
        <f>MONTH(Table1[[#This Row],[PurchaseDate]])</f>
        <v>11</v>
      </c>
      <c r="G1752" s="2" t="str">
        <f>TEXT(Table1[[#This Row],[PurchaseDate]],"MMM")</f>
        <v>Nov</v>
      </c>
      <c r="H1752">
        <v>4</v>
      </c>
      <c r="I1752">
        <v>537.88</v>
      </c>
      <c r="J1752" t="s">
        <v>3230</v>
      </c>
      <c r="K1752" t="s">
        <v>18</v>
      </c>
      <c r="L1752" t="s">
        <v>23</v>
      </c>
      <c r="M1752">
        <v>2</v>
      </c>
      <c r="N1752">
        <v>2151.52</v>
      </c>
    </row>
    <row r="1753" spans="1:14" x14ac:dyDescent="0.3">
      <c r="A1753" t="s">
        <v>763</v>
      </c>
      <c r="B1753" t="s">
        <v>25</v>
      </c>
      <c r="C1753" s="1">
        <v>45160</v>
      </c>
      <c r="D1753" s="2">
        <f>YEAR(Table1[[#This Row],[PurchaseDate]])</f>
        <v>2023</v>
      </c>
      <c r="E1753" s="2" t="str">
        <f>"Q"&amp;ROUNDUP(MONTH(Table1[[#This Row],[PurchaseDate]])/3,0)</f>
        <v>Q3</v>
      </c>
      <c r="F1753" s="2">
        <f>MONTH(Table1[[#This Row],[PurchaseDate]])</f>
        <v>8</v>
      </c>
      <c r="G1753" s="2" t="str">
        <f>TEXT(Table1[[#This Row],[PurchaseDate]],"MMM")</f>
        <v>Aug</v>
      </c>
      <c r="H1753">
        <v>7</v>
      </c>
      <c r="I1753">
        <v>230.59</v>
      </c>
      <c r="J1753" t="s">
        <v>764</v>
      </c>
      <c r="K1753" t="s">
        <v>38</v>
      </c>
      <c r="L1753" t="s">
        <v>14</v>
      </c>
      <c r="M1753">
        <v>1</v>
      </c>
      <c r="N1753">
        <v>1614.13</v>
      </c>
    </row>
    <row r="1754" spans="1:14" x14ac:dyDescent="0.3">
      <c r="A1754" t="s">
        <v>3231</v>
      </c>
      <c r="B1754" t="s">
        <v>29</v>
      </c>
      <c r="C1754" s="1">
        <v>45373</v>
      </c>
      <c r="D1754" s="2">
        <f>YEAR(Table1[[#This Row],[PurchaseDate]])</f>
        <v>2024</v>
      </c>
      <c r="E1754" s="2" t="str">
        <f>"Q"&amp;ROUNDUP(MONTH(Table1[[#This Row],[PurchaseDate]])/3,0)</f>
        <v>Q1</v>
      </c>
      <c r="F1754" s="2">
        <f>MONTH(Table1[[#This Row],[PurchaseDate]])</f>
        <v>3</v>
      </c>
      <c r="G1754" s="2" t="str">
        <f>TEXT(Table1[[#This Row],[PurchaseDate]],"MMM")</f>
        <v>Mar</v>
      </c>
      <c r="H1754">
        <v>5</v>
      </c>
      <c r="I1754">
        <v>54.45</v>
      </c>
      <c r="J1754" t="s">
        <v>3232</v>
      </c>
      <c r="K1754" t="s">
        <v>18</v>
      </c>
      <c r="L1754" t="s">
        <v>19</v>
      </c>
      <c r="M1754">
        <v>4</v>
      </c>
      <c r="N1754">
        <v>272.25</v>
      </c>
    </row>
    <row r="1755" spans="1:14" x14ac:dyDescent="0.3">
      <c r="A1755" t="s">
        <v>3233</v>
      </c>
      <c r="B1755" t="s">
        <v>42</v>
      </c>
      <c r="C1755" s="1">
        <v>45783</v>
      </c>
      <c r="D1755" s="2">
        <f>YEAR(Table1[[#This Row],[PurchaseDate]])</f>
        <v>2025</v>
      </c>
      <c r="E1755" s="2" t="str">
        <f>"Q"&amp;ROUNDUP(MONTH(Table1[[#This Row],[PurchaseDate]])/3,0)</f>
        <v>Q2</v>
      </c>
      <c r="F1755" s="2">
        <f>MONTH(Table1[[#This Row],[PurchaseDate]])</f>
        <v>5</v>
      </c>
      <c r="G1755" s="2" t="str">
        <f>TEXT(Table1[[#This Row],[PurchaseDate]],"MMM")</f>
        <v>May</v>
      </c>
      <c r="H1755">
        <v>2</v>
      </c>
      <c r="I1755">
        <v>56.11</v>
      </c>
      <c r="J1755" t="s">
        <v>3234</v>
      </c>
      <c r="K1755" t="s">
        <v>18</v>
      </c>
      <c r="L1755" t="s">
        <v>23</v>
      </c>
      <c r="M1755">
        <v>5</v>
      </c>
      <c r="N1755">
        <v>112.22</v>
      </c>
    </row>
    <row r="1756" spans="1:14" x14ac:dyDescent="0.3">
      <c r="A1756" t="s">
        <v>3235</v>
      </c>
      <c r="B1756" t="s">
        <v>42</v>
      </c>
      <c r="C1756" s="1">
        <v>45512</v>
      </c>
      <c r="D1756" s="2">
        <f>YEAR(Table1[[#This Row],[PurchaseDate]])</f>
        <v>2024</v>
      </c>
      <c r="E1756" s="2" t="str">
        <f>"Q"&amp;ROUNDUP(MONTH(Table1[[#This Row],[PurchaseDate]])/3,0)</f>
        <v>Q3</v>
      </c>
      <c r="F1756" s="2">
        <f>MONTH(Table1[[#This Row],[PurchaseDate]])</f>
        <v>8</v>
      </c>
      <c r="G1756" s="2" t="str">
        <f>TEXT(Table1[[#This Row],[PurchaseDate]],"MMM")</f>
        <v>Aug</v>
      </c>
      <c r="H1756">
        <v>2</v>
      </c>
      <c r="I1756">
        <v>320.49</v>
      </c>
      <c r="J1756" t="s">
        <v>3236</v>
      </c>
      <c r="K1756" t="s">
        <v>13</v>
      </c>
      <c r="L1756" t="s">
        <v>14</v>
      </c>
      <c r="M1756">
        <v>3</v>
      </c>
      <c r="N1756">
        <v>640.98</v>
      </c>
    </row>
    <row r="1757" spans="1:14" x14ac:dyDescent="0.3">
      <c r="A1757" t="s">
        <v>3237</v>
      </c>
      <c r="B1757" t="s">
        <v>29</v>
      </c>
      <c r="C1757" s="1">
        <v>45284</v>
      </c>
      <c r="D1757" s="2">
        <f>YEAR(Table1[[#This Row],[PurchaseDate]])</f>
        <v>2023</v>
      </c>
      <c r="E1757" s="2" t="str">
        <f>"Q"&amp;ROUNDUP(MONTH(Table1[[#This Row],[PurchaseDate]])/3,0)</f>
        <v>Q4</v>
      </c>
      <c r="F1757" s="2">
        <f>MONTH(Table1[[#This Row],[PurchaseDate]])</f>
        <v>12</v>
      </c>
      <c r="G1757" s="2" t="str">
        <f>TEXT(Table1[[#This Row],[PurchaseDate]],"MMM")</f>
        <v>Dec</v>
      </c>
      <c r="H1757">
        <v>4</v>
      </c>
      <c r="I1757">
        <v>386.07</v>
      </c>
      <c r="J1757" t="s">
        <v>3238</v>
      </c>
      <c r="K1757" t="s">
        <v>38</v>
      </c>
      <c r="L1757" t="s">
        <v>14</v>
      </c>
      <c r="M1757">
        <v>2</v>
      </c>
      <c r="N1757">
        <v>1544.28</v>
      </c>
    </row>
    <row r="1758" spans="1:14" x14ac:dyDescent="0.3">
      <c r="A1758" t="s">
        <v>3239</v>
      </c>
      <c r="B1758" t="s">
        <v>16</v>
      </c>
      <c r="C1758" s="1">
        <v>45489</v>
      </c>
      <c r="D1758" s="2">
        <f>YEAR(Table1[[#This Row],[PurchaseDate]])</f>
        <v>2024</v>
      </c>
      <c r="E1758" s="2" t="str">
        <f>"Q"&amp;ROUNDUP(MONTH(Table1[[#This Row],[PurchaseDate]])/3,0)</f>
        <v>Q3</v>
      </c>
      <c r="F1758" s="2">
        <f>MONTH(Table1[[#This Row],[PurchaseDate]])</f>
        <v>7</v>
      </c>
      <c r="G1758" s="2" t="str">
        <f>TEXT(Table1[[#This Row],[PurchaseDate]],"MMM")</f>
        <v>Jul</v>
      </c>
      <c r="H1758">
        <v>3</v>
      </c>
      <c r="I1758">
        <v>279.64999999999998</v>
      </c>
      <c r="J1758" t="s">
        <v>3240</v>
      </c>
      <c r="K1758" t="s">
        <v>13</v>
      </c>
      <c r="L1758" t="s">
        <v>58</v>
      </c>
      <c r="M1758">
        <v>1</v>
      </c>
      <c r="N1758">
        <v>838.95</v>
      </c>
    </row>
    <row r="1759" spans="1:14" x14ac:dyDescent="0.3">
      <c r="A1759" t="s">
        <v>3241</v>
      </c>
      <c r="B1759" t="s">
        <v>29</v>
      </c>
      <c r="C1759" s="1">
        <v>45257</v>
      </c>
      <c r="D1759" s="2">
        <f>YEAR(Table1[[#This Row],[PurchaseDate]])</f>
        <v>2023</v>
      </c>
      <c r="E1759" s="2" t="str">
        <f>"Q"&amp;ROUNDUP(MONTH(Table1[[#This Row],[PurchaseDate]])/3,0)</f>
        <v>Q4</v>
      </c>
      <c r="F1759" s="2">
        <f>MONTH(Table1[[#This Row],[PurchaseDate]])</f>
        <v>11</v>
      </c>
      <c r="G1759" s="2" t="str">
        <f>TEXT(Table1[[#This Row],[PurchaseDate]],"MMM")</f>
        <v>Nov</v>
      </c>
      <c r="H1759">
        <v>4</v>
      </c>
      <c r="I1759">
        <v>53.37</v>
      </c>
      <c r="J1759" t="s">
        <v>3242</v>
      </c>
      <c r="K1759" t="s">
        <v>18</v>
      </c>
      <c r="L1759" t="s">
        <v>27</v>
      </c>
      <c r="M1759">
        <v>4</v>
      </c>
      <c r="N1759">
        <v>213.48</v>
      </c>
    </row>
    <row r="1760" spans="1:14" x14ac:dyDescent="0.3">
      <c r="A1760" t="s">
        <v>3243</v>
      </c>
      <c r="B1760" t="s">
        <v>16</v>
      </c>
      <c r="C1760" s="1">
        <v>45828</v>
      </c>
      <c r="D1760" s="2">
        <f>YEAR(Table1[[#This Row],[PurchaseDate]])</f>
        <v>2025</v>
      </c>
      <c r="E1760" s="2" t="str">
        <f>"Q"&amp;ROUNDUP(MONTH(Table1[[#This Row],[PurchaseDate]])/3,0)</f>
        <v>Q2</v>
      </c>
      <c r="F1760" s="2">
        <f>MONTH(Table1[[#This Row],[PurchaseDate]])</f>
        <v>6</v>
      </c>
      <c r="G1760" s="2" t="str">
        <f>TEXT(Table1[[#This Row],[PurchaseDate]],"MMM")</f>
        <v>Jun</v>
      </c>
      <c r="H1760">
        <v>8</v>
      </c>
      <c r="I1760">
        <v>23.14</v>
      </c>
      <c r="J1760" t="s">
        <v>3244</v>
      </c>
      <c r="K1760" t="s">
        <v>13</v>
      </c>
      <c r="L1760" t="s">
        <v>27</v>
      </c>
      <c r="M1760">
        <v>2</v>
      </c>
      <c r="N1760">
        <v>185.12</v>
      </c>
    </row>
    <row r="1761" spans="1:14" x14ac:dyDescent="0.3">
      <c r="A1761" t="s">
        <v>3245</v>
      </c>
      <c r="B1761" t="s">
        <v>11</v>
      </c>
      <c r="C1761" s="1">
        <v>45056</v>
      </c>
      <c r="D1761" s="2">
        <f>YEAR(Table1[[#This Row],[PurchaseDate]])</f>
        <v>2023</v>
      </c>
      <c r="E1761" s="2" t="str">
        <f>"Q"&amp;ROUNDUP(MONTH(Table1[[#This Row],[PurchaseDate]])/3,0)</f>
        <v>Q2</v>
      </c>
      <c r="F1761" s="2">
        <f>MONTH(Table1[[#This Row],[PurchaseDate]])</f>
        <v>5</v>
      </c>
      <c r="G1761" s="2" t="str">
        <f>TEXT(Table1[[#This Row],[PurchaseDate]],"MMM")</f>
        <v>May</v>
      </c>
      <c r="H1761">
        <v>5</v>
      </c>
      <c r="I1761">
        <v>86.63</v>
      </c>
      <c r="J1761" t="s">
        <v>3246</v>
      </c>
      <c r="K1761" t="s">
        <v>38</v>
      </c>
      <c r="L1761" t="s">
        <v>19</v>
      </c>
      <c r="M1761">
        <v>1</v>
      </c>
      <c r="N1761">
        <v>433.15</v>
      </c>
    </row>
    <row r="1762" spans="1:14" x14ac:dyDescent="0.3">
      <c r="A1762" t="s">
        <v>3099</v>
      </c>
      <c r="B1762" t="s">
        <v>21</v>
      </c>
      <c r="C1762" s="1">
        <v>45542</v>
      </c>
      <c r="D1762" s="2">
        <f>YEAR(Table1[[#This Row],[PurchaseDate]])</f>
        <v>2024</v>
      </c>
      <c r="E1762" s="2" t="str">
        <f>"Q"&amp;ROUNDUP(MONTH(Table1[[#This Row],[PurchaseDate]])/3,0)</f>
        <v>Q3</v>
      </c>
      <c r="F1762" s="2">
        <f>MONTH(Table1[[#This Row],[PurchaseDate]])</f>
        <v>9</v>
      </c>
      <c r="G1762" s="2" t="str">
        <f>TEXT(Table1[[#This Row],[PurchaseDate]],"MMM")</f>
        <v>Sep</v>
      </c>
      <c r="H1762">
        <v>8</v>
      </c>
      <c r="I1762">
        <v>564.54999999999995</v>
      </c>
      <c r="J1762" t="s">
        <v>3100</v>
      </c>
      <c r="K1762" t="s">
        <v>13</v>
      </c>
      <c r="L1762" t="s">
        <v>23</v>
      </c>
      <c r="M1762">
        <v>2</v>
      </c>
      <c r="N1762">
        <v>4516.3999999999996</v>
      </c>
    </row>
    <row r="1763" spans="1:14" x14ac:dyDescent="0.3">
      <c r="A1763" t="s">
        <v>1871</v>
      </c>
      <c r="B1763" t="s">
        <v>25</v>
      </c>
      <c r="C1763" s="1">
        <v>45383</v>
      </c>
      <c r="D1763" s="2">
        <f>YEAR(Table1[[#This Row],[PurchaseDate]])</f>
        <v>2024</v>
      </c>
      <c r="E1763" s="2" t="str">
        <f>"Q"&amp;ROUNDUP(MONTH(Table1[[#This Row],[PurchaseDate]])/3,0)</f>
        <v>Q2</v>
      </c>
      <c r="F1763" s="2">
        <f>MONTH(Table1[[#This Row],[PurchaseDate]])</f>
        <v>4</v>
      </c>
      <c r="G1763" s="2" t="str">
        <f>TEXT(Table1[[#This Row],[PurchaseDate]],"MMM")</f>
        <v>Apr</v>
      </c>
      <c r="H1763">
        <v>5</v>
      </c>
      <c r="I1763">
        <v>321.10000000000002</v>
      </c>
      <c r="J1763" t="s">
        <v>1872</v>
      </c>
      <c r="K1763" t="s">
        <v>38</v>
      </c>
      <c r="L1763" t="s">
        <v>23</v>
      </c>
      <c r="M1763">
        <v>2</v>
      </c>
      <c r="N1763">
        <v>1605.5</v>
      </c>
    </row>
    <row r="1764" spans="1:14" x14ac:dyDescent="0.3">
      <c r="A1764" t="s">
        <v>3247</v>
      </c>
      <c r="B1764" t="s">
        <v>25</v>
      </c>
      <c r="C1764" s="1">
        <v>44972</v>
      </c>
      <c r="D1764" s="2">
        <f>YEAR(Table1[[#This Row],[PurchaseDate]])</f>
        <v>2023</v>
      </c>
      <c r="E1764" s="2" t="str">
        <f>"Q"&amp;ROUNDUP(MONTH(Table1[[#This Row],[PurchaseDate]])/3,0)</f>
        <v>Q1</v>
      </c>
      <c r="F1764" s="2">
        <f>MONTH(Table1[[#This Row],[PurchaseDate]])</f>
        <v>2</v>
      </c>
      <c r="G1764" s="2" t="str">
        <f>TEXT(Table1[[#This Row],[PurchaseDate]],"MMM")</f>
        <v>Feb</v>
      </c>
      <c r="H1764">
        <v>8</v>
      </c>
      <c r="I1764">
        <v>219.37</v>
      </c>
      <c r="J1764" t="s">
        <v>3248</v>
      </c>
      <c r="K1764" t="s">
        <v>18</v>
      </c>
      <c r="L1764" t="s">
        <v>27</v>
      </c>
      <c r="M1764">
        <v>1</v>
      </c>
      <c r="N1764">
        <v>1754.96</v>
      </c>
    </row>
    <row r="1765" spans="1:14" x14ac:dyDescent="0.3">
      <c r="A1765" t="s">
        <v>3249</v>
      </c>
      <c r="B1765" t="s">
        <v>34</v>
      </c>
      <c r="C1765" s="1">
        <v>45708</v>
      </c>
      <c r="D1765" s="2">
        <f>YEAR(Table1[[#This Row],[PurchaseDate]])</f>
        <v>2025</v>
      </c>
      <c r="E1765" s="2" t="str">
        <f>"Q"&amp;ROUNDUP(MONTH(Table1[[#This Row],[PurchaseDate]])/3,0)</f>
        <v>Q1</v>
      </c>
      <c r="F1765" s="2">
        <f>MONTH(Table1[[#This Row],[PurchaseDate]])</f>
        <v>2</v>
      </c>
      <c r="G1765" s="2" t="str">
        <f>TEXT(Table1[[#This Row],[PurchaseDate]],"MMM")</f>
        <v>Feb</v>
      </c>
      <c r="H1765">
        <v>8</v>
      </c>
      <c r="I1765">
        <v>670.57</v>
      </c>
      <c r="J1765" t="s">
        <v>3250</v>
      </c>
      <c r="K1765" t="s">
        <v>18</v>
      </c>
      <c r="L1765" t="s">
        <v>23</v>
      </c>
      <c r="M1765">
        <v>5</v>
      </c>
      <c r="N1765">
        <v>5364.56</v>
      </c>
    </row>
    <row r="1766" spans="1:14" x14ac:dyDescent="0.3">
      <c r="A1766" t="s">
        <v>3251</v>
      </c>
      <c r="B1766" t="s">
        <v>34</v>
      </c>
      <c r="C1766" s="1">
        <v>45115</v>
      </c>
      <c r="D1766" s="2">
        <f>YEAR(Table1[[#This Row],[PurchaseDate]])</f>
        <v>2023</v>
      </c>
      <c r="E1766" s="2" t="str">
        <f>"Q"&amp;ROUNDUP(MONTH(Table1[[#This Row],[PurchaseDate]])/3,0)</f>
        <v>Q3</v>
      </c>
      <c r="F1766" s="2">
        <f>MONTH(Table1[[#This Row],[PurchaseDate]])</f>
        <v>7</v>
      </c>
      <c r="G1766" s="2" t="str">
        <f>TEXT(Table1[[#This Row],[PurchaseDate]],"MMM")</f>
        <v>Jul</v>
      </c>
      <c r="H1766">
        <v>1</v>
      </c>
      <c r="I1766">
        <v>295.56</v>
      </c>
      <c r="J1766" t="s">
        <v>3252</v>
      </c>
      <c r="K1766" t="s">
        <v>38</v>
      </c>
      <c r="L1766" t="s">
        <v>58</v>
      </c>
      <c r="M1766">
        <v>2</v>
      </c>
      <c r="N1766">
        <v>295.56</v>
      </c>
    </row>
    <row r="1767" spans="1:14" x14ac:dyDescent="0.3">
      <c r="A1767" t="s">
        <v>3253</v>
      </c>
      <c r="B1767" t="s">
        <v>42</v>
      </c>
      <c r="C1767" s="1">
        <v>44967</v>
      </c>
      <c r="D1767" s="2">
        <f>YEAR(Table1[[#This Row],[PurchaseDate]])</f>
        <v>2023</v>
      </c>
      <c r="E1767" s="2" t="str">
        <f>"Q"&amp;ROUNDUP(MONTH(Table1[[#This Row],[PurchaseDate]])/3,0)</f>
        <v>Q1</v>
      </c>
      <c r="F1767" s="2">
        <f>MONTH(Table1[[#This Row],[PurchaseDate]])</f>
        <v>2</v>
      </c>
      <c r="G1767" s="2" t="str">
        <f>TEXT(Table1[[#This Row],[PurchaseDate]],"MMM")</f>
        <v>Feb</v>
      </c>
      <c r="H1767">
        <v>1</v>
      </c>
      <c r="I1767">
        <v>719.55</v>
      </c>
      <c r="J1767" t="s">
        <v>3254</v>
      </c>
      <c r="K1767" t="s">
        <v>18</v>
      </c>
      <c r="L1767" t="s">
        <v>14</v>
      </c>
      <c r="M1767">
        <v>3</v>
      </c>
      <c r="N1767">
        <v>719.55</v>
      </c>
    </row>
    <row r="1768" spans="1:14" x14ac:dyDescent="0.3">
      <c r="A1768" t="s">
        <v>3255</v>
      </c>
      <c r="B1768" t="s">
        <v>29</v>
      </c>
      <c r="C1768" s="1">
        <v>45490</v>
      </c>
      <c r="D1768" s="2">
        <f>YEAR(Table1[[#This Row],[PurchaseDate]])</f>
        <v>2024</v>
      </c>
      <c r="E1768" s="2" t="str">
        <f>"Q"&amp;ROUNDUP(MONTH(Table1[[#This Row],[PurchaseDate]])/3,0)</f>
        <v>Q3</v>
      </c>
      <c r="F1768" s="2">
        <f>MONTH(Table1[[#This Row],[PurchaseDate]])</f>
        <v>7</v>
      </c>
      <c r="G1768" s="2" t="str">
        <f>TEXT(Table1[[#This Row],[PurchaseDate]],"MMM")</f>
        <v>Jul</v>
      </c>
      <c r="H1768">
        <v>5</v>
      </c>
      <c r="I1768">
        <v>736.19</v>
      </c>
      <c r="J1768" t="s">
        <v>3256</v>
      </c>
      <c r="K1768" t="s">
        <v>38</v>
      </c>
      <c r="L1768" t="s">
        <v>58</v>
      </c>
      <c r="M1768">
        <v>3</v>
      </c>
      <c r="N1768">
        <v>3680.95</v>
      </c>
    </row>
    <row r="1769" spans="1:14" x14ac:dyDescent="0.3">
      <c r="A1769" t="s">
        <v>1939</v>
      </c>
      <c r="B1769" t="s">
        <v>11</v>
      </c>
      <c r="C1769" s="1">
        <v>45064</v>
      </c>
      <c r="D1769" s="2">
        <f>YEAR(Table1[[#This Row],[PurchaseDate]])</f>
        <v>2023</v>
      </c>
      <c r="E1769" s="2" t="str">
        <f>"Q"&amp;ROUNDUP(MONTH(Table1[[#This Row],[PurchaseDate]])/3,0)</f>
        <v>Q2</v>
      </c>
      <c r="F1769" s="2">
        <f>MONTH(Table1[[#This Row],[PurchaseDate]])</f>
        <v>5</v>
      </c>
      <c r="G1769" s="2" t="str">
        <f>TEXT(Table1[[#This Row],[PurchaseDate]],"MMM")</f>
        <v>May</v>
      </c>
      <c r="H1769">
        <v>6</v>
      </c>
      <c r="I1769">
        <v>520.86</v>
      </c>
      <c r="J1769" t="s">
        <v>1940</v>
      </c>
      <c r="K1769" t="s">
        <v>38</v>
      </c>
      <c r="L1769" t="s">
        <v>58</v>
      </c>
      <c r="M1769">
        <v>1</v>
      </c>
      <c r="N1769">
        <v>3125.16</v>
      </c>
    </row>
    <row r="1770" spans="1:14" x14ac:dyDescent="0.3">
      <c r="A1770" t="s">
        <v>3257</v>
      </c>
      <c r="B1770" t="s">
        <v>21</v>
      </c>
      <c r="C1770" s="1">
        <v>45394</v>
      </c>
      <c r="D1770" s="2">
        <f>YEAR(Table1[[#This Row],[PurchaseDate]])</f>
        <v>2024</v>
      </c>
      <c r="E1770" s="2" t="str">
        <f>"Q"&amp;ROUNDUP(MONTH(Table1[[#This Row],[PurchaseDate]])/3,0)</f>
        <v>Q2</v>
      </c>
      <c r="F1770" s="2">
        <f>MONTH(Table1[[#This Row],[PurchaseDate]])</f>
        <v>4</v>
      </c>
      <c r="G1770" s="2" t="str">
        <f>TEXT(Table1[[#This Row],[PurchaseDate]],"MMM")</f>
        <v>Apr</v>
      </c>
      <c r="H1770">
        <v>6</v>
      </c>
      <c r="I1770">
        <v>234.97</v>
      </c>
      <c r="J1770" t="s">
        <v>3258</v>
      </c>
      <c r="K1770" t="s">
        <v>13</v>
      </c>
      <c r="L1770" t="s">
        <v>14</v>
      </c>
      <c r="M1770">
        <v>3</v>
      </c>
      <c r="N1770">
        <v>1409.82</v>
      </c>
    </row>
    <row r="1771" spans="1:14" x14ac:dyDescent="0.3">
      <c r="A1771" t="s">
        <v>3259</v>
      </c>
      <c r="B1771" t="s">
        <v>34</v>
      </c>
      <c r="C1771" s="1">
        <v>45591</v>
      </c>
      <c r="D1771" s="2">
        <f>YEAR(Table1[[#This Row],[PurchaseDate]])</f>
        <v>2024</v>
      </c>
      <c r="E1771" s="2" t="str">
        <f>"Q"&amp;ROUNDUP(MONTH(Table1[[#This Row],[PurchaseDate]])/3,0)</f>
        <v>Q4</v>
      </c>
      <c r="F1771" s="2">
        <f>MONTH(Table1[[#This Row],[PurchaseDate]])</f>
        <v>10</v>
      </c>
      <c r="G1771" s="2" t="str">
        <f>TEXT(Table1[[#This Row],[PurchaseDate]],"MMM")</f>
        <v>Oct</v>
      </c>
      <c r="H1771">
        <v>3</v>
      </c>
      <c r="I1771">
        <v>554.78</v>
      </c>
      <c r="J1771" t="s">
        <v>3260</v>
      </c>
      <c r="K1771" t="s">
        <v>18</v>
      </c>
      <c r="L1771" t="s">
        <v>58</v>
      </c>
      <c r="M1771">
        <v>1</v>
      </c>
      <c r="N1771">
        <v>1664.34</v>
      </c>
    </row>
    <row r="1772" spans="1:14" x14ac:dyDescent="0.3">
      <c r="A1772" t="s">
        <v>2999</v>
      </c>
      <c r="B1772" t="s">
        <v>16</v>
      </c>
      <c r="C1772" s="1">
        <v>45234</v>
      </c>
      <c r="D1772" s="2">
        <f>YEAR(Table1[[#This Row],[PurchaseDate]])</f>
        <v>2023</v>
      </c>
      <c r="E1772" s="2" t="str">
        <f>"Q"&amp;ROUNDUP(MONTH(Table1[[#This Row],[PurchaseDate]])/3,0)</f>
        <v>Q4</v>
      </c>
      <c r="F1772" s="2">
        <f>MONTH(Table1[[#This Row],[PurchaseDate]])</f>
        <v>11</v>
      </c>
      <c r="G1772" s="2" t="str">
        <f>TEXT(Table1[[#This Row],[PurchaseDate]],"MMM")</f>
        <v>Nov</v>
      </c>
      <c r="H1772">
        <v>5</v>
      </c>
      <c r="I1772">
        <v>145.88999999999999</v>
      </c>
      <c r="J1772" t="s">
        <v>3000</v>
      </c>
      <c r="K1772" t="s">
        <v>18</v>
      </c>
      <c r="L1772" t="s">
        <v>19</v>
      </c>
      <c r="M1772">
        <v>5</v>
      </c>
      <c r="N1772">
        <v>729.45</v>
      </c>
    </row>
    <row r="1773" spans="1:14" x14ac:dyDescent="0.3">
      <c r="A1773" t="s">
        <v>385</v>
      </c>
      <c r="B1773" t="s">
        <v>29</v>
      </c>
      <c r="C1773" s="1">
        <v>45633</v>
      </c>
      <c r="D1773" s="2">
        <f>YEAR(Table1[[#This Row],[PurchaseDate]])</f>
        <v>2024</v>
      </c>
      <c r="E1773" s="2" t="str">
        <f>"Q"&amp;ROUNDUP(MONTH(Table1[[#This Row],[PurchaseDate]])/3,0)</f>
        <v>Q4</v>
      </c>
      <c r="F1773" s="2">
        <f>MONTH(Table1[[#This Row],[PurchaseDate]])</f>
        <v>12</v>
      </c>
      <c r="G1773" s="2" t="str">
        <f>TEXT(Table1[[#This Row],[PurchaseDate]],"MMM")</f>
        <v>Dec</v>
      </c>
      <c r="H1773">
        <v>4</v>
      </c>
      <c r="I1773">
        <v>82.16</v>
      </c>
      <c r="J1773" t="s">
        <v>386</v>
      </c>
      <c r="K1773" t="s">
        <v>38</v>
      </c>
      <c r="L1773" t="s">
        <v>19</v>
      </c>
      <c r="M1773">
        <v>4</v>
      </c>
      <c r="N1773">
        <v>328.64</v>
      </c>
    </row>
    <row r="1774" spans="1:14" x14ac:dyDescent="0.3">
      <c r="A1774" t="s">
        <v>3261</v>
      </c>
      <c r="B1774" t="s">
        <v>34</v>
      </c>
      <c r="C1774" s="1">
        <v>45524</v>
      </c>
      <c r="D1774" s="2">
        <f>YEAR(Table1[[#This Row],[PurchaseDate]])</f>
        <v>2024</v>
      </c>
      <c r="E1774" s="2" t="str">
        <f>"Q"&amp;ROUNDUP(MONTH(Table1[[#This Row],[PurchaseDate]])/3,0)</f>
        <v>Q3</v>
      </c>
      <c r="F1774" s="2">
        <f>MONTH(Table1[[#This Row],[PurchaseDate]])</f>
        <v>8</v>
      </c>
      <c r="G1774" s="2" t="str">
        <f>TEXT(Table1[[#This Row],[PurchaseDate]],"MMM")</f>
        <v>Aug</v>
      </c>
      <c r="H1774">
        <v>1</v>
      </c>
      <c r="I1774">
        <v>297.06</v>
      </c>
      <c r="J1774" t="s">
        <v>3262</v>
      </c>
      <c r="K1774" t="s">
        <v>13</v>
      </c>
      <c r="L1774" t="s">
        <v>58</v>
      </c>
      <c r="M1774">
        <v>2</v>
      </c>
      <c r="N1774">
        <v>297.06</v>
      </c>
    </row>
    <row r="1775" spans="1:14" x14ac:dyDescent="0.3">
      <c r="A1775" t="s">
        <v>3263</v>
      </c>
      <c r="B1775" t="s">
        <v>42</v>
      </c>
      <c r="C1775" s="1">
        <v>45133</v>
      </c>
      <c r="D1775" s="2">
        <f>YEAR(Table1[[#This Row],[PurchaseDate]])</f>
        <v>2023</v>
      </c>
      <c r="E1775" s="2" t="str">
        <f>"Q"&amp;ROUNDUP(MONTH(Table1[[#This Row],[PurchaseDate]])/3,0)</f>
        <v>Q3</v>
      </c>
      <c r="F1775" s="2">
        <f>MONTH(Table1[[#This Row],[PurchaseDate]])</f>
        <v>7</v>
      </c>
      <c r="G1775" s="2" t="str">
        <f>TEXT(Table1[[#This Row],[PurchaseDate]],"MMM")</f>
        <v>Jul</v>
      </c>
      <c r="H1775">
        <v>6</v>
      </c>
      <c r="I1775">
        <v>493.21</v>
      </c>
      <c r="J1775" t="s">
        <v>3264</v>
      </c>
      <c r="K1775" t="s">
        <v>13</v>
      </c>
      <c r="L1775" t="s">
        <v>14</v>
      </c>
      <c r="M1775">
        <v>5</v>
      </c>
      <c r="N1775">
        <v>2959.26</v>
      </c>
    </row>
    <row r="1776" spans="1:14" x14ac:dyDescent="0.3">
      <c r="A1776" t="s">
        <v>3265</v>
      </c>
      <c r="B1776" t="s">
        <v>29</v>
      </c>
      <c r="C1776" s="1">
        <v>45183</v>
      </c>
      <c r="D1776" s="2">
        <f>YEAR(Table1[[#This Row],[PurchaseDate]])</f>
        <v>2023</v>
      </c>
      <c r="E1776" s="2" t="str">
        <f>"Q"&amp;ROUNDUP(MONTH(Table1[[#This Row],[PurchaseDate]])/3,0)</f>
        <v>Q3</v>
      </c>
      <c r="F1776" s="2">
        <f>MONTH(Table1[[#This Row],[PurchaseDate]])</f>
        <v>9</v>
      </c>
      <c r="G1776" s="2" t="str">
        <f>TEXT(Table1[[#This Row],[PurchaseDate]],"MMM")</f>
        <v>Sep</v>
      </c>
      <c r="H1776">
        <v>1</v>
      </c>
      <c r="I1776">
        <v>317.56</v>
      </c>
      <c r="J1776" t="s">
        <v>3266</v>
      </c>
      <c r="K1776" t="s">
        <v>38</v>
      </c>
      <c r="L1776" t="s">
        <v>19</v>
      </c>
      <c r="M1776">
        <v>5</v>
      </c>
      <c r="N1776">
        <v>317.56</v>
      </c>
    </row>
    <row r="1777" spans="1:14" x14ac:dyDescent="0.3">
      <c r="A1777" t="s">
        <v>3267</v>
      </c>
      <c r="B1777" t="s">
        <v>25</v>
      </c>
      <c r="C1777" s="1">
        <v>45389</v>
      </c>
      <c r="D1777" s="2">
        <f>YEAR(Table1[[#This Row],[PurchaseDate]])</f>
        <v>2024</v>
      </c>
      <c r="E1777" s="2" t="str">
        <f>"Q"&amp;ROUNDUP(MONTH(Table1[[#This Row],[PurchaseDate]])/3,0)</f>
        <v>Q2</v>
      </c>
      <c r="F1777" s="2">
        <f>MONTH(Table1[[#This Row],[PurchaseDate]])</f>
        <v>4</v>
      </c>
      <c r="G1777" s="2" t="str">
        <f>TEXT(Table1[[#This Row],[PurchaseDate]],"MMM")</f>
        <v>Apr</v>
      </c>
      <c r="H1777">
        <v>8</v>
      </c>
      <c r="I1777">
        <v>588.39</v>
      </c>
      <c r="J1777" t="s">
        <v>3268</v>
      </c>
      <c r="K1777" t="s">
        <v>13</v>
      </c>
      <c r="L1777" t="s">
        <v>27</v>
      </c>
      <c r="M1777">
        <v>2</v>
      </c>
      <c r="N1777">
        <v>4707.12</v>
      </c>
    </row>
    <row r="1778" spans="1:14" x14ac:dyDescent="0.3">
      <c r="A1778" t="s">
        <v>721</v>
      </c>
      <c r="B1778" t="s">
        <v>29</v>
      </c>
      <c r="C1778" s="1">
        <v>45410</v>
      </c>
      <c r="D1778" s="2">
        <f>YEAR(Table1[[#This Row],[PurchaseDate]])</f>
        <v>2024</v>
      </c>
      <c r="E1778" s="2" t="str">
        <f>"Q"&amp;ROUNDUP(MONTH(Table1[[#This Row],[PurchaseDate]])/3,0)</f>
        <v>Q2</v>
      </c>
      <c r="F1778" s="2">
        <f>MONTH(Table1[[#This Row],[PurchaseDate]])</f>
        <v>4</v>
      </c>
      <c r="G1778" s="2" t="str">
        <f>TEXT(Table1[[#This Row],[PurchaseDate]],"MMM")</f>
        <v>Apr</v>
      </c>
      <c r="H1778">
        <v>6</v>
      </c>
      <c r="I1778">
        <v>767.89</v>
      </c>
      <c r="J1778" t="s">
        <v>722</v>
      </c>
      <c r="K1778" t="s">
        <v>13</v>
      </c>
      <c r="L1778" t="s">
        <v>14</v>
      </c>
      <c r="M1778">
        <v>3</v>
      </c>
      <c r="N1778">
        <v>4607.34</v>
      </c>
    </row>
    <row r="1779" spans="1:14" x14ac:dyDescent="0.3">
      <c r="A1779" t="s">
        <v>3269</v>
      </c>
      <c r="B1779" t="s">
        <v>16</v>
      </c>
      <c r="C1779" s="1">
        <v>45523</v>
      </c>
      <c r="D1779" s="2">
        <f>YEAR(Table1[[#This Row],[PurchaseDate]])</f>
        <v>2024</v>
      </c>
      <c r="E1779" s="2" t="str">
        <f>"Q"&amp;ROUNDUP(MONTH(Table1[[#This Row],[PurchaseDate]])/3,0)</f>
        <v>Q3</v>
      </c>
      <c r="F1779" s="2">
        <f>MONTH(Table1[[#This Row],[PurchaseDate]])</f>
        <v>8</v>
      </c>
      <c r="G1779" s="2" t="str">
        <f>TEXT(Table1[[#This Row],[PurchaseDate]],"MMM")</f>
        <v>Aug</v>
      </c>
      <c r="H1779">
        <v>8</v>
      </c>
      <c r="I1779">
        <v>531.66</v>
      </c>
      <c r="J1779" t="s">
        <v>3270</v>
      </c>
      <c r="K1779" t="s">
        <v>38</v>
      </c>
      <c r="L1779" t="s">
        <v>58</v>
      </c>
      <c r="M1779">
        <v>3</v>
      </c>
      <c r="N1779">
        <v>4253.28</v>
      </c>
    </row>
    <row r="1780" spans="1:14" x14ac:dyDescent="0.3">
      <c r="A1780" t="s">
        <v>3271</v>
      </c>
      <c r="B1780" t="s">
        <v>29</v>
      </c>
      <c r="C1780" s="1">
        <v>45269</v>
      </c>
      <c r="D1780" s="2">
        <f>YEAR(Table1[[#This Row],[PurchaseDate]])</f>
        <v>2023</v>
      </c>
      <c r="E1780" s="2" t="str">
        <f>"Q"&amp;ROUNDUP(MONTH(Table1[[#This Row],[PurchaseDate]])/3,0)</f>
        <v>Q4</v>
      </c>
      <c r="F1780" s="2">
        <f>MONTH(Table1[[#This Row],[PurchaseDate]])</f>
        <v>12</v>
      </c>
      <c r="G1780" s="2" t="str">
        <f>TEXT(Table1[[#This Row],[PurchaseDate]],"MMM")</f>
        <v>Dec</v>
      </c>
      <c r="H1780">
        <v>5</v>
      </c>
      <c r="I1780">
        <v>127.17</v>
      </c>
      <c r="J1780" t="s">
        <v>3272</v>
      </c>
      <c r="K1780" t="s">
        <v>18</v>
      </c>
      <c r="L1780" t="s">
        <v>23</v>
      </c>
      <c r="M1780">
        <v>5</v>
      </c>
      <c r="N1780">
        <v>635.85</v>
      </c>
    </row>
    <row r="1781" spans="1:14" x14ac:dyDescent="0.3">
      <c r="A1781" t="s">
        <v>3273</v>
      </c>
      <c r="B1781" t="s">
        <v>16</v>
      </c>
      <c r="C1781" s="1">
        <v>45247</v>
      </c>
      <c r="D1781" s="2">
        <f>YEAR(Table1[[#This Row],[PurchaseDate]])</f>
        <v>2023</v>
      </c>
      <c r="E1781" s="2" t="str">
        <f>"Q"&amp;ROUNDUP(MONTH(Table1[[#This Row],[PurchaseDate]])/3,0)</f>
        <v>Q4</v>
      </c>
      <c r="F1781" s="2">
        <f>MONTH(Table1[[#This Row],[PurchaseDate]])</f>
        <v>11</v>
      </c>
      <c r="G1781" s="2" t="str">
        <f>TEXT(Table1[[#This Row],[PurchaseDate]],"MMM")</f>
        <v>Nov</v>
      </c>
      <c r="H1781">
        <v>8</v>
      </c>
      <c r="I1781">
        <v>52.24</v>
      </c>
      <c r="J1781" t="s">
        <v>3274</v>
      </c>
      <c r="K1781" t="s">
        <v>13</v>
      </c>
      <c r="L1781" t="s">
        <v>19</v>
      </c>
      <c r="M1781">
        <v>2</v>
      </c>
      <c r="N1781">
        <v>417.92</v>
      </c>
    </row>
    <row r="1782" spans="1:14" x14ac:dyDescent="0.3">
      <c r="A1782" t="s">
        <v>3275</v>
      </c>
      <c r="B1782" t="s">
        <v>25</v>
      </c>
      <c r="C1782" s="1">
        <v>45038</v>
      </c>
      <c r="D1782" s="2">
        <f>YEAR(Table1[[#This Row],[PurchaseDate]])</f>
        <v>2023</v>
      </c>
      <c r="E1782" s="2" t="str">
        <f>"Q"&amp;ROUNDUP(MONTH(Table1[[#This Row],[PurchaseDate]])/3,0)</f>
        <v>Q2</v>
      </c>
      <c r="F1782" s="2">
        <f>MONTH(Table1[[#This Row],[PurchaseDate]])</f>
        <v>4</v>
      </c>
      <c r="G1782" s="2" t="str">
        <f>TEXT(Table1[[#This Row],[PurchaseDate]],"MMM")</f>
        <v>Apr</v>
      </c>
      <c r="H1782">
        <v>7</v>
      </c>
      <c r="I1782">
        <v>127.4</v>
      </c>
      <c r="J1782" t="s">
        <v>3276</v>
      </c>
      <c r="K1782" t="s">
        <v>13</v>
      </c>
      <c r="L1782" t="s">
        <v>58</v>
      </c>
      <c r="M1782">
        <v>3</v>
      </c>
      <c r="N1782">
        <v>891.8</v>
      </c>
    </row>
    <row r="1783" spans="1:14" x14ac:dyDescent="0.3">
      <c r="A1783" t="s">
        <v>3277</v>
      </c>
      <c r="B1783" t="s">
        <v>34</v>
      </c>
      <c r="C1783" s="1">
        <v>45701</v>
      </c>
      <c r="D1783" s="2">
        <f>YEAR(Table1[[#This Row],[PurchaseDate]])</f>
        <v>2025</v>
      </c>
      <c r="E1783" s="2" t="str">
        <f>"Q"&amp;ROUNDUP(MONTH(Table1[[#This Row],[PurchaseDate]])/3,0)</f>
        <v>Q1</v>
      </c>
      <c r="F1783" s="2">
        <f>MONTH(Table1[[#This Row],[PurchaseDate]])</f>
        <v>2</v>
      </c>
      <c r="G1783" s="2" t="str">
        <f>TEXT(Table1[[#This Row],[PurchaseDate]],"MMM")</f>
        <v>Feb</v>
      </c>
      <c r="H1783">
        <v>1</v>
      </c>
      <c r="I1783">
        <v>117.5</v>
      </c>
      <c r="J1783" t="s">
        <v>3278</v>
      </c>
      <c r="K1783" t="s">
        <v>13</v>
      </c>
      <c r="L1783" t="s">
        <v>19</v>
      </c>
      <c r="M1783">
        <v>5</v>
      </c>
      <c r="N1783">
        <v>117.5</v>
      </c>
    </row>
    <row r="1784" spans="1:14" x14ac:dyDescent="0.3">
      <c r="A1784" t="s">
        <v>3279</v>
      </c>
      <c r="B1784" t="s">
        <v>11</v>
      </c>
      <c r="C1784" s="1">
        <v>45453</v>
      </c>
      <c r="D1784" s="2">
        <f>YEAR(Table1[[#This Row],[PurchaseDate]])</f>
        <v>2024</v>
      </c>
      <c r="E1784" s="2" t="str">
        <f>"Q"&amp;ROUNDUP(MONTH(Table1[[#This Row],[PurchaseDate]])/3,0)</f>
        <v>Q2</v>
      </c>
      <c r="F1784" s="2">
        <f>MONTH(Table1[[#This Row],[PurchaseDate]])</f>
        <v>6</v>
      </c>
      <c r="G1784" s="2" t="str">
        <f>TEXT(Table1[[#This Row],[PurchaseDate]],"MMM")</f>
        <v>Jun</v>
      </c>
      <c r="H1784">
        <v>7</v>
      </c>
      <c r="I1784">
        <v>25.92</v>
      </c>
      <c r="J1784" t="s">
        <v>3280</v>
      </c>
      <c r="K1784" t="s">
        <v>38</v>
      </c>
      <c r="L1784" t="s">
        <v>19</v>
      </c>
      <c r="M1784">
        <v>3</v>
      </c>
      <c r="N1784">
        <v>181.44</v>
      </c>
    </row>
    <row r="1785" spans="1:14" x14ac:dyDescent="0.3">
      <c r="A1785" t="s">
        <v>3281</v>
      </c>
      <c r="B1785" t="s">
        <v>11</v>
      </c>
      <c r="C1785" s="1">
        <v>45586</v>
      </c>
      <c r="D1785" s="2">
        <f>YEAR(Table1[[#This Row],[PurchaseDate]])</f>
        <v>2024</v>
      </c>
      <c r="E1785" s="2" t="str">
        <f>"Q"&amp;ROUNDUP(MONTH(Table1[[#This Row],[PurchaseDate]])/3,0)</f>
        <v>Q4</v>
      </c>
      <c r="F1785" s="2">
        <f>MONTH(Table1[[#This Row],[PurchaseDate]])</f>
        <v>10</v>
      </c>
      <c r="G1785" s="2" t="str">
        <f>TEXT(Table1[[#This Row],[PurchaseDate]],"MMM")</f>
        <v>Oct</v>
      </c>
      <c r="H1785">
        <v>3</v>
      </c>
      <c r="I1785">
        <v>731.78</v>
      </c>
      <c r="J1785" t="s">
        <v>3282</v>
      </c>
      <c r="K1785" t="s">
        <v>18</v>
      </c>
      <c r="L1785" t="s">
        <v>23</v>
      </c>
      <c r="M1785">
        <v>1</v>
      </c>
      <c r="N1785">
        <v>2195.34</v>
      </c>
    </row>
    <row r="1786" spans="1:14" x14ac:dyDescent="0.3">
      <c r="A1786" t="s">
        <v>3283</v>
      </c>
      <c r="B1786" t="s">
        <v>29</v>
      </c>
      <c r="C1786" s="1">
        <v>45407</v>
      </c>
      <c r="D1786" s="2">
        <f>YEAR(Table1[[#This Row],[PurchaseDate]])</f>
        <v>2024</v>
      </c>
      <c r="E1786" s="2" t="str">
        <f>"Q"&amp;ROUNDUP(MONTH(Table1[[#This Row],[PurchaseDate]])/3,0)</f>
        <v>Q2</v>
      </c>
      <c r="F1786" s="2">
        <f>MONTH(Table1[[#This Row],[PurchaseDate]])</f>
        <v>4</v>
      </c>
      <c r="G1786" s="2" t="str">
        <f>TEXT(Table1[[#This Row],[PurchaseDate]],"MMM")</f>
        <v>Apr</v>
      </c>
      <c r="H1786">
        <v>7</v>
      </c>
      <c r="I1786">
        <v>676.7</v>
      </c>
      <c r="J1786" t="s">
        <v>3284</v>
      </c>
      <c r="K1786" t="s">
        <v>13</v>
      </c>
      <c r="L1786" t="s">
        <v>58</v>
      </c>
      <c r="M1786">
        <v>2</v>
      </c>
      <c r="N1786">
        <v>4736.8999999999996</v>
      </c>
    </row>
    <row r="1787" spans="1:14" x14ac:dyDescent="0.3">
      <c r="A1787" t="s">
        <v>3285</v>
      </c>
      <c r="B1787" t="s">
        <v>42</v>
      </c>
      <c r="C1787" s="1">
        <v>45577</v>
      </c>
      <c r="D1787" s="2">
        <f>YEAR(Table1[[#This Row],[PurchaseDate]])</f>
        <v>2024</v>
      </c>
      <c r="E1787" s="2" t="str">
        <f>"Q"&amp;ROUNDUP(MONTH(Table1[[#This Row],[PurchaseDate]])/3,0)</f>
        <v>Q4</v>
      </c>
      <c r="F1787" s="2">
        <f>MONTH(Table1[[#This Row],[PurchaseDate]])</f>
        <v>10</v>
      </c>
      <c r="G1787" s="2" t="str">
        <f>TEXT(Table1[[#This Row],[PurchaseDate]],"MMM")</f>
        <v>Oct</v>
      </c>
      <c r="H1787">
        <v>6</v>
      </c>
      <c r="I1787">
        <v>437.5</v>
      </c>
      <c r="J1787" t="s">
        <v>3286</v>
      </c>
      <c r="K1787" t="s">
        <v>18</v>
      </c>
      <c r="L1787" t="s">
        <v>14</v>
      </c>
      <c r="M1787">
        <v>2</v>
      </c>
      <c r="N1787">
        <v>2625</v>
      </c>
    </row>
    <row r="1788" spans="1:14" x14ac:dyDescent="0.3">
      <c r="A1788" t="s">
        <v>3287</v>
      </c>
      <c r="B1788" t="s">
        <v>21</v>
      </c>
      <c r="C1788" s="1">
        <v>45262</v>
      </c>
      <c r="D1788" s="2">
        <f>YEAR(Table1[[#This Row],[PurchaseDate]])</f>
        <v>2023</v>
      </c>
      <c r="E1788" s="2" t="str">
        <f>"Q"&amp;ROUNDUP(MONTH(Table1[[#This Row],[PurchaseDate]])/3,0)</f>
        <v>Q4</v>
      </c>
      <c r="F1788" s="2">
        <f>MONTH(Table1[[#This Row],[PurchaseDate]])</f>
        <v>12</v>
      </c>
      <c r="G1788" s="2" t="str">
        <f>TEXT(Table1[[#This Row],[PurchaseDate]],"MMM")</f>
        <v>Dec</v>
      </c>
      <c r="H1788">
        <v>1</v>
      </c>
      <c r="I1788">
        <v>72.650000000000006</v>
      </c>
      <c r="J1788" t="s">
        <v>3288</v>
      </c>
      <c r="K1788" t="s">
        <v>18</v>
      </c>
      <c r="L1788" t="s">
        <v>14</v>
      </c>
      <c r="M1788">
        <v>2</v>
      </c>
      <c r="N1788">
        <v>72.650000000000006</v>
      </c>
    </row>
    <row r="1789" spans="1:14" x14ac:dyDescent="0.3">
      <c r="A1789" t="s">
        <v>3289</v>
      </c>
      <c r="B1789" t="s">
        <v>42</v>
      </c>
      <c r="C1789" s="1">
        <v>45250</v>
      </c>
      <c r="D1789" s="2">
        <f>YEAR(Table1[[#This Row],[PurchaseDate]])</f>
        <v>2023</v>
      </c>
      <c r="E1789" s="2" t="str">
        <f>"Q"&amp;ROUNDUP(MONTH(Table1[[#This Row],[PurchaseDate]])/3,0)</f>
        <v>Q4</v>
      </c>
      <c r="F1789" s="2">
        <f>MONTH(Table1[[#This Row],[PurchaseDate]])</f>
        <v>11</v>
      </c>
      <c r="G1789" s="2" t="str">
        <f>TEXT(Table1[[#This Row],[PurchaseDate]],"MMM")</f>
        <v>Nov</v>
      </c>
      <c r="H1789">
        <v>7</v>
      </c>
      <c r="I1789">
        <v>10.71</v>
      </c>
      <c r="J1789" t="s">
        <v>3290</v>
      </c>
      <c r="K1789" t="s">
        <v>38</v>
      </c>
      <c r="L1789" t="s">
        <v>23</v>
      </c>
      <c r="M1789">
        <v>2</v>
      </c>
      <c r="N1789">
        <v>74.97</v>
      </c>
    </row>
    <row r="1790" spans="1:14" x14ac:dyDescent="0.3">
      <c r="A1790" t="s">
        <v>2741</v>
      </c>
      <c r="B1790" t="s">
        <v>34</v>
      </c>
      <c r="C1790" s="1">
        <v>45536</v>
      </c>
      <c r="D1790" s="2">
        <f>YEAR(Table1[[#This Row],[PurchaseDate]])</f>
        <v>2024</v>
      </c>
      <c r="E1790" s="2" t="str">
        <f>"Q"&amp;ROUNDUP(MONTH(Table1[[#This Row],[PurchaseDate]])/3,0)</f>
        <v>Q3</v>
      </c>
      <c r="F1790" s="2">
        <f>MONTH(Table1[[#This Row],[PurchaseDate]])</f>
        <v>9</v>
      </c>
      <c r="G1790" s="2" t="str">
        <f>TEXT(Table1[[#This Row],[PurchaseDate]],"MMM")</f>
        <v>Sep</v>
      </c>
      <c r="H1790">
        <v>1</v>
      </c>
      <c r="I1790">
        <v>228.75</v>
      </c>
      <c r="J1790" t="s">
        <v>2742</v>
      </c>
      <c r="K1790" t="s">
        <v>18</v>
      </c>
      <c r="L1790" t="s">
        <v>23</v>
      </c>
      <c r="M1790">
        <v>5</v>
      </c>
      <c r="N1790">
        <v>228.75</v>
      </c>
    </row>
    <row r="1791" spans="1:14" x14ac:dyDescent="0.3">
      <c r="A1791" t="s">
        <v>3291</v>
      </c>
      <c r="B1791" t="s">
        <v>42</v>
      </c>
      <c r="C1791" s="1">
        <v>45669</v>
      </c>
      <c r="D1791" s="2">
        <f>YEAR(Table1[[#This Row],[PurchaseDate]])</f>
        <v>2025</v>
      </c>
      <c r="E1791" s="2" t="str">
        <f>"Q"&amp;ROUNDUP(MONTH(Table1[[#This Row],[PurchaseDate]])/3,0)</f>
        <v>Q1</v>
      </c>
      <c r="F1791" s="2">
        <f>MONTH(Table1[[#This Row],[PurchaseDate]])</f>
        <v>1</v>
      </c>
      <c r="G1791" s="2" t="str">
        <f>TEXT(Table1[[#This Row],[PurchaseDate]],"MMM")</f>
        <v>Jan</v>
      </c>
      <c r="H1791">
        <v>7</v>
      </c>
      <c r="I1791">
        <v>742.81</v>
      </c>
      <c r="J1791" t="s">
        <v>3292</v>
      </c>
      <c r="K1791" t="s">
        <v>18</v>
      </c>
      <c r="L1791" t="s">
        <v>23</v>
      </c>
      <c r="M1791">
        <v>2</v>
      </c>
      <c r="N1791">
        <v>5199.67</v>
      </c>
    </row>
    <row r="1792" spans="1:14" x14ac:dyDescent="0.3">
      <c r="A1792" t="s">
        <v>3293</v>
      </c>
      <c r="B1792" t="s">
        <v>34</v>
      </c>
      <c r="C1792" s="1">
        <v>45460</v>
      </c>
      <c r="D1792" s="2">
        <f>YEAR(Table1[[#This Row],[PurchaseDate]])</f>
        <v>2024</v>
      </c>
      <c r="E1792" s="2" t="str">
        <f>"Q"&amp;ROUNDUP(MONTH(Table1[[#This Row],[PurchaseDate]])/3,0)</f>
        <v>Q2</v>
      </c>
      <c r="F1792" s="2">
        <f>MONTH(Table1[[#This Row],[PurchaseDate]])</f>
        <v>6</v>
      </c>
      <c r="G1792" s="2" t="str">
        <f>TEXT(Table1[[#This Row],[PurchaseDate]],"MMM")</f>
        <v>Jun</v>
      </c>
      <c r="H1792">
        <v>6</v>
      </c>
      <c r="I1792">
        <v>520</v>
      </c>
      <c r="J1792" t="s">
        <v>3294</v>
      </c>
      <c r="K1792" t="s">
        <v>13</v>
      </c>
      <c r="L1792" t="s">
        <v>58</v>
      </c>
      <c r="M1792">
        <v>4</v>
      </c>
      <c r="N1792">
        <v>3120</v>
      </c>
    </row>
    <row r="1793" spans="1:14" x14ac:dyDescent="0.3">
      <c r="A1793" t="s">
        <v>3295</v>
      </c>
      <c r="B1793" t="s">
        <v>16</v>
      </c>
      <c r="C1793" s="1">
        <v>45460</v>
      </c>
      <c r="D1793" s="2">
        <f>YEAR(Table1[[#This Row],[PurchaseDate]])</f>
        <v>2024</v>
      </c>
      <c r="E1793" s="2" t="str">
        <f>"Q"&amp;ROUNDUP(MONTH(Table1[[#This Row],[PurchaseDate]])/3,0)</f>
        <v>Q2</v>
      </c>
      <c r="F1793" s="2">
        <f>MONTH(Table1[[#This Row],[PurchaseDate]])</f>
        <v>6</v>
      </c>
      <c r="G1793" s="2" t="str">
        <f>TEXT(Table1[[#This Row],[PurchaseDate]],"MMM")</f>
        <v>Jun</v>
      </c>
      <c r="H1793">
        <v>7</v>
      </c>
      <c r="I1793">
        <v>788.19</v>
      </c>
      <c r="J1793" t="s">
        <v>3296</v>
      </c>
      <c r="K1793" t="s">
        <v>38</v>
      </c>
      <c r="L1793" t="s">
        <v>19</v>
      </c>
      <c r="M1793">
        <v>5</v>
      </c>
      <c r="N1793">
        <v>5517.33</v>
      </c>
    </row>
    <row r="1794" spans="1:14" x14ac:dyDescent="0.3">
      <c r="A1794" t="s">
        <v>3297</v>
      </c>
      <c r="B1794" t="s">
        <v>29</v>
      </c>
      <c r="C1794" s="1">
        <v>45807</v>
      </c>
      <c r="D1794" s="2">
        <f>YEAR(Table1[[#This Row],[PurchaseDate]])</f>
        <v>2025</v>
      </c>
      <c r="E1794" s="2" t="str">
        <f>"Q"&amp;ROUNDUP(MONTH(Table1[[#This Row],[PurchaseDate]])/3,0)</f>
        <v>Q2</v>
      </c>
      <c r="F1794" s="2">
        <f>MONTH(Table1[[#This Row],[PurchaseDate]])</f>
        <v>5</v>
      </c>
      <c r="G1794" s="2" t="str">
        <f>TEXT(Table1[[#This Row],[PurchaseDate]],"MMM")</f>
        <v>May</v>
      </c>
      <c r="H1794">
        <v>7</v>
      </c>
      <c r="I1794">
        <v>677.52</v>
      </c>
      <c r="J1794" t="s">
        <v>3298</v>
      </c>
      <c r="K1794" t="s">
        <v>13</v>
      </c>
      <c r="L1794" t="s">
        <v>58</v>
      </c>
      <c r="M1794">
        <v>2</v>
      </c>
      <c r="N1794">
        <v>4742.6400000000003</v>
      </c>
    </row>
    <row r="1795" spans="1:14" x14ac:dyDescent="0.3">
      <c r="A1795" t="s">
        <v>3299</v>
      </c>
      <c r="B1795" t="s">
        <v>42</v>
      </c>
      <c r="C1795" s="1">
        <v>45536</v>
      </c>
      <c r="D1795" s="2">
        <f>YEAR(Table1[[#This Row],[PurchaseDate]])</f>
        <v>2024</v>
      </c>
      <c r="E1795" s="2" t="str">
        <f>"Q"&amp;ROUNDUP(MONTH(Table1[[#This Row],[PurchaseDate]])/3,0)</f>
        <v>Q3</v>
      </c>
      <c r="F1795" s="2">
        <f>MONTH(Table1[[#This Row],[PurchaseDate]])</f>
        <v>9</v>
      </c>
      <c r="G1795" s="2" t="str">
        <f>TEXT(Table1[[#This Row],[PurchaseDate]],"MMM")</f>
        <v>Sep</v>
      </c>
      <c r="H1795">
        <v>1</v>
      </c>
      <c r="I1795">
        <v>502.03</v>
      </c>
      <c r="J1795" t="s">
        <v>3300</v>
      </c>
      <c r="K1795" t="s">
        <v>13</v>
      </c>
      <c r="L1795" t="s">
        <v>14</v>
      </c>
      <c r="M1795">
        <v>5</v>
      </c>
      <c r="N1795">
        <v>502.03</v>
      </c>
    </row>
    <row r="1796" spans="1:14" x14ac:dyDescent="0.3">
      <c r="A1796" t="s">
        <v>3301</v>
      </c>
      <c r="B1796" t="s">
        <v>11</v>
      </c>
      <c r="C1796" s="1">
        <v>45530</v>
      </c>
      <c r="D1796" s="2">
        <f>YEAR(Table1[[#This Row],[PurchaseDate]])</f>
        <v>2024</v>
      </c>
      <c r="E1796" s="2" t="str">
        <f>"Q"&amp;ROUNDUP(MONTH(Table1[[#This Row],[PurchaseDate]])/3,0)</f>
        <v>Q3</v>
      </c>
      <c r="F1796" s="2">
        <f>MONTH(Table1[[#This Row],[PurchaseDate]])</f>
        <v>8</v>
      </c>
      <c r="G1796" s="2" t="str">
        <f>TEXT(Table1[[#This Row],[PurchaseDate]],"MMM")</f>
        <v>Aug</v>
      </c>
      <c r="H1796">
        <v>2</v>
      </c>
      <c r="I1796">
        <v>331.07</v>
      </c>
      <c r="J1796" t="s">
        <v>3302</v>
      </c>
      <c r="K1796" t="s">
        <v>38</v>
      </c>
      <c r="L1796" t="s">
        <v>14</v>
      </c>
      <c r="M1796">
        <v>4</v>
      </c>
      <c r="N1796">
        <v>662.14</v>
      </c>
    </row>
    <row r="1797" spans="1:14" x14ac:dyDescent="0.3">
      <c r="A1797" t="s">
        <v>3303</v>
      </c>
      <c r="B1797" t="s">
        <v>21</v>
      </c>
      <c r="C1797" s="1">
        <v>45061</v>
      </c>
      <c r="D1797" s="2">
        <f>YEAR(Table1[[#This Row],[PurchaseDate]])</f>
        <v>2023</v>
      </c>
      <c r="E1797" s="2" t="str">
        <f>"Q"&amp;ROUNDUP(MONTH(Table1[[#This Row],[PurchaseDate]])/3,0)</f>
        <v>Q2</v>
      </c>
      <c r="F1797" s="2">
        <f>MONTH(Table1[[#This Row],[PurchaseDate]])</f>
        <v>5</v>
      </c>
      <c r="G1797" s="2" t="str">
        <f>TEXT(Table1[[#This Row],[PurchaseDate]],"MMM")</f>
        <v>May</v>
      </c>
      <c r="H1797">
        <v>3</v>
      </c>
      <c r="I1797">
        <v>13.08</v>
      </c>
      <c r="J1797" t="s">
        <v>3304</v>
      </c>
      <c r="K1797" t="s">
        <v>38</v>
      </c>
      <c r="L1797" t="s">
        <v>58</v>
      </c>
      <c r="M1797">
        <v>4</v>
      </c>
      <c r="N1797">
        <v>39.24</v>
      </c>
    </row>
    <row r="1798" spans="1:14" x14ac:dyDescent="0.3">
      <c r="A1798" t="s">
        <v>3305</v>
      </c>
      <c r="B1798" t="s">
        <v>29</v>
      </c>
      <c r="C1798" s="1">
        <v>44963</v>
      </c>
      <c r="D1798" s="2">
        <f>YEAR(Table1[[#This Row],[PurchaseDate]])</f>
        <v>2023</v>
      </c>
      <c r="E1798" s="2" t="str">
        <f>"Q"&amp;ROUNDUP(MONTH(Table1[[#This Row],[PurchaseDate]])/3,0)</f>
        <v>Q1</v>
      </c>
      <c r="F1798" s="2">
        <f>MONTH(Table1[[#This Row],[PurchaseDate]])</f>
        <v>2</v>
      </c>
      <c r="G1798" s="2" t="str">
        <f>TEXT(Table1[[#This Row],[PurchaseDate]],"MMM")</f>
        <v>Feb</v>
      </c>
      <c r="H1798">
        <v>4</v>
      </c>
      <c r="I1798">
        <v>323.02999999999997</v>
      </c>
      <c r="J1798" t="s">
        <v>3306</v>
      </c>
      <c r="K1798" t="s">
        <v>18</v>
      </c>
      <c r="L1798" t="s">
        <v>19</v>
      </c>
      <c r="M1798">
        <v>2</v>
      </c>
      <c r="N1798">
        <v>1292.1199999999999</v>
      </c>
    </row>
    <row r="1799" spans="1:14" x14ac:dyDescent="0.3">
      <c r="A1799" t="s">
        <v>3307</v>
      </c>
      <c r="B1799" t="s">
        <v>11</v>
      </c>
      <c r="C1799" s="1">
        <v>45512</v>
      </c>
      <c r="D1799" s="2">
        <f>YEAR(Table1[[#This Row],[PurchaseDate]])</f>
        <v>2024</v>
      </c>
      <c r="E1799" s="2" t="str">
        <f>"Q"&amp;ROUNDUP(MONTH(Table1[[#This Row],[PurchaseDate]])/3,0)</f>
        <v>Q3</v>
      </c>
      <c r="F1799" s="2">
        <f>MONTH(Table1[[#This Row],[PurchaseDate]])</f>
        <v>8</v>
      </c>
      <c r="G1799" s="2" t="str">
        <f>TEXT(Table1[[#This Row],[PurchaseDate]],"MMM")</f>
        <v>Aug</v>
      </c>
      <c r="H1799">
        <v>5</v>
      </c>
      <c r="I1799">
        <v>129.86000000000001</v>
      </c>
      <c r="J1799" t="s">
        <v>3308</v>
      </c>
      <c r="K1799" t="s">
        <v>18</v>
      </c>
      <c r="L1799" t="s">
        <v>14</v>
      </c>
      <c r="M1799">
        <v>3</v>
      </c>
      <c r="N1799">
        <v>649.29999999999995</v>
      </c>
    </row>
    <row r="1800" spans="1:14" x14ac:dyDescent="0.3">
      <c r="A1800" t="s">
        <v>1929</v>
      </c>
      <c r="B1800" t="s">
        <v>25</v>
      </c>
      <c r="C1800" s="1">
        <v>45325</v>
      </c>
      <c r="D1800" s="2">
        <f>YEAR(Table1[[#This Row],[PurchaseDate]])</f>
        <v>2024</v>
      </c>
      <c r="E1800" s="2" t="str">
        <f>"Q"&amp;ROUNDUP(MONTH(Table1[[#This Row],[PurchaseDate]])/3,0)</f>
        <v>Q1</v>
      </c>
      <c r="F1800" s="2">
        <f>MONTH(Table1[[#This Row],[PurchaseDate]])</f>
        <v>2</v>
      </c>
      <c r="G1800" s="2" t="str">
        <f>TEXT(Table1[[#This Row],[PurchaseDate]],"MMM")</f>
        <v>Feb</v>
      </c>
      <c r="H1800">
        <v>3</v>
      </c>
      <c r="I1800">
        <v>493.15</v>
      </c>
      <c r="J1800" t="s">
        <v>1930</v>
      </c>
      <c r="K1800" t="s">
        <v>38</v>
      </c>
      <c r="L1800" t="s">
        <v>23</v>
      </c>
      <c r="M1800">
        <v>5</v>
      </c>
      <c r="N1800">
        <v>1479.45</v>
      </c>
    </row>
    <row r="1801" spans="1:14" x14ac:dyDescent="0.3">
      <c r="A1801" t="s">
        <v>1633</v>
      </c>
      <c r="B1801" t="s">
        <v>25</v>
      </c>
      <c r="C1801" s="1">
        <v>45788</v>
      </c>
      <c r="D1801" s="2">
        <f>YEAR(Table1[[#This Row],[PurchaseDate]])</f>
        <v>2025</v>
      </c>
      <c r="E1801" s="2" t="str">
        <f>"Q"&amp;ROUNDUP(MONTH(Table1[[#This Row],[PurchaseDate]])/3,0)</f>
        <v>Q2</v>
      </c>
      <c r="F1801" s="2">
        <f>MONTH(Table1[[#This Row],[PurchaseDate]])</f>
        <v>5</v>
      </c>
      <c r="G1801" s="2" t="str">
        <f>TEXT(Table1[[#This Row],[PurchaseDate]],"MMM")</f>
        <v>May</v>
      </c>
      <c r="H1801">
        <v>7</v>
      </c>
      <c r="I1801">
        <v>390.86</v>
      </c>
      <c r="J1801" t="s">
        <v>1634</v>
      </c>
      <c r="K1801" t="s">
        <v>13</v>
      </c>
      <c r="L1801" t="s">
        <v>58</v>
      </c>
      <c r="M1801">
        <v>4</v>
      </c>
      <c r="N1801">
        <v>2736.02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381E-BEEE-4DC5-AC73-A06C6D769114}">
  <sheetPr>
    <tabColor rgb="FFFFFF00"/>
  </sheetPr>
  <dimension ref="A3:N1789"/>
  <sheetViews>
    <sheetView workbookViewId="0">
      <selection activeCell="N13" sqref="N13"/>
    </sheetView>
  </sheetViews>
  <sheetFormatPr defaultRowHeight="14.4" x14ac:dyDescent="0.3"/>
  <cols>
    <col min="1" max="1" width="12.44140625" bestFit="1" customWidth="1"/>
    <col min="2" max="2" width="15.5546875" bestFit="1" customWidth="1"/>
    <col min="3" max="3" width="14.21875" bestFit="1" customWidth="1"/>
    <col min="4" max="4" width="12.6640625" bestFit="1" customWidth="1"/>
    <col min="5" max="5" width="14.6640625" bestFit="1" customWidth="1"/>
    <col min="6" max="6" width="12.5546875" bestFit="1" customWidth="1"/>
    <col min="7" max="7" width="12.44140625" bestFit="1" customWidth="1"/>
    <col min="8" max="8" width="18.33203125" bestFit="1" customWidth="1"/>
    <col min="10" max="10" width="12.44140625" bestFit="1" customWidth="1"/>
    <col min="11" max="12" width="15.5546875" bestFit="1" customWidth="1"/>
    <col min="13" max="13" width="13.109375" bestFit="1" customWidth="1"/>
    <col min="14" max="1651" width="15.5546875" bestFit="1" customWidth="1"/>
    <col min="1652" max="1652" width="10.5546875" bestFit="1" customWidth="1"/>
  </cols>
  <sheetData>
    <row r="3" spans="1:14" x14ac:dyDescent="0.3">
      <c r="A3" s="3" t="s">
        <v>3313</v>
      </c>
      <c r="B3" t="s">
        <v>3315</v>
      </c>
    </row>
    <row r="4" spans="1:14" x14ac:dyDescent="0.3">
      <c r="A4" s="4" t="s">
        <v>21</v>
      </c>
      <c r="B4" s="2">
        <v>443118.71</v>
      </c>
    </row>
    <row r="5" spans="1:14" x14ac:dyDescent="0.3">
      <c r="A5" s="5" t="s">
        <v>825</v>
      </c>
      <c r="B5" s="2">
        <v>448.8</v>
      </c>
      <c r="D5" t="s">
        <v>3329</v>
      </c>
      <c r="F5" t="s">
        <v>3328</v>
      </c>
      <c r="H5" t="s">
        <v>3330</v>
      </c>
      <c r="J5" t="s">
        <v>3331</v>
      </c>
    </row>
    <row r="6" spans="1:14" x14ac:dyDescent="0.3">
      <c r="A6" s="5" t="s">
        <v>2793</v>
      </c>
      <c r="B6" s="2">
        <v>743.33</v>
      </c>
      <c r="D6" s="7">
        <v>3266656.7999999966</v>
      </c>
      <c r="F6" s="8">
        <v>8260</v>
      </c>
      <c r="H6" s="8">
        <v>5391</v>
      </c>
      <c r="J6" s="8">
        <v>1800</v>
      </c>
    </row>
    <row r="7" spans="1:14" x14ac:dyDescent="0.3">
      <c r="A7" s="5" t="s">
        <v>1601</v>
      </c>
      <c r="B7" s="2">
        <v>3478.2</v>
      </c>
    </row>
    <row r="8" spans="1:14" x14ac:dyDescent="0.3">
      <c r="A8" s="5" t="s">
        <v>697</v>
      </c>
      <c r="B8" s="2">
        <v>940.68</v>
      </c>
    </row>
    <row r="9" spans="1:14" x14ac:dyDescent="0.3">
      <c r="A9" s="5" t="s">
        <v>1311</v>
      </c>
      <c r="B9" s="2">
        <v>580.23</v>
      </c>
    </row>
    <row r="10" spans="1:14" x14ac:dyDescent="0.3">
      <c r="A10" s="5" t="s">
        <v>267</v>
      </c>
      <c r="B10" s="2">
        <v>160.6</v>
      </c>
    </row>
    <row r="11" spans="1:14" x14ac:dyDescent="0.3">
      <c r="A11" s="5" t="s">
        <v>687</v>
      </c>
      <c r="B11" s="2">
        <v>754.33</v>
      </c>
      <c r="D11" s="3" t="s">
        <v>3313</v>
      </c>
      <c r="E11" t="s">
        <v>3332</v>
      </c>
      <c r="G11" s="3" t="s">
        <v>3313</v>
      </c>
      <c r="H11" t="s">
        <v>3328</v>
      </c>
      <c r="J11" s="3" t="s">
        <v>3313</v>
      </c>
      <c r="K11" t="s">
        <v>3315</v>
      </c>
      <c r="M11" s="3" t="s">
        <v>3313</v>
      </c>
      <c r="N11" t="s">
        <v>3315</v>
      </c>
    </row>
    <row r="12" spans="1:14" x14ac:dyDescent="0.3">
      <c r="A12" s="5" t="s">
        <v>963</v>
      </c>
      <c r="B12" s="2">
        <v>2392.48</v>
      </c>
      <c r="D12" s="4" t="s">
        <v>3316</v>
      </c>
      <c r="E12" s="10">
        <v>315133.47000000038</v>
      </c>
      <c r="G12" s="4" t="s">
        <v>21</v>
      </c>
      <c r="H12" s="8">
        <v>1147</v>
      </c>
      <c r="J12" s="4" t="s">
        <v>14</v>
      </c>
      <c r="K12" s="11">
        <v>0.18850826937191559</v>
      </c>
      <c r="M12" s="4" t="s">
        <v>18</v>
      </c>
      <c r="N12" s="8">
        <v>1049911.9800000002</v>
      </c>
    </row>
    <row r="13" spans="1:14" x14ac:dyDescent="0.3">
      <c r="A13" s="5" t="s">
        <v>1199</v>
      </c>
      <c r="B13" s="2">
        <v>3257.94</v>
      </c>
      <c r="D13" s="4" t="s">
        <v>3325</v>
      </c>
      <c r="E13" s="10">
        <v>311696.2300000001</v>
      </c>
      <c r="G13" s="4" t="s">
        <v>34</v>
      </c>
      <c r="H13" s="8">
        <v>1156</v>
      </c>
      <c r="J13" s="4" t="s">
        <v>23</v>
      </c>
      <c r="K13" s="11">
        <v>0.20686945442202564</v>
      </c>
      <c r="M13" s="4" t="s">
        <v>38</v>
      </c>
      <c r="N13" s="8">
        <v>1083282.2499999998</v>
      </c>
    </row>
    <row r="14" spans="1:14" x14ac:dyDescent="0.3">
      <c r="A14" s="5" t="s">
        <v>2109</v>
      </c>
      <c r="B14" s="2">
        <v>1711.9</v>
      </c>
      <c r="D14" s="4" t="s">
        <v>3326</v>
      </c>
      <c r="E14" s="10">
        <v>293225.57000000018</v>
      </c>
      <c r="G14" s="4" t="s">
        <v>16</v>
      </c>
      <c r="H14" s="8">
        <v>1231</v>
      </c>
      <c r="J14" s="4" t="s">
        <v>19</v>
      </c>
      <c r="K14" s="11">
        <v>0.20550191559762263</v>
      </c>
      <c r="M14" s="4" t="s">
        <v>13</v>
      </c>
      <c r="N14" s="8">
        <v>1133462.5700000003</v>
      </c>
    </row>
    <row r="15" spans="1:14" x14ac:dyDescent="0.3">
      <c r="A15" s="5" t="s">
        <v>1169</v>
      </c>
      <c r="B15" s="2">
        <v>1645.4</v>
      </c>
      <c r="D15" s="4" t="s">
        <v>3321</v>
      </c>
      <c r="E15" s="10">
        <v>292344.9499999999</v>
      </c>
      <c r="G15" s="4" t="s">
        <v>29</v>
      </c>
      <c r="H15" s="8">
        <v>1180</v>
      </c>
      <c r="J15" s="4" t="s">
        <v>27</v>
      </c>
      <c r="K15" s="11">
        <v>0.19660341116948682</v>
      </c>
      <c r="M15" s="4" t="s">
        <v>3314</v>
      </c>
      <c r="N15" s="8">
        <v>3266656.8000000003</v>
      </c>
    </row>
    <row r="16" spans="1:14" x14ac:dyDescent="0.3">
      <c r="A16" s="5" t="s">
        <v>3025</v>
      </c>
      <c r="B16" s="2">
        <v>4749.43</v>
      </c>
      <c r="D16" s="4" t="s">
        <v>3317</v>
      </c>
      <c r="E16" s="10">
        <v>385029.5</v>
      </c>
      <c r="G16" s="4" t="s">
        <v>11</v>
      </c>
      <c r="H16" s="8">
        <v>1117</v>
      </c>
      <c r="J16" s="4" t="s">
        <v>58</v>
      </c>
      <c r="K16" s="11">
        <v>0.20251694943894935</v>
      </c>
    </row>
    <row r="17" spans="1:11" x14ac:dyDescent="0.3">
      <c r="A17" s="5" t="s">
        <v>2889</v>
      </c>
      <c r="B17" s="2">
        <v>564.99</v>
      </c>
      <c r="D17" s="4" t="s">
        <v>3318</v>
      </c>
      <c r="E17" s="10">
        <v>332211.28000000003</v>
      </c>
      <c r="G17" s="4" t="s">
        <v>25</v>
      </c>
      <c r="H17" s="8">
        <v>1113</v>
      </c>
      <c r="J17" s="4" t="s">
        <v>3314</v>
      </c>
      <c r="K17" s="11">
        <v>1</v>
      </c>
    </row>
    <row r="18" spans="1:11" x14ac:dyDescent="0.3">
      <c r="A18" s="5" t="s">
        <v>1129</v>
      </c>
      <c r="B18" s="2">
        <v>4002.36</v>
      </c>
      <c r="D18" s="4" t="s">
        <v>3319</v>
      </c>
      <c r="E18" s="10">
        <v>222012.99000000008</v>
      </c>
      <c r="G18" s="4" t="s">
        <v>42</v>
      </c>
      <c r="H18" s="8">
        <v>1316</v>
      </c>
    </row>
    <row r="19" spans="1:11" x14ac:dyDescent="0.3">
      <c r="A19" s="5" t="s">
        <v>2131</v>
      </c>
      <c r="B19" s="2">
        <v>659.76</v>
      </c>
      <c r="D19" s="4" t="s">
        <v>3322</v>
      </c>
      <c r="E19" s="10">
        <v>246571.77</v>
      </c>
      <c r="G19" s="4" t="s">
        <v>3314</v>
      </c>
      <c r="H19" s="8">
        <v>8260</v>
      </c>
    </row>
    <row r="20" spans="1:11" x14ac:dyDescent="0.3">
      <c r="A20" s="5" t="s">
        <v>2637</v>
      </c>
      <c r="B20" s="2">
        <v>614.78</v>
      </c>
      <c r="D20" s="4" t="s">
        <v>3327</v>
      </c>
      <c r="E20" s="10">
        <v>183940.80999999994</v>
      </c>
    </row>
    <row r="21" spans="1:11" x14ac:dyDescent="0.3">
      <c r="A21" s="5" t="s">
        <v>201</v>
      </c>
      <c r="B21" s="2">
        <v>2305.4</v>
      </c>
      <c r="D21" s="4" t="s">
        <v>3320</v>
      </c>
      <c r="E21" s="10">
        <v>192056.25</v>
      </c>
    </row>
    <row r="22" spans="1:11" x14ac:dyDescent="0.3">
      <c r="A22" s="5" t="s">
        <v>3105</v>
      </c>
      <c r="B22" s="2">
        <v>926.34</v>
      </c>
      <c r="D22" s="4" t="s">
        <v>3324</v>
      </c>
      <c r="E22" s="10">
        <v>246889.71999999997</v>
      </c>
    </row>
    <row r="23" spans="1:11" x14ac:dyDescent="0.3">
      <c r="A23" s="5" t="s">
        <v>563</v>
      </c>
      <c r="B23" s="2">
        <v>4586.6099999999997</v>
      </c>
      <c r="D23" s="4" t="s">
        <v>3323</v>
      </c>
      <c r="E23" s="10">
        <v>245544.26000000013</v>
      </c>
    </row>
    <row r="24" spans="1:11" x14ac:dyDescent="0.3">
      <c r="A24" s="5" t="s">
        <v>1111</v>
      </c>
      <c r="B24" s="2">
        <v>5406.48</v>
      </c>
      <c r="D24" s="4" t="s">
        <v>3314</v>
      </c>
      <c r="E24" s="7">
        <v>3266656.8000000012</v>
      </c>
    </row>
    <row r="25" spans="1:11" x14ac:dyDescent="0.3">
      <c r="A25" s="5" t="s">
        <v>849</v>
      </c>
      <c r="B25" s="2">
        <v>880.4</v>
      </c>
    </row>
    <row r="26" spans="1:11" x14ac:dyDescent="0.3">
      <c r="A26" s="5" t="s">
        <v>939</v>
      </c>
      <c r="B26" s="2">
        <v>1649.34</v>
      </c>
    </row>
    <row r="27" spans="1:11" x14ac:dyDescent="0.3">
      <c r="A27" s="5" t="s">
        <v>337</v>
      </c>
      <c r="B27" s="2">
        <v>77.7</v>
      </c>
    </row>
    <row r="28" spans="1:11" x14ac:dyDescent="0.3">
      <c r="A28" s="5" t="s">
        <v>2343</v>
      </c>
      <c r="B28" s="2">
        <v>1098.3</v>
      </c>
    </row>
    <row r="29" spans="1:11" x14ac:dyDescent="0.3">
      <c r="A29" s="5" t="s">
        <v>3183</v>
      </c>
      <c r="B29" s="2">
        <v>1339.92</v>
      </c>
    </row>
    <row r="30" spans="1:11" x14ac:dyDescent="0.3">
      <c r="A30" s="5" t="s">
        <v>1541</v>
      </c>
      <c r="B30" s="2">
        <v>475.81</v>
      </c>
    </row>
    <row r="31" spans="1:11" x14ac:dyDescent="0.3">
      <c r="A31" s="5" t="s">
        <v>1333</v>
      </c>
      <c r="B31" s="2">
        <v>423.84</v>
      </c>
    </row>
    <row r="32" spans="1:11" x14ac:dyDescent="0.3">
      <c r="A32" s="5" t="s">
        <v>1755</v>
      </c>
      <c r="B32" s="2">
        <v>3965.04</v>
      </c>
    </row>
    <row r="33" spans="1:2" x14ac:dyDescent="0.3">
      <c r="A33" s="5" t="s">
        <v>679</v>
      </c>
      <c r="B33" s="2">
        <v>287.74</v>
      </c>
    </row>
    <row r="34" spans="1:2" x14ac:dyDescent="0.3">
      <c r="A34" s="5" t="s">
        <v>1239</v>
      </c>
      <c r="B34" s="2">
        <v>1680.85</v>
      </c>
    </row>
    <row r="35" spans="1:2" x14ac:dyDescent="0.3">
      <c r="A35" s="5" t="s">
        <v>1465</v>
      </c>
      <c r="B35" s="2">
        <v>367.06</v>
      </c>
    </row>
    <row r="36" spans="1:2" x14ac:dyDescent="0.3">
      <c r="A36" s="5" t="s">
        <v>2735</v>
      </c>
      <c r="B36" s="2">
        <v>2795.6</v>
      </c>
    </row>
    <row r="37" spans="1:2" x14ac:dyDescent="0.3">
      <c r="A37" s="5" t="s">
        <v>1171</v>
      </c>
      <c r="B37" s="2">
        <v>237.2</v>
      </c>
    </row>
    <row r="38" spans="1:2" x14ac:dyDescent="0.3">
      <c r="A38" s="5" t="s">
        <v>2127</v>
      </c>
      <c r="B38" s="2">
        <v>2525.7600000000002</v>
      </c>
    </row>
    <row r="39" spans="1:2" x14ac:dyDescent="0.3">
      <c r="A39" s="5" t="s">
        <v>2061</v>
      </c>
      <c r="B39" s="2">
        <v>638.11</v>
      </c>
    </row>
    <row r="40" spans="1:2" x14ac:dyDescent="0.3">
      <c r="A40" s="5" t="s">
        <v>3113</v>
      </c>
      <c r="B40" s="2">
        <v>965.58</v>
      </c>
    </row>
    <row r="41" spans="1:2" x14ac:dyDescent="0.3">
      <c r="A41" s="5" t="s">
        <v>2599</v>
      </c>
      <c r="B41" s="2">
        <v>323.19</v>
      </c>
    </row>
    <row r="42" spans="1:2" x14ac:dyDescent="0.3">
      <c r="A42" s="5" t="s">
        <v>1041</v>
      </c>
      <c r="B42" s="2">
        <v>2376.36</v>
      </c>
    </row>
    <row r="43" spans="1:2" x14ac:dyDescent="0.3">
      <c r="A43" s="5" t="s">
        <v>1805</v>
      </c>
      <c r="B43" s="2">
        <v>898.42</v>
      </c>
    </row>
    <row r="44" spans="1:2" x14ac:dyDescent="0.3">
      <c r="A44" s="5" t="s">
        <v>1125</v>
      </c>
      <c r="B44" s="2">
        <v>2249.5500000000002</v>
      </c>
    </row>
    <row r="45" spans="1:2" x14ac:dyDescent="0.3">
      <c r="A45" s="5" t="s">
        <v>2045</v>
      </c>
      <c r="B45" s="2">
        <v>1627.4</v>
      </c>
    </row>
    <row r="46" spans="1:2" x14ac:dyDescent="0.3">
      <c r="A46" s="5" t="s">
        <v>2491</v>
      </c>
      <c r="B46" s="2">
        <v>1481.04</v>
      </c>
    </row>
    <row r="47" spans="1:2" x14ac:dyDescent="0.3">
      <c r="A47" s="5" t="s">
        <v>379</v>
      </c>
      <c r="B47" s="2">
        <v>2836.56</v>
      </c>
    </row>
    <row r="48" spans="1:2" x14ac:dyDescent="0.3">
      <c r="A48" s="5" t="s">
        <v>2339</v>
      </c>
      <c r="B48" s="2">
        <v>2144.92</v>
      </c>
    </row>
    <row r="49" spans="1:2" x14ac:dyDescent="0.3">
      <c r="A49" s="5" t="s">
        <v>2825</v>
      </c>
      <c r="B49" s="2">
        <v>3198.6</v>
      </c>
    </row>
    <row r="50" spans="1:2" x14ac:dyDescent="0.3">
      <c r="A50" s="5" t="s">
        <v>2133</v>
      </c>
      <c r="B50" s="2">
        <v>3626.58</v>
      </c>
    </row>
    <row r="51" spans="1:2" x14ac:dyDescent="0.3">
      <c r="A51" s="5" t="s">
        <v>1973</v>
      </c>
      <c r="B51" s="2">
        <v>1453.24</v>
      </c>
    </row>
    <row r="52" spans="1:2" x14ac:dyDescent="0.3">
      <c r="A52" s="5" t="s">
        <v>3099</v>
      </c>
      <c r="B52" s="2">
        <v>4516.3999999999996</v>
      </c>
    </row>
    <row r="53" spans="1:2" x14ac:dyDescent="0.3">
      <c r="A53" s="5" t="s">
        <v>2461</v>
      </c>
      <c r="B53" s="2">
        <v>757.24</v>
      </c>
    </row>
    <row r="54" spans="1:2" x14ac:dyDescent="0.3">
      <c r="A54" s="5" t="s">
        <v>1563</v>
      </c>
      <c r="B54" s="2">
        <v>678.22</v>
      </c>
    </row>
    <row r="55" spans="1:2" x14ac:dyDescent="0.3">
      <c r="A55" s="5" t="s">
        <v>3139</v>
      </c>
      <c r="B55" s="2">
        <v>326.10000000000002</v>
      </c>
    </row>
    <row r="56" spans="1:2" x14ac:dyDescent="0.3">
      <c r="A56" s="5" t="s">
        <v>2939</v>
      </c>
      <c r="B56" s="2">
        <v>393.96</v>
      </c>
    </row>
    <row r="57" spans="1:2" x14ac:dyDescent="0.3">
      <c r="A57" s="5" t="s">
        <v>2643</v>
      </c>
      <c r="B57" s="2">
        <v>1616.16</v>
      </c>
    </row>
    <row r="58" spans="1:2" x14ac:dyDescent="0.3">
      <c r="A58" s="5" t="s">
        <v>1981</v>
      </c>
      <c r="B58" s="2">
        <v>6311.28</v>
      </c>
    </row>
    <row r="59" spans="1:2" x14ac:dyDescent="0.3">
      <c r="A59" s="5" t="s">
        <v>867</v>
      </c>
      <c r="B59" s="2">
        <v>135.94</v>
      </c>
    </row>
    <row r="60" spans="1:2" x14ac:dyDescent="0.3">
      <c r="A60" s="5" t="s">
        <v>2083</v>
      </c>
      <c r="B60" s="2">
        <v>1233.2</v>
      </c>
    </row>
    <row r="61" spans="1:2" x14ac:dyDescent="0.3">
      <c r="A61" s="5" t="s">
        <v>1931</v>
      </c>
      <c r="B61" s="2">
        <v>4262.93</v>
      </c>
    </row>
    <row r="62" spans="1:2" x14ac:dyDescent="0.3">
      <c r="A62" s="5" t="s">
        <v>427</v>
      </c>
      <c r="B62" s="2">
        <v>574.6</v>
      </c>
    </row>
    <row r="63" spans="1:2" x14ac:dyDescent="0.3">
      <c r="A63" s="5" t="s">
        <v>1357</v>
      </c>
      <c r="B63" s="2">
        <v>1130.1500000000001</v>
      </c>
    </row>
    <row r="64" spans="1:2" x14ac:dyDescent="0.3">
      <c r="A64" s="5" t="s">
        <v>541</v>
      </c>
      <c r="B64" s="2">
        <v>1863.88</v>
      </c>
    </row>
    <row r="65" spans="1:2" x14ac:dyDescent="0.3">
      <c r="A65" s="5" t="s">
        <v>3071</v>
      </c>
      <c r="B65" s="2">
        <v>214.93</v>
      </c>
    </row>
    <row r="66" spans="1:2" x14ac:dyDescent="0.3">
      <c r="A66" s="5" t="s">
        <v>1127</v>
      </c>
      <c r="B66" s="2">
        <v>1954.85</v>
      </c>
    </row>
    <row r="67" spans="1:2" x14ac:dyDescent="0.3">
      <c r="A67" s="5" t="s">
        <v>1565</v>
      </c>
      <c r="B67" s="2">
        <v>1442.35</v>
      </c>
    </row>
    <row r="68" spans="1:2" x14ac:dyDescent="0.3">
      <c r="A68" s="5" t="s">
        <v>2661</v>
      </c>
      <c r="B68" s="2">
        <v>212.45</v>
      </c>
    </row>
    <row r="69" spans="1:2" x14ac:dyDescent="0.3">
      <c r="A69" s="5" t="s">
        <v>1759</v>
      </c>
      <c r="B69" s="2">
        <v>1014.8</v>
      </c>
    </row>
    <row r="70" spans="1:2" x14ac:dyDescent="0.3">
      <c r="A70" s="5" t="s">
        <v>1365</v>
      </c>
      <c r="B70" s="2">
        <v>1819.92</v>
      </c>
    </row>
    <row r="71" spans="1:2" x14ac:dyDescent="0.3">
      <c r="A71" s="5" t="s">
        <v>1437</v>
      </c>
      <c r="B71" s="2">
        <v>776.01</v>
      </c>
    </row>
    <row r="72" spans="1:2" x14ac:dyDescent="0.3">
      <c r="A72" s="5" t="s">
        <v>3041</v>
      </c>
      <c r="B72" s="2">
        <v>2044.65</v>
      </c>
    </row>
    <row r="73" spans="1:2" x14ac:dyDescent="0.3">
      <c r="A73" s="5" t="s">
        <v>1001</v>
      </c>
      <c r="B73" s="2">
        <v>461.85</v>
      </c>
    </row>
    <row r="74" spans="1:2" x14ac:dyDescent="0.3">
      <c r="A74" s="5" t="s">
        <v>561</v>
      </c>
      <c r="B74" s="2">
        <v>1889.34</v>
      </c>
    </row>
    <row r="75" spans="1:2" x14ac:dyDescent="0.3">
      <c r="A75" s="5" t="s">
        <v>2759</v>
      </c>
      <c r="B75" s="2">
        <v>4299.6000000000004</v>
      </c>
    </row>
    <row r="76" spans="1:2" x14ac:dyDescent="0.3">
      <c r="A76" s="5" t="s">
        <v>519</v>
      </c>
      <c r="B76" s="2">
        <v>1018.56</v>
      </c>
    </row>
    <row r="77" spans="1:2" x14ac:dyDescent="0.3">
      <c r="A77" s="5" t="s">
        <v>683</v>
      </c>
      <c r="B77" s="2">
        <v>1811.61</v>
      </c>
    </row>
    <row r="78" spans="1:2" x14ac:dyDescent="0.3">
      <c r="A78" s="5" t="s">
        <v>1189</v>
      </c>
      <c r="B78" s="2">
        <v>947.64</v>
      </c>
    </row>
    <row r="79" spans="1:2" x14ac:dyDescent="0.3">
      <c r="A79" s="5" t="s">
        <v>2233</v>
      </c>
      <c r="B79" s="2">
        <v>637.25</v>
      </c>
    </row>
    <row r="80" spans="1:2" x14ac:dyDescent="0.3">
      <c r="A80" s="5" t="s">
        <v>1947</v>
      </c>
      <c r="B80" s="2">
        <v>909.22</v>
      </c>
    </row>
    <row r="81" spans="1:2" x14ac:dyDescent="0.3">
      <c r="A81" s="5" t="s">
        <v>883</v>
      </c>
      <c r="B81" s="2">
        <v>2033.15</v>
      </c>
    </row>
    <row r="82" spans="1:2" x14ac:dyDescent="0.3">
      <c r="A82" s="5" t="s">
        <v>221</v>
      </c>
      <c r="B82" s="2">
        <v>5382.93</v>
      </c>
    </row>
    <row r="83" spans="1:2" x14ac:dyDescent="0.3">
      <c r="A83" s="5" t="s">
        <v>89</v>
      </c>
      <c r="B83" s="2">
        <v>1289.24</v>
      </c>
    </row>
    <row r="84" spans="1:2" x14ac:dyDescent="0.3">
      <c r="A84" s="5" t="s">
        <v>2495</v>
      </c>
      <c r="B84" s="2">
        <v>5210.96</v>
      </c>
    </row>
    <row r="85" spans="1:2" x14ac:dyDescent="0.3">
      <c r="A85" s="5" t="s">
        <v>2839</v>
      </c>
      <c r="B85" s="2">
        <v>477.04</v>
      </c>
    </row>
    <row r="86" spans="1:2" x14ac:dyDescent="0.3">
      <c r="A86" s="5" t="s">
        <v>1373</v>
      </c>
      <c r="B86" s="2">
        <v>338.28</v>
      </c>
    </row>
    <row r="87" spans="1:2" x14ac:dyDescent="0.3">
      <c r="A87" s="5" t="s">
        <v>3287</v>
      </c>
      <c r="B87" s="2">
        <v>72.650000000000006</v>
      </c>
    </row>
    <row r="88" spans="1:2" x14ac:dyDescent="0.3">
      <c r="A88" s="5" t="s">
        <v>3013</v>
      </c>
      <c r="B88" s="2">
        <v>1112.5999999999999</v>
      </c>
    </row>
    <row r="89" spans="1:2" x14ac:dyDescent="0.3">
      <c r="A89" s="5" t="s">
        <v>161</v>
      </c>
      <c r="B89" s="2">
        <v>324.92</v>
      </c>
    </row>
    <row r="90" spans="1:2" x14ac:dyDescent="0.3">
      <c r="A90" s="5" t="s">
        <v>659</v>
      </c>
      <c r="B90" s="2">
        <v>1533.85</v>
      </c>
    </row>
    <row r="91" spans="1:2" x14ac:dyDescent="0.3">
      <c r="A91" s="5" t="s">
        <v>2741</v>
      </c>
      <c r="B91" s="2">
        <v>902.64</v>
      </c>
    </row>
    <row r="92" spans="1:2" x14ac:dyDescent="0.3">
      <c r="A92" s="5" t="s">
        <v>1005</v>
      </c>
      <c r="B92" s="2">
        <v>3393.24</v>
      </c>
    </row>
    <row r="93" spans="1:2" x14ac:dyDescent="0.3">
      <c r="A93" s="5" t="s">
        <v>1051</v>
      </c>
      <c r="B93" s="2">
        <v>1696.89</v>
      </c>
    </row>
    <row r="94" spans="1:2" x14ac:dyDescent="0.3">
      <c r="A94" s="5" t="s">
        <v>2683</v>
      </c>
      <c r="B94" s="2">
        <v>1255.3800000000001</v>
      </c>
    </row>
    <row r="95" spans="1:2" x14ac:dyDescent="0.3">
      <c r="A95" s="5" t="s">
        <v>1677</v>
      </c>
      <c r="B95" s="2">
        <v>79.900000000000006</v>
      </c>
    </row>
    <row r="96" spans="1:2" x14ac:dyDescent="0.3">
      <c r="A96" s="5" t="s">
        <v>2465</v>
      </c>
      <c r="B96" s="2">
        <v>2301.25</v>
      </c>
    </row>
    <row r="97" spans="1:2" x14ac:dyDescent="0.3">
      <c r="A97" s="5" t="s">
        <v>2085</v>
      </c>
      <c r="B97" s="2">
        <v>1120.55</v>
      </c>
    </row>
    <row r="98" spans="1:2" x14ac:dyDescent="0.3">
      <c r="A98" s="5" t="s">
        <v>1295</v>
      </c>
      <c r="B98" s="2">
        <v>2200.48</v>
      </c>
    </row>
    <row r="99" spans="1:2" x14ac:dyDescent="0.3">
      <c r="A99" s="5" t="s">
        <v>2319</v>
      </c>
      <c r="B99" s="2">
        <v>1801.02</v>
      </c>
    </row>
    <row r="100" spans="1:2" x14ac:dyDescent="0.3">
      <c r="A100" s="5" t="s">
        <v>1461</v>
      </c>
      <c r="B100" s="2">
        <v>2721.42</v>
      </c>
    </row>
    <row r="101" spans="1:2" x14ac:dyDescent="0.3">
      <c r="A101" s="5" t="s">
        <v>2377</v>
      </c>
      <c r="B101" s="2">
        <v>472.28</v>
      </c>
    </row>
    <row r="102" spans="1:2" x14ac:dyDescent="0.3">
      <c r="A102" s="5" t="s">
        <v>565</v>
      </c>
      <c r="B102" s="2">
        <v>3662.16</v>
      </c>
    </row>
    <row r="103" spans="1:2" x14ac:dyDescent="0.3">
      <c r="A103" s="5" t="s">
        <v>1197</v>
      </c>
      <c r="B103" s="2">
        <v>2176</v>
      </c>
    </row>
    <row r="104" spans="1:2" x14ac:dyDescent="0.3">
      <c r="A104" s="5" t="s">
        <v>1919</v>
      </c>
      <c r="B104" s="2">
        <v>4140.5</v>
      </c>
    </row>
    <row r="105" spans="1:2" x14ac:dyDescent="0.3">
      <c r="A105" s="5" t="s">
        <v>2521</v>
      </c>
      <c r="B105" s="2">
        <v>808.08</v>
      </c>
    </row>
    <row r="106" spans="1:2" x14ac:dyDescent="0.3">
      <c r="A106" s="5" t="s">
        <v>1175</v>
      </c>
      <c r="B106" s="2">
        <v>2947.04</v>
      </c>
    </row>
    <row r="107" spans="1:2" x14ac:dyDescent="0.3">
      <c r="A107" s="5" t="s">
        <v>1067</v>
      </c>
      <c r="B107" s="2">
        <v>1268.52</v>
      </c>
    </row>
    <row r="108" spans="1:2" x14ac:dyDescent="0.3">
      <c r="A108" s="5" t="s">
        <v>2771</v>
      </c>
      <c r="B108" s="2">
        <v>3096.8</v>
      </c>
    </row>
    <row r="109" spans="1:2" x14ac:dyDescent="0.3">
      <c r="A109" s="5" t="s">
        <v>2317</v>
      </c>
      <c r="B109" s="2">
        <v>2908.38</v>
      </c>
    </row>
    <row r="110" spans="1:2" x14ac:dyDescent="0.3">
      <c r="A110" s="5" t="s">
        <v>577</v>
      </c>
      <c r="B110" s="2">
        <v>1355</v>
      </c>
    </row>
    <row r="111" spans="1:2" x14ac:dyDescent="0.3">
      <c r="A111" s="5" t="s">
        <v>1475</v>
      </c>
      <c r="B111" s="2">
        <v>5411.42</v>
      </c>
    </row>
    <row r="112" spans="1:2" x14ac:dyDescent="0.3">
      <c r="A112" s="5" t="s">
        <v>669</v>
      </c>
      <c r="B112" s="2">
        <v>1069.95</v>
      </c>
    </row>
    <row r="113" spans="1:2" x14ac:dyDescent="0.3">
      <c r="A113" s="5" t="s">
        <v>1885</v>
      </c>
      <c r="B113" s="2">
        <v>3878.95</v>
      </c>
    </row>
    <row r="114" spans="1:2" x14ac:dyDescent="0.3">
      <c r="A114" s="5" t="s">
        <v>69</v>
      </c>
      <c r="B114" s="2">
        <v>1498.64</v>
      </c>
    </row>
    <row r="115" spans="1:2" x14ac:dyDescent="0.3">
      <c r="A115" s="5" t="s">
        <v>1087</v>
      </c>
      <c r="B115" s="2">
        <v>555.52</v>
      </c>
    </row>
    <row r="116" spans="1:2" x14ac:dyDescent="0.3">
      <c r="A116" s="5" t="s">
        <v>2727</v>
      </c>
      <c r="B116" s="2">
        <v>1836.7</v>
      </c>
    </row>
    <row r="117" spans="1:2" x14ac:dyDescent="0.3">
      <c r="A117" s="5" t="s">
        <v>2565</v>
      </c>
      <c r="B117" s="2">
        <v>295.86</v>
      </c>
    </row>
    <row r="118" spans="1:2" x14ac:dyDescent="0.3">
      <c r="A118" s="5" t="s">
        <v>501</v>
      </c>
      <c r="B118" s="2">
        <v>1792.05</v>
      </c>
    </row>
    <row r="119" spans="1:2" x14ac:dyDescent="0.3">
      <c r="A119" s="5" t="s">
        <v>2249</v>
      </c>
      <c r="B119" s="2">
        <v>2567.94</v>
      </c>
    </row>
    <row r="120" spans="1:2" x14ac:dyDescent="0.3">
      <c r="A120" s="5" t="s">
        <v>3151</v>
      </c>
      <c r="B120" s="2">
        <v>276.68</v>
      </c>
    </row>
    <row r="121" spans="1:2" x14ac:dyDescent="0.3">
      <c r="A121" s="5" t="s">
        <v>1687</v>
      </c>
      <c r="B121" s="2">
        <v>1153.02</v>
      </c>
    </row>
    <row r="122" spans="1:2" x14ac:dyDescent="0.3">
      <c r="A122" s="5" t="s">
        <v>1181</v>
      </c>
      <c r="B122" s="2">
        <v>2118.66</v>
      </c>
    </row>
    <row r="123" spans="1:2" x14ac:dyDescent="0.3">
      <c r="A123" s="5" t="s">
        <v>311</v>
      </c>
      <c r="B123" s="2">
        <v>1038.24</v>
      </c>
    </row>
    <row r="124" spans="1:2" x14ac:dyDescent="0.3">
      <c r="A124" s="5" t="s">
        <v>1767</v>
      </c>
      <c r="B124" s="2">
        <v>772.4</v>
      </c>
    </row>
    <row r="125" spans="1:2" x14ac:dyDescent="0.3">
      <c r="A125" s="5" t="s">
        <v>627</v>
      </c>
      <c r="B125" s="2">
        <v>147.34</v>
      </c>
    </row>
    <row r="126" spans="1:2" x14ac:dyDescent="0.3">
      <c r="A126" s="5" t="s">
        <v>36</v>
      </c>
      <c r="B126" s="2">
        <v>2191.36</v>
      </c>
    </row>
    <row r="127" spans="1:2" x14ac:dyDescent="0.3">
      <c r="A127" s="5" t="s">
        <v>461</v>
      </c>
      <c r="B127" s="2">
        <v>2201.1</v>
      </c>
    </row>
    <row r="128" spans="1:2" x14ac:dyDescent="0.3">
      <c r="A128" s="5" t="s">
        <v>207</v>
      </c>
      <c r="B128" s="2">
        <v>173.72</v>
      </c>
    </row>
    <row r="129" spans="1:2" x14ac:dyDescent="0.3">
      <c r="A129" s="5" t="s">
        <v>2159</v>
      </c>
      <c r="B129" s="2">
        <v>3184.24</v>
      </c>
    </row>
    <row r="130" spans="1:2" x14ac:dyDescent="0.3">
      <c r="A130" s="5" t="s">
        <v>1431</v>
      </c>
      <c r="B130" s="2">
        <v>2091.56</v>
      </c>
    </row>
    <row r="131" spans="1:2" x14ac:dyDescent="0.3">
      <c r="A131" s="5" t="s">
        <v>769</v>
      </c>
      <c r="B131" s="2">
        <v>1292.4000000000001</v>
      </c>
    </row>
    <row r="132" spans="1:2" x14ac:dyDescent="0.3">
      <c r="A132" s="5" t="s">
        <v>499</v>
      </c>
      <c r="B132" s="2">
        <v>5705.68</v>
      </c>
    </row>
    <row r="133" spans="1:2" x14ac:dyDescent="0.3">
      <c r="A133" s="5" t="s">
        <v>1627</v>
      </c>
      <c r="B133" s="2">
        <v>614.79</v>
      </c>
    </row>
    <row r="134" spans="1:2" x14ac:dyDescent="0.3">
      <c r="A134" s="5" t="s">
        <v>2363</v>
      </c>
      <c r="B134" s="2">
        <v>1940.68</v>
      </c>
    </row>
    <row r="135" spans="1:2" x14ac:dyDescent="0.3">
      <c r="A135" s="5" t="s">
        <v>2265</v>
      </c>
      <c r="B135" s="2">
        <v>1649.12</v>
      </c>
    </row>
    <row r="136" spans="1:2" x14ac:dyDescent="0.3">
      <c r="A136" s="5" t="s">
        <v>2037</v>
      </c>
      <c r="B136" s="2">
        <v>1494.75</v>
      </c>
    </row>
    <row r="137" spans="1:2" x14ac:dyDescent="0.3">
      <c r="A137" s="5" t="s">
        <v>3211</v>
      </c>
      <c r="B137" s="2">
        <v>1362.84</v>
      </c>
    </row>
    <row r="138" spans="1:2" x14ac:dyDescent="0.3">
      <c r="A138" s="5" t="s">
        <v>2977</v>
      </c>
      <c r="B138" s="2">
        <v>2888.83</v>
      </c>
    </row>
    <row r="139" spans="1:2" x14ac:dyDescent="0.3">
      <c r="A139" s="5" t="s">
        <v>1905</v>
      </c>
      <c r="B139" s="2">
        <v>1589.95</v>
      </c>
    </row>
    <row r="140" spans="1:2" x14ac:dyDescent="0.3">
      <c r="A140" s="5" t="s">
        <v>193</v>
      </c>
      <c r="B140" s="2">
        <v>787.44</v>
      </c>
    </row>
    <row r="141" spans="1:2" x14ac:dyDescent="0.3">
      <c r="A141" s="5" t="s">
        <v>3257</v>
      </c>
      <c r="B141" s="2">
        <v>1409.82</v>
      </c>
    </row>
    <row r="142" spans="1:2" x14ac:dyDescent="0.3">
      <c r="A142" s="5" t="s">
        <v>1287</v>
      </c>
      <c r="B142" s="2">
        <v>990.81</v>
      </c>
    </row>
    <row r="143" spans="1:2" x14ac:dyDescent="0.3">
      <c r="A143" s="5" t="s">
        <v>2015</v>
      </c>
      <c r="B143" s="2">
        <v>909.6</v>
      </c>
    </row>
    <row r="144" spans="1:2" x14ac:dyDescent="0.3">
      <c r="A144" s="5" t="s">
        <v>2247</v>
      </c>
      <c r="B144" s="2">
        <v>3132.84</v>
      </c>
    </row>
    <row r="145" spans="1:2" x14ac:dyDescent="0.3">
      <c r="A145" s="5" t="s">
        <v>1671</v>
      </c>
      <c r="B145" s="2">
        <v>293.79000000000002</v>
      </c>
    </row>
    <row r="146" spans="1:2" x14ac:dyDescent="0.3">
      <c r="A146" s="5" t="s">
        <v>2305</v>
      </c>
      <c r="B146" s="2">
        <v>927.68</v>
      </c>
    </row>
    <row r="147" spans="1:2" x14ac:dyDescent="0.3">
      <c r="A147" s="5" t="s">
        <v>2787</v>
      </c>
      <c r="B147" s="2">
        <v>401.55</v>
      </c>
    </row>
    <row r="148" spans="1:2" x14ac:dyDescent="0.3">
      <c r="A148" s="5" t="s">
        <v>2143</v>
      </c>
      <c r="B148" s="2">
        <v>653.96</v>
      </c>
    </row>
    <row r="149" spans="1:2" x14ac:dyDescent="0.3">
      <c r="A149" s="5" t="s">
        <v>695</v>
      </c>
      <c r="B149" s="2">
        <v>498.48</v>
      </c>
    </row>
    <row r="150" spans="1:2" x14ac:dyDescent="0.3">
      <c r="A150" s="5" t="s">
        <v>3227</v>
      </c>
      <c r="B150" s="2">
        <v>418.12</v>
      </c>
    </row>
    <row r="151" spans="1:2" x14ac:dyDescent="0.3">
      <c r="A151" s="5" t="s">
        <v>987</v>
      </c>
      <c r="B151" s="2">
        <v>1209.3900000000001</v>
      </c>
    </row>
    <row r="152" spans="1:2" x14ac:dyDescent="0.3">
      <c r="A152" s="5" t="s">
        <v>1163</v>
      </c>
      <c r="B152" s="2">
        <v>2060.1</v>
      </c>
    </row>
    <row r="153" spans="1:2" x14ac:dyDescent="0.3">
      <c r="A153" s="5" t="s">
        <v>3187</v>
      </c>
      <c r="B153" s="2">
        <v>55.74</v>
      </c>
    </row>
    <row r="154" spans="1:2" x14ac:dyDescent="0.3">
      <c r="A154" s="5" t="s">
        <v>369</v>
      </c>
      <c r="B154" s="2">
        <v>709.5</v>
      </c>
    </row>
    <row r="155" spans="1:2" x14ac:dyDescent="0.3">
      <c r="A155" s="5" t="s">
        <v>1257</v>
      </c>
      <c r="B155" s="2">
        <v>3588.4</v>
      </c>
    </row>
    <row r="156" spans="1:2" x14ac:dyDescent="0.3">
      <c r="A156" s="5" t="s">
        <v>275</v>
      </c>
      <c r="B156" s="2">
        <v>743.97</v>
      </c>
    </row>
    <row r="157" spans="1:2" x14ac:dyDescent="0.3">
      <c r="A157" s="5" t="s">
        <v>2059</v>
      </c>
      <c r="B157" s="2">
        <v>1108</v>
      </c>
    </row>
    <row r="158" spans="1:2" x14ac:dyDescent="0.3">
      <c r="A158" s="5" t="s">
        <v>3031</v>
      </c>
      <c r="B158" s="2">
        <v>2425.12</v>
      </c>
    </row>
    <row r="159" spans="1:2" x14ac:dyDescent="0.3">
      <c r="A159" s="5" t="s">
        <v>2907</v>
      </c>
      <c r="B159" s="2">
        <v>4311.3</v>
      </c>
    </row>
    <row r="160" spans="1:2" x14ac:dyDescent="0.3">
      <c r="A160" s="5" t="s">
        <v>2785</v>
      </c>
      <c r="B160" s="2">
        <v>333.36</v>
      </c>
    </row>
    <row r="161" spans="1:2" x14ac:dyDescent="0.3">
      <c r="A161" s="5" t="s">
        <v>2877</v>
      </c>
      <c r="B161" s="2">
        <v>2860.48</v>
      </c>
    </row>
    <row r="162" spans="1:2" x14ac:dyDescent="0.3">
      <c r="A162" s="5" t="s">
        <v>1813</v>
      </c>
      <c r="B162" s="2">
        <v>2264.92</v>
      </c>
    </row>
    <row r="163" spans="1:2" x14ac:dyDescent="0.3">
      <c r="A163" s="5" t="s">
        <v>2405</v>
      </c>
      <c r="B163" s="2">
        <v>2232.9499999999998</v>
      </c>
    </row>
    <row r="164" spans="1:2" x14ac:dyDescent="0.3">
      <c r="A164" s="5" t="s">
        <v>1843</v>
      </c>
      <c r="B164" s="2">
        <v>3952.2</v>
      </c>
    </row>
    <row r="165" spans="1:2" x14ac:dyDescent="0.3">
      <c r="A165" s="5" t="s">
        <v>1221</v>
      </c>
      <c r="B165" s="2">
        <v>120.64</v>
      </c>
    </row>
    <row r="166" spans="1:2" x14ac:dyDescent="0.3">
      <c r="A166" s="5" t="s">
        <v>767</v>
      </c>
      <c r="B166" s="2">
        <v>81.84</v>
      </c>
    </row>
    <row r="167" spans="1:2" x14ac:dyDescent="0.3">
      <c r="A167" s="5" t="s">
        <v>1249</v>
      </c>
      <c r="B167" s="2">
        <v>210.05</v>
      </c>
    </row>
    <row r="168" spans="1:2" x14ac:dyDescent="0.3">
      <c r="A168" s="5" t="s">
        <v>2119</v>
      </c>
      <c r="B168" s="2">
        <v>1941.05</v>
      </c>
    </row>
    <row r="169" spans="1:2" x14ac:dyDescent="0.3">
      <c r="A169" s="5" t="s">
        <v>925</v>
      </c>
      <c r="B169" s="2">
        <v>656.2</v>
      </c>
    </row>
    <row r="170" spans="1:2" x14ac:dyDescent="0.3">
      <c r="A170" s="5" t="s">
        <v>1369</v>
      </c>
      <c r="B170" s="2">
        <v>2481.36</v>
      </c>
    </row>
    <row r="171" spans="1:2" x14ac:dyDescent="0.3">
      <c r="A171" s="5" t="s">
        <v>1485</v>
      </c>
      <c r="B171" s="2">
        <v>2836.16</v>
      </c>
    </row>
    <row r="172" spans="1:2" x14ac:dyDescent="0.3">
      <c r="A172" s="5" t="s">
        <v>1279</v>
      </c>
      <c r="B172" s="2">
        <v>310.83</v>
      </c>
    </row>
    <row r="173" spans="1:2" x14ac:dyDescent="0.3">
      <c r="A173" s="5" t="s">
        <v>3001</v>
      </c>
      <c r="B173" s="2">
        <v>1324.38</v>
      </c>
    </row>
    <row r="174" spans="1:2" x14ac:dyDescent="0.3">
      <c r="A174" s="5" t="s">
        <v>2225</v>
      </c>
      <c r="B174" s="2">
        <v>102.17</v>
      </c>
    </row>
    <row r="175" spans="1:2" x14ac:dyDescent="0.3">
      <c r="A175" s="5" t="s">
        <v>2327</v>
      </c>
      <c r="B175" s="2">
        <v>1221.68</v>
      </c>
    </row>
    <row r="176" spans="1:2" x14ac:dyDescent="0.3">
      <c r="A176" s="5" t="s">
        <v>1965</v>
      </c>
      <c r="B176" s="2">
        <v>4975.6000000000004</v>
      </c>
    </row>
    <row r="177" spans="1:2" x14ac:dyDescent="0.3">
      <c r="A177" s="5" t="s">
        <v>2689</v>
      </c>
      <c r="B177" s="2">
        <v>259.45</v>
      </c>
    </row>
    <row r="178" spans="1:2" x14ac:dyDescent="0.3">
      <c r="A178" s="5" t="s">
        <v>2067</v>
      </c>
      <c r="B178" s="2">
        <v>521.99</v>
      </c>
    </row>
    <row r="179" spans="1:2" x14ac:dyDescent="0.3">
      <c r="A179" s="5" t="s">
        <v>2525</v>
      </c>
      <c r="B179" s="2">
        <v>2680.75</v>
      </c>
    </row>
    <row r="180" spans="1:2" x14ac:dyDescent="0.3">
      <c r="A180" s="5" t="s">
        <v>48</v>
      </c>
      <c r="B180" s="2">
        <v>1618.32</v>
      </c>
    </row>
    <row r="181" spans="1:2" x14ac:dyDescent="0.3">
      <c r="A181" s="5" t="s">
        <v>167</v>
      </c>
      <c r="B181" s="2">
        <v>718.65</v>
      </c>
    </row>
    <row r="182" spans="1:2" x14ac:dyDescent="0.3">
      <c r="A182" s="5" t="s">
        <v>263</v>
      </c>
      <c r="B182" s="2">
        <v>2297.13</v>
      </c>
    </row>
    <row r="183" spans="1:2" x14ac:dyDescent="0.3">
      <c r="A183" s="5" t="s">
        <v>787</v>
      </c>
      <c r="B183" s="2">
        <v>349.7</v>
      </c>
    </row>
    <row r="184" spans="1:2" x14ac:dyDescent="0.3">
      <c r="A184" s="5" t="s">
        <v>1335</v>
      </c>
      <c r="B184" s="2">
        <v>3695.65</v>
      </c>
    </row>
    <row r="185" spans="1:2" x14ac:dyDescent="0.3">
      <c r="A185" s="5" t="s">
        <v>1165</v>
      </c>
      <c r="B185" s="2">
        <v>127.54</v>
      </c>
    </row>
    <row r="186" spans="1:2" x14ac:dyDescent="0.3">
      <c r="A186" s="5" t="s">
        <v>2627</v>
      </c>
      <c r="B186" s="2">
        <v>1668.24</v>
      </c>
    </row>
    <row r="187" spans="1:2" x14ac:dyDescent="0.3">
      <c r="A187" s="5" t="s">
        <v>2799</v>
      </c>
      <c r="B187" s="2">
        <v>362.77</v>
      </c>
    </row>
    <row r="188" spans="1:2" x14ac:dyDescent="0.3">
      <c r="A188" s="5" t="s">
        <v>1797</v>
      </c>
      <c r="B188" s="2">
        <v>242.1</v>
      </c>
    </row>
    <row r="189" spans="1:2" x14ac:dyDescent="0.3">
      <c r="A189" s="5" t="s">
        <v>1251</v>
      </c>
      <c r="B189" s="2">
        <v>346.52</v>
      </c>
    </row>
    <row r="190" spans="1:2" x14ac:dyDescent="0.3">
      <c r="A190" s="5" t="s">
        <v>31</v>
      </c>
      <c r="B190" s="2">
        <v>629.37</v>
      </c>
    </row>
    <row r="191" spans="1:2" x14ac:dyDescent="0.3">
      <c r="A191" s="5" t="s">
        <v>2737</v>
      </c>
      <c r="B191" s="2">
        <v>1088.96</v>
      </c>
    </row>
    <row r="192" spans="1:2" x14ac:dyDescent="0.3">
      <c r="A192" s="5" t="s">
        <v>231</v>
      </c>
      <c r="B192" s="2">
        <v>1540.12</v>
      </c>
    </row>
    <row r="193" spans="1:2" x14ac:dyDescent="0.3">
      <c r="A193" s="5" t="s">
        <v>151</v>
      </c>
      <c r="B193" s="2">
        <v>3626</v>
      </c>
    </row>
    <row r="194" spans="1:2" x14ac:dyDescent="0.3">
      <c r="A194" s="5" t="s">
        <v>3097</v>
      </c>
      <c r="B194" s="2">
        <v>2498</v>
      </c>
    </row>
    <row r="195" spans="1:2" x14ac:dyDescent="0.3">
      <c r="A195" s="5" t="s">
        <v>41</v>
      </c>
      <c r="B195" s="2">
        <v>1810.2</v>
      </c>
    </row>
    <row r="196" spans="1:2" x14ac:dyDescent="0.3">
      <c r="A196" s="5" t="s">
        <v>1009</v>
      </c>
      <c r="B196" s="2">
        <v>4093.6</v>
      </c>
    </row>
    <row r="197" spans="1:2" x14ac:dyDescent="0.3">
      <c r="A197" s="5" t="s">
        <v>1299</v>
      </c>
      <c r="B197" s="2">
        <v>2014.46</v>
      </c>
    </row>
    <row r="198" spans="1:2" x14ac:dyDescent="0.3">
      <c r="A198" s="5" t="s">
        <v>2715</v>
      </c>
      <c r="B198" s="2">
        <v>1709.16</v>
      </c>
    </row>
    <row r="199" spans="1:2" x14ac:dyDescent="0.3">
      <c r="A199" s="5" t="s">
        <v>2407</v>
      </c>
      <c r="B199" s="2">
        <v>894.52</v>
      </c>
    </row>
    <row r="200" spans="1:2" x14ac:dyDescent="0.3">
      <c r="A200" s="5" t="s">
        <v>217</v>
      </c>
      <c r="B200" s="2">
        <v>1418.28</v>
      </c>
    </row>
    <row r="201" spans="1:2" x14ac:dyDescent="0.3">
      <c r="A201" s="5" t="s">
        <v>20</v>
      </c>
      <c r="B201" s="2">
        <v>3172.55</v>
      </c>
    </row>
    <row r="202" spans="1:2" x14ac:dyDescent="0.3">
      <c r="A202" s="5" t="s">
        <v>3143</v>
      </c>
      <c r="B202" s="2">
        <v>2386.4</v>
      </c>
    </row>
    <row r="203" spans="1:2" x14ac:dyDescent="0.3">
      <c r="A203" s="5" t="s">
        <v>1387</v>
      </c>
      <c r="B203" s="2">
        <v>128.56</v>
      </c>
    </row>
    <row r="204" spans="1:2" x14ac:dyDescent="0.3">
      <c r="A204" s="5" t="s">
        <v>65</v>
      </c>
      <c r="B204" s="2">
        <v>1118.3</v>
      </c>
    </row>
    <row r="205" spans="1:2" x14ac:dyDescent="0.3">
      <c r="A205" s="5" t="s">
        <v>2029</v>
      </c>
      <c r="B205" s="2">
        <v>2555.52</v>
      </c>
    </row>
    <row r="206" spans="1:2" x14ac:dyDescent="0.3">
      <c r="A206" s="5" t="s">
        <v>785</v>
      </c>
      <c r="B206" s="2">
        <v>1169.04</v>
      </c>
    </row>
    <row r="207" spans="1:2" x14ac:dyDescent="0.3">
      <c r="A207" s="5" t="s">
        <v>2835</v>
      </c>
      <c r="B207" s="2">
        <v>2236.08</v>
      </c>
    </row>
    <row r="208" spans="1:2" x14ac:dyDescent="0.3">
      <c r="A208" s="5" t="s">
        <v>465</v>
      </c>
      <c r="B208" s="2">
        <v>3868.55</v>
      </c>
    </row>
    <row r="209" spans="1:2" x14ac:dyDescent="0.3">
      <c r="A209" s="5" t="s">
        <v>2813</v>
      </c>
      <c r="B209" s="2">
        <v>82.47</v>
      </c>
    </row>
    <row r="210" spans="1:2" x14ac:dyDescent="0.3">
      <c r="A210" s="5" t="s">
        <v>277</v>
      </c>
      <c r="B210" s="2">
        <v>304</v>
      </c>
    </row>
    <row r="211" spans="1:2" x14ac:dyDescent="0.3">
      <c r="A211" s="5" t="s">
        <v>477</v>
      </c>
      <c r="B211" s="2">
        <v>1088.8800000000001</v>
      </c>
    </row>
    <row r="212" spans="1:2" x14ac:dyDescent="0.3">
      <c r="A212" s="5" t="s">
        <v>3303</v>
      </c>
      <c r="B212" s="2">
        <v>39.24</v>
      </c>
    </row>
    <row r="213" spans="1:2" x14ac:dyDescent="0.3">
      <c r="A213" s="5" t="s">
        <v>1501</v>
      </c>
      <c r="B213" s="2">
        <v>544.53</v>
      </c>
    </row>
    <row r="214" spans="1:2" x14ac:dyDescent="0.3">
      <c r="A214" s="5" t="s">
        <v>279</v>
      </c>
      <c r="B214" s="2">
        <v>5539.17</v>
      </c>
    </row>
    <row r="215" spans="1:2" x14ac:dyDescent="0.3">
      <c r="A215" s="5" t="s">
        <v>2137</v>
      </c>
      <c r="B215" s="2">
        <v>283.8</v>
      </c>
    </row>
    <row r="216" spans="1:2" x14ac:dyDescent="0.3">
      <c r="A216" s="5" t="s">
        <v>1207</v>
      </c>
      <c r="B216" s="2">
        <v>770.15</v>
      </c>
    </row>
    <row r="217" spans="1:2" x14ac:dyDescent="0.3">
      <c r="A217" s="5" t="s">
        <v>3131</v>
      </c>
      <c r="B217" s="2">
        <v>1435.22</v>
      </c>
    </row>
    <row r="218" spans="1:2" x14ac:dyDescent="0.3">
      <c r="A218" s="5" t="s">
        <v>1113</v>
      </c>
      <c r="B218" s="2">
        <v>4234.4399999999996</v>
      </c>
    </row>
    <row r="219" spans="1:2" x14ac:dyDescent="0.3">
      <c r="A219" s="5" t="s">
        <v>1789</v>
      </c>
      <c r="B219" s="2">
        <v>4974</v>
      </c>
    </row>
    <row r="220" spans="1:2" x14ac:dyDescent="0.3">
      <c r="A220" s="5" t="s">
        <v>1315</v>
      </c>
      <c r="B220" s="2">
        <v>2419.08</v>
      </c>
    </row>
    <row r="221" spans="1:2" x14ac:dyDescent="0.3">
      <c r="A221" s="5" t="s">
        <v>733</v>
      </c>
      <c r="B221" s="2">
        <v>4031.68</v>
      </c>
    </row>
    <row r="222" spans="1:2" x14ac:dyDescent="0.3">
      <c r="A222" s="5" t="s">
        <v>153</v>
      </c>
      <c r="B222" s="2">
        <v>1743</v>
      </c>
    </row>
    <row r="223" spans="1:2" x14ac:dyDescent="0.3">
      <c r="A223" s="5" t="s">
        <v>455</v>
      </c>
      <c r="B223" s="2">
        <v>1814.45</v>
      </c>
    </row>
    <row r="224" spans="1:2" x14ac:dyDescent="0.3">
      <c r="A224" s="5" t="s">
        <v>2145</v>
      </c>
      <c r="B224" s="2">
        <v>2507.25</v>
      </c>
    </row>
    <row r="225" spans="1:2" x14ac:dyDescent="0.3">
      <c r="A225" s="5" t="s">
        <v>2967</v>
      </c>
      <c r="B225" s="2">
        <v>1720.5</v>
      </c>
    </row>
    <row r="226" spans="1:2" x14ac:dyDescent="0.3">
      <c r="A226" s="5" t="s">
        <v>1455</v>
      </c>
      <c r="B226" s="2">
        <v>3150.91</v>
      </c>
    </row>
    <row r="227" spans="1:2" x14ac:dyDescent="0.3">
      <c r="A227" s="5" t="s">
        <v>3085</v>
      </c>
      <c r="B227" s="2">
        <v>1845.9</v>
      </c>
    </row>
    <row r="228" spans="1:2" x14ac:dyDescent="0.3">
      <c r="A228" s="5" t="s">
        <v>3023</v>
      </c>
      <c r="B228" s="2">
        <v>3895.78</v>
      </c>
    </row>
    <row r="229" spans="1:2" x14ac:dyDescent="0.3">
      <c r="A229" s="5" t="s">
        <v>243</v>
      </c>
      <c r="B229" s="2">
        <v>4570.6400000000003</v>
      </c>
    </row>
    <row r="230" spans="1:2" x14ac:dyDescent="0.3">
      <c r="A230" s="5" t="s">
        <v>1669</v>
      </c>
      <c r="B230" s="2">
        <v>1319.64</v>
      </c>
    </row>
    <row r="231" spans="1:2" x14ac:dyDescent="0.3">
      <c r="A231" s="5" t="s">
        <v>1877</v>
      </c>
      <c r="B231" s="2">
        <v>2611.84</v>
      </c>
    </row>
    <row r="232" spans="1:2" x14ac:dyDescent="0.3">
      <c r="A232" s="5" t="s">
        <v>959</v>
      </c>
      <c r="B232" s="2">
        <v>1731.39</v>
      </c>
    </row>
    <row r="233" spans="1:2" x14ac:dyDescent="0.3">
      <c r="A233" s="5" t="s">
        <v>965</v>
      </c>
      <c r="B233" s="2">
        <v>3228</v>
      </c>
    </row>
    <row r="234" spans="1:2" x14ac:dyDescent="0.3">
      <c r="A234" s="5" t="s">
        <v>941</v>
      </c>
      <c r="B234" s="2">
        <v>752.76</v>
      </c>
    </row>
    <row r="235" spans="1:2" x14ac:dyDescent="0.3">
      <c r="A235" s="5" t="s">
        <v>789</v>
      </c>
      <c r="B235" s="2">
        <v>115.2</v>
      </c>
    </row>
    <row r="236" spans="1:2" x14ac:dyDescent="0.3">
      <c r="A236" s="5" t="s">
        <v>1651</v>
      </c>
      <c r="B236" s="2">
        <v>769.5</v>
      </c>
    </row>
    <row r="237" spans="1:2" x14ac:dyDescent="0.3">
      <c r="A237" s="5" t="s">
        <v>3029</v>
      </c>
      <c r="B237" s="2">
        <v>2192.4899999999998</v>
      </c>
    </row>
    <row r="238" spans="1:2" x14ac:dyDescent="0.3">
      <c r="A238" s="5" t="s">
        <v>657</v>
      </c>
      <c r="B238" s="2">
        <v>3167.46</v>
      </c>
    </row>
    <row r="239" spans="1:2" x14ac:dyDescent="0.3">
      <c r="A239" s="5" t="s">
        <v>1507</v>
      </c>
      <c r="B239" s="2">
        <v>2846.68</v>
      </c>
    </row>
    <row r="240" spans="1:2" x14ac:dyDescent="0.3">
      <c r="A240" s="5" t="s">
        <v>3121</v>
      </c>
      <c r="B240" s="2">
        <v>1360.18</v>
      </c>
    </row>
    <row r="241" spans="1:2" x14ac:dyDescent="0.3">
      <c r="A241" s="5" t="s">
        <v>2185</v>
      </c>
      <c r="B241" s="2">
        <v>2638.14</v>
      </c>
    </row>
    <row r="242" spans="1:2" x14ac:dyDescent="0.3">
      <c r="A242" s="5" t="s">
        <v>637</v>
      </c>
      <c r="B242" s="2">
        <v>2125.02</v>
      </c>
    </row>
    <row r="243" spans="1:2" x14ac:dyDescent="0.3">
      <c r="A243" s="5" t="s">
        <v>2591</v>
      </c>
      <c r="B243" s="2">
        <v>599.58000000000004</v>
      </c>
    </row>
    <row r="244" spans="1:2" x14ac:dyDescent="0.3">
      <c r="A244" s="5" t="s">
        <v>2817</v>
      </c>
      <c r="B244" s="2">
        <v>2080.38</v>
      </c>
    </row>
    <row r="245" spans="1:2" x14ac:dyDescent="0.3">
      <c r="A245" s="5" t="s">
        <v>621</v>
      </c>
      <c r="B245" s="2">
        <v>420.8</v>
      </c>
    </row>
    <row r="246" spans="1:2" x14ac:dyDescent="0.3">
      <c r="A246" s="5" t="s">
        <v>1945</v>
      </c>
      <c r="B246" s="2">
        <v>5740.16</v>
      </c>
    </row>
    <row r="247" spans="1:2" x14ac:dyDescent="0.3">
      <c r="A247" s="5" t="s">
        <v>233</v>
      </c>
      <c r="B247" s="2">
        <v>779.1</v>
      </c>
    </row>
    <row r="248" spans="1:2" x14ac:dyDescent="0.3">
      <c r="A248" s="5" t="s">
        <v>729</v>
      </c>
      <c r="B248" s="2">
        <v>781.02</v>
      </c>
    </row>
    <row r="249" spans="1:2" x14ac:dyDescent="0.3">
      <c r="A249" s="5" t="s">
        <v>559</v>
      </c>
      <c r="B249" s="2">
        <v>1923.9</v>
      </c>
    </row>
    <row r="250" spans="1:2" x14ac:dyDescent="0.3">
      <c r="A250" s="5" t="s">
        <v>2709</v>
      </c>
      <c r="B250" s="2">
        <v>2307.8000000000002</v>
      </c>
    </row>
    <row r="251" spans="1:2" x14ac:dyDescent="0.3">
      <c r="A251" s="5" t="s">
        <v>535</v>
      </c>
      <c r="B251" s="2">
        <v>1536.3</v>
      </c>
    </row>
    <row r="252" spans="1:2" x14ac:dyDescent="0.3">
      <c r="A252" s="5" t="s">
        <v>407</v>
      </c>
      <c r="B252" s="2">
        <v>455.62</v>
      </c>
    </row>
    <row r="253" spans="1:2" x14ac:dyDescent="0.3">
      <c r="A253" s="5" t="s">
        <v>1895</v>
      </c>
      <c r="B253" s="2">
        <v>2445.48</v>
      </c>
    </row>
    <row r="254" spans="1:2" x14ac:dyDescent="0.3">
      <c r="A254" s="5" t="s">
        <v>2753</v>
      </c>
      <c r="B254" s="2">
        <v>1440.92</v>
      </c>
    </row>
    <row r="255" spans="1:2" x14ac:dyDescent="0.3">
      <c r="A255" s="5" t="s">
        <v>2345</v>
      </c>
      <c r="B255" s="2">
        <v>3471.92</v>
      </c>
    </row>
    <row r="256" spans="1:2" x14ac:dyDescent="0.3">
      <c r="A256" s="5" t="s">
        <v>441</v>
      </c>
      <c r="B256" s="2">
        <v>2207.6</v>
      </c>
    </row>
    <row r="257" spans="1:2" x14ac:dyDescent="0.3">
      <c r="A257" s="4" t="s">
        <v>34</v>
      </c>
      <c r="B257" s="2">
        <v>454006.70000000054</v>
      </c>
    </row>
    <row r="258" spans="1:2" x14ac:dyDescent="0.3">
      <c r="A258" s="5" t="s">
        <v>623</v>
      </c>
      <c r="B258" s="2">
        <v>4043.84</v>
      </c>
    </row>
    <row r="259" spans="1:2" x14ac:dyDescent="0.3">
      <c r="A259" s="5" t="s">
        <v>237</v>
      </c>
      <c r="B259" s="2">
        <v>3120.06</v>
      </c>
    </row>
    <row r="260" spans="1:2" x14ac:dyDescent="0.3">
      <c r="A260" s="5" t="s">
        <v>2301</v>
      </c>
      <c r="B260" s="2">
        <v>2754.64</v>
      </c>
    </row>
    <row r="261" spans="1:2" x14ac:dyDescent="0.3">
      <c r="A261" s="5" t="s">
        <v>3201</v>
      </c>
      <c r="B261" s="2">
        <v>1154.1600000000001</v>
      </c>
    </row>
    <row r="262" spans="1:2" x14ac:dyDescent="0.3">
      <c r="A262" s="5" t="s">
        <v>1525</v>
      </c>
      <c r="B262" s="2">
        <v>977.52</v>
      </c>
    </row>
    <row r="263" spans="1:2" x14ac:dyDescent="0.3">
      <c r="A263" s="5" t="s">
        <v>3059</v>
      </c>
      <c r="B263" s="2">
        <v>3063.62</v>
      </c>
    </row>
    <row r="264" spans="1:2" x14ac:dyDescent="0.3">
      <c r="A264" s="5" t="s">
        <v>1435</v>
      </c>
      <c r="B264" s="2">
        <v>1915.15</v>
      </c>
    </row>
    <row r="265" spans="1:2" x14ac:dyDescent="0.3">
      <c r="A265" s="5" t="s">
        <v>1195</v>
      </c>
      <c r="B265" s="2">
        <v>4105.28</v>
      </c>
    </row>
    <row r="266" spans="1:2" x14ac:dyDescent="0.3">
      <c r="A266" s="5" t="s">
        <v>389</v>
      </c>
      <c r="B266" s="2">
        <v>1901.44</v>
      </c>
    </row>
    <row r="267" spans="1:2" x14ac:dyDescent="0.3">
      <c r="A267" s="5" t="s">
        <v>2267</v>
      </c>
      <c r="B267" s="2">
        <v>760.68</v>
      </c>
    </row>
    <row r="268" spans="1:2" x14ac:dyDescent="0.3">
      <c r="A268" s="5" t="s">
        <v>1409</v>
      </c>
      <c r="B268" s="2">
        <v>562.16</v>
      </c>
    </row>
    <row r="269" spans="1:2" x14ac:dyDescent="0.3">
      <c r="A269" s="5" t="s">
        <v>1129</v>
      </c>
      <c r="B269" s="2">
        <v>992.49</v>
      </c>
    </row>
    <row r="270" spans="1:2" x14ac:dyDescent="0.3">
      <c r="A270" s="5" t="s">
        <v>2269</v>
      </c>
      <c r="B270" s="2">
        <v>1622.1</v>
      </c>
    </row>
    <row r="271" spans="1:2" x14ac:dyDescent="0.3">
      <c r="A271" s="5" t="s">
        <v>1451</v>
      </c>
      <c r="B271" s="2">
        <v>1493.58</v>
      </c>
    </row>
    <row r="272" spans="1:2" x14ac:dyDescent="0.3">
      <c r="A272" s="5" t="s">
        <v>439</v>
      </c>
      <c r="B272" s="2">
        <v>1292.06</v>
      </c>
    </row>
    <row r="273" spans="1:2" x14ac:dyDescent="0.3">
      <c r="A273" s="5" t="s">
        <v>2113</v>
      </c>
      <c r="B273" s="2">
        <v>673.05</v>
      </c>
    </row>
    <row r="274" spans="1:2" x14ac:dyDescent="0.3">
      <c r="A274" s="5" t="s">
        <v>1505</v>
      </c>
      <c r="B274" s="2">
        <v>2709.28</v>
      </c>
    </row>
    <row r="275" spans="1:2" x14ac:dyDescent="0.3">
      <c r="A275" s="5" t="s">
        <v>2389</v>
      </c>
      <c r="B275" s="2">
        <v>226.26</v>
      </c>
    </row>
    <row r="276" spans="1:2" x14ac:dyDescent="0.3">
      <c r="A276" s="5" t="s">
        <v>2829</v>
      </c>
      <c r="B276" s="2">
        <v>4852.1899999999996</v>
      </c>
    </row>
    <row r="277" spans="1:2" x14ac:dyDescent="0.3">
      <c r="A277" s="5" t="s">
        <v>2613</v>
      </c>
      <c r="B277" s="2">
        <v>4848.62</v>
      </c>
    </row>
    <row r="278" spans="1:2" x14ac:dyDescent="0.3">
      <c r="A278" s="5" t="s">
        <v>2333</v>
      </c>
      <c r="B278" s="2">
        <v>683.64</v>
      </c>
    </row>
    <row r="279" spans="1:2" x14ac:dyDescent="0.3">
      <c r="A279" s="5" t="s">
        <v>2049</v>
      </c>
      <c r="B279" s="2">
        <v>1008.3</v>
      </c>
    </row>
    <row r="280" spans="1:2" x14ac:dyDescent="0.3">
      <c r="A280" s="5" t="s">
        <v>1861</v>
      </c>
      <c r="B280" s="2">
        <v>139.94</v>
      </c>
    </row>
    <row r="281" spans="1:2" x14ac:dyDescent="0.3">
      <c r="A281" s="5" t="s">
        <v>2057</v>
      </c>
      <c r="B281" s="2">
        <v>1456.2</v>
      </c>
    </row>
    <row r="282" spans="1:2" x14ac:dyDescent="0.3">
      <c r="A282" s="5" t="s">
        <v>2523</v>
      </c>
      <c r="B282" s="2">
        <v>3491.2</v>
      </c>
    </row>
    <row r="283" spans="1:2" x14ac:dyDescent="0.3">
      <c r="A283" s="5" t="s">
        <v>3055</v>
      </c>
      <c r="B283" s="2">
        <v>835.55</v>
      </c>
    </row>
    <row r="284" spans="1:2" x14ac:dyDescent="0.3">
      <c r="A284" s="5" t="s">
        <v>2955</v>
      </c>
      <c r="B284" s="2">
        <v>1095.6300000000001</v>
      </c>
    </row>
    <row r="285" spans="1:2" x14ac:dyDescent="0.3">
      <c r="A285" s="5" t="s">
        <v>2311</v>
      </c>
      <c r="B285" s="2">
        <v>2187.39</v>
      </c>
    </row>
    <row r="286" spans="1:2" x14ac:dyDescent="0.3">
      <c r="A286" s="5" t="s">
        <v>2285</v>
      </c>
      <c r="B286" s="2">
        <v>583.26</v>
      </c>
    </row>
    <row r="287" spans="1:2" x14ac:dyDescent="0.3">
      <c r="A287" s="5" t="s">
        <v>2795</v>
      </c>
      <c r="B287" s="2">
        <v>139.88</v>
      </c>
    </row>
    <row r="288" spans="1:2" x14ac:dyDescent="0.3">
      <c r="A288" s="5" t="s">
        <v>1115</v>
      </c>
      <c r="B288" s="2">
        <v>5274</v>
      </c>
    </row>
    <row r="289" spans="1:2" x14ac:dyDescent="0.3">
      <c r="A289" s="5" t="s">
        <v>1699</v>
      </c>
      <c r="B289" s="2">
        <v>1486.53</v>
      </c>
    </row>
    <row r="290" spans="1:2" x14ac:dyDescent="0.3">
      <c r="A290" s="5" t="s">
        <v>2013</v>
      </c>
      <c r="B290" s="2">
        <v>50.33</v>
      </c>
    </row>
    <row r="291" spans="1:2" x14ac:dyDescent="0.3">
      <c r="A291" s="5" t="s">
        <v>533</v>
      </c>
      <c r="B291" s="2">
        <v>2952.06</v>
      </c>
    </row>
    <row r="292" spans="1:2" x14ac:dyDescent="0.3">
      <c r="A292" s="5" t="s">
        <v>2359</v>
      </c>
      <c r="B292" s="2">
        <v>3176.82</v>
      </c>
    </row>
    <row r="293" spans="1:2" x14ac:dyDescent="0.3">
      <c r="A293" s="5" t="s">
        <v>2219</v>
      </c>
      <c r="B293" s="2">
        <v>3866.75</v>
      </c>
    </row>
    <row r="294" spans="1:2" x14ac:dyDescent="0.3">
      <c r="A294" s="5" t="s">
        <v>3261</v>
      </c>
      <c r="B294" s="2">
        <v>297.06</v>
      </c>
    </row>
    <row r="295" spans="1:2" x14ac:dyDescent="0.3">
      <c r="A295" s="5" t="s">
        <v>3091</v>
      </c>
      <c r="B295" s="2">
        <v>716.32</v>
      </c>
    </row>
    <row r="296" spans="1:2" x14ac:dyDescent="0.3">
      <c r="A296" s="5" t="s">
        <v>2763</v>
      </c>
      <c r="B296" s="2">
        <v>4306.32</v>
      </c>
    </row>
    <row r="297" spans="1:2" x14ac:dyDescent="0.3">
      <c r="A297" s="5" t="s">
        <v>927</v>
      </c>
      <c r="B297" s="2">
        <v>2538</v>
      </c>
    </row>
    <row r="298" spans="1:2" x14ac:dyDescent="0.3">
      <c r="A298" s="5" t="s">
        <v>2909</v>
      </c>
      <c r="B298" s="2">
        <v>75.040000000000006</v>
      </c>
    </row>
    <row r="299" spans="1:2" x14ac:dyDescent="0.3">
      <c r="A299" s="5" t="s">
        <v>497</v>
      </c>
      <c r="B299" s="2">
        <v>677.08</v>
      </c>
    </row>
    <row r="300" spans="1:2" x14ac:dyDescent="0.3">
      <c r="A300" s="5" t="s">
        <v>2815</v>
      </c>
      <c r="B300" s="2">
        <v>2939.3</v>
      </c>
    </row>
    <row r="301" spans="1:2" x14ac:dyDescent="0.3">
      <c r="A301" s="5" t="s">
        <v>1167</v>
      </c>
      <c r="B301" s="2">
        <v>674.91</v>
      </c>
    </row>
    <row r="302" spans="1:2" x14ac:dyDescent="0.3">
      <c r="A302" s="5" t="s">
        <v>261</v>
      </c>
      <c r="B302" s="2">
        <v>347.82</v>
      </c>
    </row>
    <row r="303" spans="1:2" x14ac:dyDescent="0.3">
      <c r="A303" s="5" t="s">
        <v>1887</v>
      </c>
      <c r="B303" s="2">
        <v>3032.22</v>
      </c>
    </row>
    <row r="304" spans="1:2" x14ac:dyDescent="0.3">
      <c r="A304" s="5" t="s">
        <v>2165</v>
      </c>
      <c r="B304" s="2">
        <v>256.49</v>
      </c>
    </row>
    <row r="305" spans="1:2" x14ac:dyDescent="0.3">
      <c r="A305" s="5" t="s">
        <v>947</v>
      </c>
      <c r="B305" s="2">
        <v>184.5</v>
      </c>
    </row>
    <row r="306" spans="1:2" x14ac:dyDescent="0.3">
      <c r="A306" s="5" t="s">
        <v>1777</v>
      </c>
      <c r="B306" s="2">
        <v>1300.98</v>
      </c>
    </row>
    <row r="307" spans="1:2" x14ac:dyDescent="0.3">
      <c r="A307" s="5" t="s">
        <v>3251</v>
      </c>
      <c r="B307" s="2">
        <v>295.56</v>
      </c>
    </row>
    <row r="308" spans="1:2" x14ac:dyDescent="0.3">
      <c r="A308" s="5" t="s">
        <v>2187</v>
      </c>
      <c r="B308" s="2">
        <v>3837.54</v>
      </c>
    </row>
    <row r="309" spans="1:2" x14ac:dyDescent="0.3">
      <c r="A309" s="5" t="s">
        <v>46</v>
      </c>
      <c r="B309" s="2">
        <v>3697.54</v>
      </c>
    </row>
    <row r="310" spans="1:2" x14ac:dyDescent="0.3">
      <c r="A310" s="5" t="s">
        <v>1745</v>
      </c>
      <c r="B310" s="2">
        <v>742.11</v>
      </c>
    </row>
    <row r="311" spans="1:2" x14ac:dyDescent="0.3">
      <c r="A311" s="5" t="s">
        <v>1929</v>
      </c>
      <c r="B311" s="2">
        <v>278.12</v>
      </c>
    </row>
    <row r="312" spans="1:2" x14ac:dyDescent="0.3">
      <c r="A312" s="5" t="s">
        <v>2361</v>
      </c>
      <c r="B312" s="2">
        <v>583.41</v>
      </c>
    </row>
    <row r="313" spans="1:2" x14ac:dyDescent="0.3">
      <c r="A313" s="5" t="s">
        <v>2069</v>
      </c>
      <c r="B313" s="2">
        <v>3028.76</v>
      </c>
    </row>
    <row r="314" spans="1:2" x14ac:dyDescent="0.3">
      <c r="A314" s="5" t="s">
        <v>2843</v>
      </c>
      <c r="B314" s="2">
        <v>347.91</v>
      </c>
    </row>
    <row r="315" spans="1:2" x14ac:dyDescent="0.3">
      <c r="A315" s="5" t="s">
        <v>3249</v>
      </c>
      <c r="B315" s="2">
        <v>5364.56</v>
      </c>
    </row>
    <row r="316" spans="1:2" x14ac:dyDescent="0.3">
      <c r="A316" s="5" t="s">
        <v>1759</v>
      </c>
      <c r="B316" s="2">
        <v>1225.78</v>
      </c>
    </row>
    <row r="317" spans="1:2" x14ac:dyDescent="0.3">
      <c r="A317" s="5" t="s">
        <v>2031</v>
      </c>
      <c r="B317" s="2">
        <v>529.94000000000005</v>
      </c>
    </row>
    <row r="318" spans="1:2" x14ac:dyDescent="0.3">
      <c r="A318" s="5" t="s">
        <v>129</v>
      </c>
      <c r="B318" s="2">
        <v>1986.6</v>
      </c>
    </row>
    <row r="319" spans="1:2" x14ac:dyDescent="0.3">
      <c r="A319" s="5" t="s">
        <v>2259</v>
      </c>
      <c r="B319" s="2">
        <v>444.96</v>
      </c>
    </row>
    <row r="320" spans="1:2" x14ac:dyDescent="0.3">
      <c r="A320" s="5" t="s">
        <v>671</v>
      </c>
      <c r="B320" s="2">
        <v>5317.68</v>
      </c>
    </row>
    <row r="321" spans="1:2" x14ac:dyDescent="0.3">
      <c r="A321" s="5" t="s">
        <v>185</v>
      </c>
      <c r="B321" s="2">
        <v>2260.4</v>
      </c>
    </row>
    <row r="322" spans="1:2" x14ac:dyDescent="0.3">
      <c r="A322" s="5" t="s">
        <v>1867</v>
      </c>
      <c r="B322" s="2">
        <v>3411.17</v>
      </c>
    </row>
    <row r="323" spans="1:2" x14ac:dyDescent="0.3">
      <c r="A323" s="5" t="s">
        <v>2685</v>
      </c>
      <c r="B323" s="2">
        <v>2527.77</v>
      </c>
    </row>
    <row r="324" spans="1:2" x14ac:dyDescent="0.3">
      <c r="A324" s="5" t="s">
        <v>1227</v>
      </c>
      <c r="B324" s="2">
        <v>2114.48</v>
      </c>
    </row>
    <row r="325" spans="1:2" x14ac:dyDescent="0.3">
      <c r="A325" s="5" t="s">
        <v>1719</v>
      </c>
      <c r="B325" s="2">
        <v>3191.28</v>
      </c>
    </row>
    <row r="326" spans="1:2" x14ac:dyDescent="0.3">
      <c r="A326" s="5" t="s">
        <v>1123</v>
      </c>
      <c r="B326" s="2">
        <v>4233.6000000000004</v>
      </c>
    </row>
    <row r="327" spans="1:2" x14ac:dyDescent="0.3">
      <c r="A327" s="5" t="s">
        <v>2393</v>
      </c>
      <c r="B327" s="2">
        <v>863.84</v>
      </c>
    </row>
    <row r="328" spans="1:2" x14ac:dyDescent="0.3">
      <c r="A328" s="5" t="s">
        <v>1917</v>
      </c>
      <c r="B328" s="2">
        <v>332.76</v>
      </c>
    </row>
    <row r="329" spans="1:2" x14ac:dyDescent="0.3">
      <c r="A329" s="5" t="s">
        <v>1667</v>
      </c>
      <c r="B329" s="2">
        <v>976.14</v>
      </c>
    </row>
    <row r="330" spans="1:2" x14ac:dyDescent="0.3">
      <c r="A330" s="5" t="s">
        <v>505</v>
      </c>
      <c r="B330" s="2">
        <v>3758.4</v>
      </c>
    </row>
    <row r="331" spans="1:2" x14ac:dyDescent="0.3">
      <c r="A331" s="5" t="s">
        <v>1319</v>
      </c>
      <c r="B331" s="2">
        <v>1515.24</v>
      </c>
    </row>
    <row r="332" spans="1:2" x14ac:dyDescent="0.3">
      <c r="A332" s="5" t="s">
        <v>2541</v>
      </c>
      <c r="B332" s="2">
        <v>73.23</v>
      </c>
    </row>
    <row r="333" spans="1:2" x14ac:dyDescent="0.3">
      <c r="A333" s="5" t="s">
        <v>979</v>
      </c>
      <c r="B333" s="2">
        <v>1747.55</v>
      </c>
    </row>
    <row r="334" spans="1:2" x14ac:dyDescent="0.3">
      <c r="A334" s="5" t="s">
        <v>2741</v>
      </c>
      <c r="B334" s="2">
        <v>228.75</v>
      </c>
    </row>
    <row r="335" spans="1:2" x14ac:dyDescent="0.3">
      <c r="A335" s="5" t="s">
        <v>257</v>
      </c>
      <c r="B335" s="2">
        <v>2544.4299999999998</v>
      </c>
    </row>
    <row r="336" spans="1:2" x14ac:dyDescent="0.3">
      <c r="A336" s="5" t="s">
        <v>1275</v>
      </c>
      <c r="B336" s="2">
        <v>698.52</v>
      </c>
    </row>
    <row r="337" spans="1:2" x14ac:dyDescent="0.3">
      <c r="A337" s="5" t="s">
        <v>3157</v>
      </c>
      <c r="B337" s="2">
        <v>4955.6000000000004</v>
      </c>
    </row>
    <row r="338" spans="1:2" x14ac:dyDescent="0.3">
      <c r="A338" s="5" t="s">
        <v>911</v>
      </c>
      <c r="B338" s="2">
        <v>1012.04</v>
      </c>
    </row>
    <row r="339" spans="1:2" x14ac:dyDescent="0.3">
      <c r="A339" s="5" t="s">
        <v>131</v>
      </c>
      <c r="B339" s="2">
        <v>3483.2</v>
      </c>
    </row>
    <row r="340" spans="1:2" x14ac:dyDescent="0.3">
      <c r="A340" s="5" t="s">
        <v>1103</v>
      </c>
      <c r="B340" s="2">
        <v>1021.6</v>
      </c>
    </row>
    <row r="341" spans="1:2" x14ac:dyDescent="0.3">
      <c r="A341" s="5" t="s">
        <v>3161</v>
      </c>
      <c r="B341" s="2">
        <v>1377.84</v>
      </c>
    </row>
    <row r="342" spans="1:2" x14ac:dyDescent="0.3">
      <c r="A342" s="5" t="s">
        <v>1761</v>
      </c>
      <c r="B342" s="2">
        <v>743.28</v>
      </c>
    </row>
    <row r="343" spans="1:2" x14ac:dyDescent="0.3">
      <c r="A343" s="5" t="s">
        <v>781</v>
      </c>
      <c r="B343" s="2">
        <v>416.57</v>
      </c>
    </row>
    <row r="344" spans="1:2" x14ac:dyDescent="0.3">
      <c r="A344" s="5" t="s">
        <v>1461</v>
      </c>
      <c r="B344" s="2">
        <v>1948.2</v>
      </c>
    </row>
    <row r="345" spans="1:2" x14ac:dyDescent="0.3">
      <c r="A345" s="5" t="s">
        <v>1927</v>
      </c>
      <c r="B345" s="2">
        <v>2271.0500000000002</v>
      </c>
    </row>
    <row r="346" spans="1:2" x14ac:dyDescent="0.3">
      <c r="A346" s="5" t="s">
        <v>317</v>
      </c>
      <c r="B346" s="2">
        <v>5505.15</v>
      </c>
    </row>
    <row r="347" spans="1:2" x14ac:dyDescent="0.3">
      <c r="A347" s="5" t="s">
        <v>355</v>
      </c>
      <c r="B347" s="2">
        <v>3001.32</v>
      </c>
    </row>
    <row r="348" spans="1:2" x14ac:dyDescent="0.3">
      <c r="A348" s="5" t="s">
        <v>1919</v>
      </c>
      <c r="B348" s="2">
        <v>1411.64</v>
      </c>
    </row>
    <row r="349" spans="1:2" x14ac:dyDescent="0.3">
      <c r="A349" s="5" t="s">
        <v>757</v>
      </c>
      <c r="B349" s="2">
        <v>4292.22</v>
      </c>
    </row>
    <row r="350" spans="1:2" x14ac:dyDescent="0.3">
      <c r="A350" s="5" t="s">
        <v>2277</v>
      </c>
      <c r="B350" s="2">
        <v>56.49</v>
      </c>
    </row>
    <row r="351" spans="1:2" x14ac:dyDescent="0.3">
      <c r="A351" s="5" t="s">
        <v>915</v>
      </c>
      <c r="B351" s="2">
        <v>1493.49</v>
      </c>
    </row>
    <row r="352" spans="1:2" x14ac:dyDescent="0.3">
      <c r="A352" s="5" t="s">
        <v>1971</v>
      </c>
      <c r="B352" s="2">
        <v>17.78</v>
      </c>
    </row>
    <row r="353" spans="1:2" x14ac:dyDescent="0.3">
      <c r="A353" s="5" t="s">
        <v>1443</v>
      </c>
      <c r="B353" s="2">
        <v>3459.26</v>
      </c>
    </row>
    <row r="354" spans="1:2" x14ac:dyDescent="0.3">
      <c r="A354" s="5" t="s">
        <v>617</v>
      </c>
      <c r="B354" s="2">
        <v>2436.2399999999998</v>
      </c>
    </row>
    <row r="355" spans="1:2" x14ac:dyDescent="0.3">
      <c r="A355" s="5" t="s">
        <v>2261</v>
      </c>
      <c r="B355" s="2">
        <v>1380.45</v>
      </c>
    </row>
    <row r="356" spans="1:2" x14ac:dyDescent="0.3">
      <c r="A356" s="5" t="s">
        <v>977</v>
      </c>
      <c r="B356" s="2">
        <v>55.88</v>
      </c>
    </row>
    <row r="357" spans="1:2" x14ac:dyDescent="0.3">
      <c r="A357" s="5" t="s">
        <v>2257</v>
      </c>
      <c r="B357" s="2">
        <v>1236.68</v>
      </c>
    </row>
    <row r="358" spans="1:2" x14ac:dyDescent="0.3">
      <c r="A358" s="5" t="s">
        <v>2651</v>
      </c>
      <c r="B358" s="2">
        <v>1556.44</v>
      </c>
    </row>
    <row r="359" spans="1:2" x14ac:dyDescent="0.3">
      <c r="A359" s="5" t="s">
        <v>2567</v>
      </c>
      <c r="B359" s="2">
        <v>598.91999999999996</v>
      </c>
    </row>
    <row r="360" spans="1:2" x14ac:dyDescent="0.3">
      <c r="A360" s="5" t="s">
        <v>67</v>
      </c>
      <c r="B360" s="2">
        <v>673.5</v>
      </c>
    </row>
    <row r="361" spans="1:2" x14ac:dyDescent="0.3">
      <c r="A361" s="5" t="s">
        <v>493</v>
      </c>
      <c r="B361" s="2">
        <v>406.38</v>
      </c>
    </row>
    <row r="362" spans="1:2" x14ac:dyDescent="0.3">
      <c r="A362" s="5" t="s">
        <v>2657</v>
      </c>
      <c r="B362" s="2">
        <v>1980.93</v>
      </c>
    </row>
    <row r="363" spans="1:2" x14ac:dyDescent="0.3">
      <c r="A363" s="5" t="s">
        <v>2413</v>
      </c>
      <c r="B363" s="2">
        <v>3662.45</v>
      </c>
    </row>
    <row r="364" spans="1:2" x14ac:dyDescent="0.3">
      <c r="A364" s="5" t="s">
        <v>1527</v>
      </c>
      <c r="B364" s="2">
        <v>13.47</v>
      </c>
    </row>
    <row r="365" spans="1:2" x14ac:dyDescent="0.3">
      <c r="A365" s="5" t="s">
        <v>501</v>
      </c>
      <c r="B365" s="2">
        <v>372.48</v>
      </c>
    </row>
    <row r="366" spans="1:2" x14ac:dyDescent="0.3">
      <c r="A366" s="5" t="s">
        <v>2693</v>
      </c>
      <c r="B366" s="2">
        <v>143.5</v>
      </c>
    </row>
    <row r="367" spans="1:2" x14ac:dyDescent="0.3">
      <c r="A367" s="5" t="s">
        <v>2679</v>
      </c>
      <c r="B367" s="2">
        <v>6.06</v>
      </c>
    </row>
    <row r="368" spans="1:2" x14ac:dyDescent="0.3">
      <c r="A368" s="5" t="s">
        <v>225</v>
      </c>
      <c r="B368" s="2">
        <v>2828</v>
      </c>
    </row>
    <row r="369" spans="1:2" x14ac:dyDescent="0.3">
      <c r="A369" s="5" t="s">
        <v>1025</v>
      </c>
      <c r="B369" s="2">
        <v>511.82</v>
      </c>
    </row>
    <row r="370" spans="1:2" x14ac:dyDescent="0.3">
      <c r="A370" s="5" t="s">
        <v>33</v>
      </c>
      <c r="B370" s="2">
        <v>266.22000000000003</v>
      </c>
    </row>
    <row r="371" spans="1:2" x14ac:dyDescent="0.3">
      <c r="A371" s="5" t="s">
        <v>2911</v>
      </c>
      <c r="B371" s="2">
        <v>2226.9899999999998</v>
      </c>
    </row>
    <row r="372" spans="1:2" x14ac:dyDescent="0.3">
      <c r="A372" s="5" t="s">
        <v>557</v>
      </c>
      <c r="B372" s="2">
        <v>2637.88</v>
      </c>
    </row>
    <row r="373" spans="1:2" x14ac:dyDescent="0.3">
      <c r="A373" s="5" t="s">
        <v>2943</v>
      </c>
      <c r="B373" s="2">
        <v>1173.55</v>
      </c>
    </row>
    <row r="374" spans="1:2" x14ac:dyDescent="0.3">
      <c r="A374" s="5" t="s">
        <v>1873</v>
      </c>
      <c r="B374" s="2">
        <v>168.44</v>
      </c>
    </row>
    <row r="375" spans="1:2" x14ac:dyDescent="0.3">
      <c r="A375" s="5" t="s">
        <v>1741</v>
      </c>
      <c r="B375" s="2">
        <v>2086.38</v>
      </c>
    </row>
    <row r="376" spans="1:2" x14ac:dyDescent="0.3">
      <c r="A376" s="5" t="s">
        <v>3193</v>
      </c>
      <c r="B376" s="2">
        <v>1872.45</v>
      </c>
    </row>
    <row r="377" spans="1:2" x14ac:dyDescent="0.3">
      <c r="A377" s="5" t="s">
        <v>2275</v>
      </c>
      <c r="B377" s="2">
        <v>1683.6</v>
      </c>
    </row>
    <row r="378" spans="1:2" x14ac:dyDescent="0.3">
      <c r="A378" s="5" t="s">
        <v>1371</v>
      </c>
      <c r="B378" s="2">
        <v>746.81</v>
      </c>
    </row>
    <row r="379" spans="1:2" x14ac:dyDescent="0.3">
      <c r="A379" s="5" t="s">
        <v>2729</v>
      </c>
      <c r="B379" s="2">
        <v>503.08</v>
      </c>
    </row>
    <row r="380" spans="1:2" x14ac:dyDescent="0.3">
      <c r="A380" s="5" t="s">
        <v>989</v>
      </c>
      <c r="B380" s="2">
        <v>3206.14</v>
      </c>
    </row>
    <row r="381" spans="1:2" x14ac:dyDescent="0.3">
      <c r="A381" s="5" t="s">
        <v>375</v>
      </c>
      <c r="B381" s="2">
        <v>1594.56</v>
      </c>
    </row>
    <row r="382" spans="1:2" x14ac:dyDescent="0.3">
      <c r="A382" s="5" t="s">
        <v>1099</v>
      </c>
      <c r="B382" s="2">
        <v>856.72</v>
      </c>
    </row>
    <row r="383" spans="1:2" x14ac:dyDescent="0.3">
      <c r="A383" s="5" t="s">
        <v>1381</v>
      </c>
      <c r="B383" s="2">
        <v>252.08</v>
      </c>
    </row>
    <row r="384" spans="1:2" x14ac:dyDescent="0.3">
      <c r="A384" s="5" t="s">
        <v>2723</v>
      </c>
      <c r="B384" s="2">
        <v>3264.4</v>
      </c>
    </row>
    <row r="385" spans="1:2" x14ac:dyDescent="0.3">
      <c r="A385" s="5" t="s">
        <v>3051</v>
      </c>
      <c r="B385" s="2">
        <v>3402.4</v>
      </c>
    </row>
    <row r="386" spans="1:2" x14ac:dyDescent="0.3">
      <c r="A386" s="5" t="s">
        <v>1309</v>
      </c>
      <c r="B386" s="2">
        <v>1400.72</v>
      </c>
    </row>
    <row r="387" spans="1:2" x14ac:dyDescent="0.3">
      <c r="A387" s="5" t="s">
        <v>2673</v>
      </c>
      <c r="B387" s="2">
        <v>4567.04</v>
      </c>
    </row>
    <row r="388" spans="1:2" x14ac:dyDescent="0.3">
      <c r="A388" s="5" t="s">
        <v>799</v>
      </c>
      <c r="B388" s="2">
        <v>1845.69</v>
      </c>
    </row>
    <row r="389" spans="1:2" x14ac:dyDescent="0.3">
      <c r="A389" s="5" t="s">
        <v>1073</v>
      </c>
      <c r="B389" s="2">
        <v>963.4</v>
      </c>
    </row>
    <row r="390" spans="1:2" x14ac:dyDescent="0.3">
      <c r="A390" s="5" t="s">
        <v>2623</v>
      </c>
      <c r="B390" s="2">
        <v>475.26</v>
      </c>
    </row>
    <row r="391" spans="1:2" x14ac:dyDescent="0.3">
      <c r="A391" s="5" t="s">
        <v>1045</v>
      </c>
      <c r="B391" s="2">
        <v>4719.4399999999996</v>
      </c>
    </row>
    <row r="392" spans="1:2" x14ac:dyDescent="0.3">
      <c r="A392" s="5" t="s">
        <v>585</v>
      </c>
      <c r="B392" s="2">
        <v>900.13</v>
      </c>
    </row>
    <row r="393" spans="1:2" x14ac:dyDescent="0.3">
      <c r="A393" s="5" t="s">
        <v>1665</v>
      </c>
      <c r="B393" s="2">
        <v>2258.1999999999998</v>
      </c>
    </row>
    <row r="394" spans="1:2" x14ac:dyDescent="0.3">
      <c r="A394" s="5" t="s">
        <v>713</v>
      </c>
      <c r="B394" s="2">
        <v>211.18</v>
      </c>
    </row>
    <row r="395" spans="1:2" x14ac:dyDescent="0.3">
      <c r="A395" s="5" t="s">
        <v>741</v>
      </c>
      <c r="B395" s="2">
        <v>3277.36</v>
      </c>
    </row>
    <row r="396" spans="1:2" x14ac:dyDescent="0.3">
      <c r="A396" s="5" t="s">
        <v>3145</v>
      </c>
      <c r="B396" s="2">
        <v>3260.48</v>
      </c>
    </row>
    <row r="397" spans="1:2" x14ac:dyDescent="0.3">
      <c r="A397" s="5" t="s">
        <v>3293</v>
      </c>
      <c r="B397" s="2">
        <v>3120</v>
      </c>
    </row>
    <row r="398" spans="1:2" x14ac:dyDescent="0.3">
      <c r="A398" s="5" t="s">
        <v>343</v>
      </c>
      <c r="B398" s="2">
        <v>1436.64</v>
      </c>
    </row>
    <row r="399" spans="1:2" x14ac:dyDescent="0.3">
      <c r="A399" s="5" t="s">
        <v>1979</v>
      </c>
      <c r="B399" s="2">
        <v>550.04999999999995</v>
      </c>
    </row>
    <row r="400" spans="1:2" x14ac:dyDescent="0.3">
      <c r="A400" s="5" t="s">
        <v>1763</v>
      </c>
      <c r="B400" s="2">
        <v>1273.2</v>
      </c>
    </row>
    <row r="401" spans="1:2" x14ac:dyDescent="0.3">
      <c r="A401" s="5" t="s">
        <v>1253</v>
      </c>
      <c r="B401" s="2">
        <v>75.2</v>
      </c>
    </row>
    <row r="402" spans="1:2" x14ac:dyDescent="0.3">
      <c r="A402" s="5" t="s">
        <v>119</v>
      </c>
      <c r="B402" s="2">
        <v>1658.8</v>
      </c>
    </row>
    <row r="403" spans="1:2" x14ac:dyDescent="0.3">
      <c r="A403" s="5" t="s">
        <v>907</v>
      </c>
      <c r="B403" s="2">
        <v>3254.95</v>
      </c>
    </row>
    <row r="404" spans="1:2" x14ac:dyDescent="0.3">
      <c r="A404" s="5" t="s">
        <v>1629</v>
      </c>
      <c r="B404" s="2">
        <v>3293.28</v>
      </c>
    </row>
    <row r="405" spans="1:2" x14ac:dyDescent="0.3">
      <c r="A405" s="5" t="s">
        <v>2033</v>
      </c>
      <c r="B405" s="2">
        <v>122.06</v>
      </c>
    </row>
    <row r="406" spans="1:2" x14ac:dyDescent="0.3">
      <c r="A406" s="5" t="s">
        <v>2989</v>
      </c>
      <c r="B406" s="2">
        <v>697.16</v>
      </c>
    </row>
    <row r="407" spans="1:2" x14ac:dyDescent="0.3">
      <c r="A407" s="5" t="s">
        <v>1369</v>
      </c>
      <c r="B407" s="2">
        <v>1191.2</v>
      </c>
    </row>
    <row r="408" spans="1:2" x14ac:dyDescent="0.3">
      <c r="A408" s="5" t="s">
        <v>255</v>
      </c>
      <c r="B408" s="2">
        <v>463.78</v>
      </c>
    </row>
    <row r="409" spans="1:2" x14ac:dyDescent="0.3">
      <c r="A409" s="5" t="s">
        <v>2575</v>
      </c>
      <c r="B409" s="2">
        <v>4758</v>
      </c>
    </row>
    <row r="410" spans="1:2" x14ac:dyDescent="0.3">
      <c r="A410" s="5" t="s">
        <v>1567</v>
      </c>
      <c r="B410" s="2">
        <v>264.41000000000003</v>
      </c>
    </row>
    <row r="411" spans="1:2" x14ac:dyDescent="0.3">
      <c r="A411" s="5" t="s">
        <v>765</v>
      </c>
      <c r="B411" s="2">
        <v>1444.64</v>
      </c>
    </row>
    <row r="412" spans="1:2" x14ac:dyDescent="0.3">
      <c r="A412" s="5" t="s">
        <v>753</v>
      </c>
      <c r="B412" s="2">
        <v>160.57</v>
      </c>
    </row>
    <row r="413" spans="1:2" x14ac:dyDescent="0.3">
      <c r="A413" s="5" t="s">
        <v>199</v>
      </c>
      <c r="B413" s="2">
        <v>732.6</v>
      </c>
    </row>
    <row r="414" spans="1:2" x14ac:dyDescent="0.3">
      <c r="A414" s="5" t="s">
        <v>459</v>
      </c>
      <c r="B414" s="2">
        <v>261.12</v>
      </c>
    </row>
    <row r="415" spans="1:2" x14ac:dyDescent="0.3">
      <c r="A415" s="5" t="s">
        <v>2587</v>
      </c>
      <c r="B415" s="2">
        <v>3800.4</v>
      </c>
    </row>
    <row r="416" spans="1:2" x14ac:dyDescent="0.3">
      <c r="A416" s="5" t="s">
        <v>2713</v>
      </c>
      <c r="B416" s="2">
        <v>766.75</v>
      </c>
    </row>
    <row r="417" spans="1:2" x14ac:dyDescent="0.3">
      <c r="A417" s="5" t="s">
        <v>3205</v>
      </c>
      <c r="B417" s="2">
        <v>2025.44</v>
      </c>
    </row>
    <row r="418" spans="1:2" x14ac:dyDescent="0.3">
      <c r="A418" s="5" t="s">
        <v>1937</v>
      </c>
      <c r="B418" s="2">
        <v>542.88</v>
      </c>
    </row>
    <row r="419" spans="1:2" x14ac:dyDescent="0.3">
      <c r="A419" s="5" t="s">
        <v>861</v>
      </c>
      <c r="B419" s="2">
        <v>349.98</v>
      </c>
    </row>
    <row r="420" spans="1:2" x14ac:dyDescent="0.3">
      <c r="A420" s="5" t="s">
        <v>2515</v>
      </c>
      <c r="B420" s="2">
        <v>99.7</v>
      </c>
    </row>
    <row r="421" spans="1:2" x14ac:dyDescent="0.3">
      <c r="A421" s="5" t="s">
        <v>2291</v>
      </c>
      <c r="B421" s="2">
        <v>1189.72</v>
      </c>
    </row>
    <row r="422" spans="1:2" x14ac:dyDescent="0.3">
      <c r="A422" s="5" t="s">
        <v>3159</v>
      </c>
      <c r="B422" s="2">
        <v>1466.4</v>
      </c>
    </row>
    <row r="423" spans="1:2" x14ac:dyDescent="0.3">
      <c r="A423" s="5" t="s">
        <v>447</v>
      </c>
      <c r="B423" s="2">
        <v>1485.02</v>
      </c>
    </row>
    <row r="424" spans="1:2" x14ac:dyDescent="0.3">
      <c r="A424" s="5" t="s">
        <v>357</v>
      </c>
      <c r="B424" s="2">
        <v>1500.2</v>
      </c>
    </row>
    <row r="425" spans="1:2" x14ac:dyDescent="0.3">
      <c r="A425" s="5" t="s">
        <v>647</v>
      </c>
      <c r="B425" s="2">
        <v>2484.7600000000002</v>
      </c>
    </row>
    <row r="426" spans="1:2" x14ac:dyDescent="0.3">
      <c r="A426" s="5" t="s">
        <v>901</v>
      </c>
      <c r="B426" s="2">
        <v>1242.08</v>
      </c>
    </row>
    <row r="427" spans="1:2" x14ac:dyDescent="0.3">
      <c r="A427" s="5" t="s">
        <v>2379</v>
      </c>
      <c r="B427" s="2">
        <v>1372.64</v>
      </c>
    </row>
    <row r="428" spans="1:2" x14ac:dyDescent="0.3">
      <c r="A428" s="5" t="s">
        <v>2775</v>
      </c>
      <c r="B428" s="2">
        <v>3320.34</v>
      </c>
    </row>
    <row r="429" spans="1:2" x14ac:dyDescent="0.3">
      <c r="A429" s="5" t="s">
        <v>3163</v>
      </c>
      <c r="B429" s="2">
        <v>2935.88</v>
      </c>
    </row>
    <row r="430" spans="1:2" x14ac:dyDescent="0.3">
      <c r="A430" s="5" t="s">
        <v>2369</v>
      </c>
      <c r="B430" s="2">
        <v>2380.0500000000002</v>
      </c>
    </row>
    <row r="431" spans="1:2" x14ac:dyDescent="0.3">
      <c r="A431" s="5" t="s">
        <v>727</v>
      </c>
      <c r="B431" s="2">
        <v>954</v>
      </c>
    </row>
    <row r="432" spans="1:2" x14ac:dyDescent="0.3">
      <c r="A432" s="5" t="s">
        <v>2933</v>
      </c>
      <c r="B432" s="2">
        <v>2991.8</v>
      </c>
    </row>
    <row r="433" spans="1:2" x14ac:dyDescent="0.3">
      <c r="A433" s="5" t="s">
        <v>525</v>
      </c>
      <c r="B433" s="2">
        <v>20.53</v>
      </c>
    </row>
    <row r="434" spans="1:2" x14ac:dyDescent="0.3">
      <c r="A434" s="5" t="s">
        <v>1363</v>
      </c>
      <c r="B434" s="2">
        <v>3178.3</v>
      </c>
    </row>
    <row r="435" spans="1:2" x14ac:dyDescent="0.3">
      <c r="A435" s="5" t="s">
        <v>1429</v>
      </c>
      <c r="B435" s="2">
        <v>5401.44</v>
      </c>
    </row>
    <row r="436" spans="1:2" x14ac:dyDescent="0.3">
      <c r="A436" s="5" t="s">
        <v>2353</v>
      </c>
      <c r="B436" s="2">
        <v>346.78</v>
      </c>
    </row>
    <row r="437" spans="1:2" x14ac:dyDescent="0.3">
      <c r="A437" s="5" t="s">
        <v>1837</v>
      </c>
      <c r="B437" s="2">
        <v>827.79</v>
      </c>
    </row>
    <row r="438" spans="1:2" x14ac:dyDescent="0.3">
      <c r="A438" s="5" t="s">
        <v>3259</v>
      </c>
      <c r="B438" s="2">
        <v>1664.34</v>
      </c>
    </row>
    <row r="439" spans="1:2" x14ac:dyDescent="0.3">
      <c r="A439" s="5" t="s">
        <v>295</v>
      </c>
      <c r="B439" s="2">
        <v>552.91999999999996</v>
      </c>
    </row>
    <row r="440" spans="1:2" x14ac:dyDescent="0.3">
      <c r="A440" s="5" t="s">
        <v>3277</v>
      </c>
      <c r="B440" s="2">
        <v>117.5</v>
      </c>
    </row>
    <row r="441" spans="1:2" x14ac:dyDescent="0.3">
      <c r="A441" s="5" t="s">
        <v>905</v>
      </c>
      <c r="B441" s="2">
        <v>2270.13</v>
      </c>
    </row>
    <row r="442" spans="1:2" x14ac:dyDescent="0.3">
      <c r="A442" s="5" t="s">
        <v>2705</v>
      </c>
      <c r="B442" s="2">
        <v>2437.2800000000002</v>
      </c>
    </row>
    <row r="443" spans="1:2" x14ac:dyDescent="0.3">
      <c r="A443" s="5" t="s">
        <v>1831</v>
      </c>
      <c r="B443" s="2">
        <v>4236.96</v>
      </c>
    </row>
    <row r="444" spans="1:2" x14ac:dyDescent="0.3">
      <c r="A444" s="5" t="s">
        <v>1489</v>
      </c>
      <c r="B444" s="2">
        <v>1905.51</v>
      </c>
    </row>
    <row r="445" spans="1:2" x14ac:dyDescent="0.3">
      <c r="A445" s="5" t="s">
        <v>1083</v>
      </c>
      <c r="B445" s="2">
        <v>485.6</v>
      </c>
    </row>
    <row r="446" spans="1:2" x14ac:dyDescent="0.3">
      <c r="A446" s="5" t="s">
        <v>921</v>
      </c>
      <c r="B446" s="2">
        <v>1341.28</v>
      </c>
    </row>
    <row r="447" spans="1:2" x14ac:dyDescent="0.3">
      <c r="A447" s="5" t="s">
        <v>1053</v>
      </c>
      <c r="B447" s="2">
        <v>3924.76</v>
      </c>
    </row>
    <row r="448" spans="1:2" x14ac:dyDescent="0.3">
      <c r="A448" s="5" t="s">
        <v>44</v>
      </c>
      <c r="B448" s="2">
        <v>906.1</v>
      </c>
    </row>
    <row r="449" spans="1:2" x14ac:dyDescent="0.3">
      <c r="A449" s="5" t="s">
        <v>2273</v>
      </c>
      <c r="B449" s="2">
        <v>64.400000000000006</v>
      </c>
    </row>
    <row r="450" spans="1:2" x14ac:dyDescent="0.3">
      <c r="A450" s="5" t="s">
        <v>215</v>
      </c>
      <c r="B450" s="2">
        <v>3400.11</v>
      </c>
    </row>
    <row r="451" spans="1:2" x14ac:dyDescent="0.3">
      <c r="A451" s="5" t="s">
        <v>2601</v>
      </c>
      <c r="B451" s="2">
        <v>961.95</v>
      </c>
    </row>
    <row r="452" spans="1:2" x14ac:dyDescent="0.3">
      <c r="A452" s="5" t="s">
        <v>3079</v>
      </c>
      <c r="B452" s="2">
        <v>3235.96</v>
      </c>
    </row>
    <row r="453" spans="1:2" x14ac:dyDescent="0.3">
      <c r="A453" s="5" t="s">
        <v>415</v>
      </c>
      <c r="B453" s="2">
        <v>1683.78</v>
      </c>
    </row>
    <row r="454" spans="1:2" x14ac:dyDescent="0.3">
      <c r="A454" s="5" t="s">
        <v>2645</v>
      </c>
      <c r="B454" s="2">
        <v>3965.85</v>
      </c>
    </row>
    <row r="455" spans="1:2" x14ac:dyDescent="0.3">
      <c r="A455" s="5" t="s">
        <v>125</v>
      </c>
      <c r="B455" s="2">
        <v>3571.2</v>
      </c>
    </row>
    <row r="456" spans="1:2" x14ac:dyDescent="0.3">
      <c r="A456" s="5" t="s">
        <v>3107</v>
      </c>
      <c r="B456" s="2">
        <v>1104.08</v>
      </c>
    </row>
    <row r="457" spans="1:2" x14ac:dyDescent="0.3">
      <c r="A457" s="5" t="s">
        <v>593</v>
      </c>
      <c r="B457" s="2">
        <v>1775.58</v>
      </c>
    </row>
    <row r="458" spans="1:2" x14ac:dyDescent="0.3">
      <c r="A458" s="5" t="s">
        <v>2211</v>
      </c>
      <c r="B458" s="2">
        <v>192.43</v>
      </c>
    </row>
    <row r="459" spans="1:2" x14ac:dyDescent="0.3">
      <c r="A459" s="5" t="s">
        <v>2529</v>
      </c>
      <c r="B459" s="2">
        <v>2856.84</v>
      </c>
    </row>
    <row r="460" spans="1:2" x14ac:dyDescent="0.3">
      <c r="A460" s="5" t="s">
        <v>803</v>
      </c>
      <c r="B460" s="2">
        <v>783.12</v>
      </c>
    </row>
    <row r="461" spans="1:2" x14ac:dyDescent="0.3">
      <c r="A461" s="5" t="s">
        <v>1117</v>
      </c>
      <c r="B461" s="2">
        <v>124.71</v>
      </c>
    </row>
    <row r="462" spans="1:2" x14ac:dyDescent="0.3">
      <c r="A462" s="5" t="s">
        <v>735</v>
      </c>
      <c r="B462" s="2">
        <v>1283.3399999999999</v>
      </c>
    </row>
    <row r="463" spans="1:2" x14ac:dyDescent="0.3">
      <c r="A463" s="5" t="s">
        <v>2681</v>
      </c>
      <c r="B463" s="2">
        <v>3318.2</v>
      </c>
    </row>
    <row r="464" spans="1:2" x14ac:dyDescent="0.3">
      <c r="A464" s="5" t="s">
        <v>591</v>
      </c>
      <c r="B464" s="2">
        <v>281.27999999999997</v>
      </c>
    </row>
    <row r="465" spans="1:2" x14ac:dyDescent="0.3">
      <c r="A465" s="5" t="s">
        <v>1709</v>
      </c>
      <c r="B465" s="2">
        <v>1981.12</v>
      </c>
    </row>
    <row r="466" spans="1:2" x14ac:dyDescent="0.3">
      <c r="A466" s="5" t="s">
        <v>2337</v>
      </c>
      <c r="B466" s="2">
        <v>917.6</v>
      </c>
    </row>
    <row r="467" spans="1:2" x14ac:dyDescent="0.3">
      <c r="A467" s="5" t="s">
        <v>153</v>
      </c>
      <c r="B467" s="2">
        <v>2340</v>
      </c>
    </row>
    <row r="468" spans="1:2" x14ac:dyDescent="0.3">
      <c r="A468" s="5" t="s">
        <v>1577</v>
      </c>
      <c r="B468" s="2">
        <v>2022.96</v>
      </c>
    </row>
    <row r="469" spans="1:2" x14ac:dyDescent="0.3">
      <c r="A469" s="5" t="s">
        <v>615</v>
      </c>
      <c r="B469" s="2">
        <v>1551.56</v>
      </c>
    </row>
    <row r="470" spans="1:2" x14ac:dyDescent="0.3">
      <c r="A470" s="5" t="s">
        <v>1003</v>
      </c>
      <c r="B470" s="2">
        <v>417.54</v>
      </c>
    </row>
    <row r="471" spans="1:2" x14ac:dyDescent="0.3">
      <c r="A471" s="5" t="s">
        <v>2621</v>
      </c>
      <c r="B471" s="2">
        <v>3322.55</v>
      </c>
    </row>
    <row r="472" spans="1:2" x14ac:dyDescent="0.3">
      <c r="A472" s="5" t="s">
        <v>1355</v>
      </c>
      <c r="B472" s="2">
        <v>539.29999999999995</v>
      </c>
    </row>
    <row r="473" spans="1:2" x14ac:dyDescent="0.3">
      <c r="A473" s="5" t="s">
        <v>1689</v>
      </c>
      <c r="B473" s="2">
        <v>3920.42</v>
      </c>
    </row>
    <row r="474" spans="1:2" x14ac:dyDescent="0.3">
      <c r="A474" s="5" t="s">
        <v>677</v>
      </c>
      <c r="B474" s="2">
        <v>732.88</v>
      </c>
    </row>
    <row r="475" spans="1:2" x14ac:dyDescent="0.3">
      <c r="A475" s="5" t="s">
        <v>1093</v>
      </c>
      <c r="B475" s="2">
        <v>429.2</v>
      </c>
    </row>
    <row r="476" spans="1:2" x14ac:dyDescent="0.3">
      <c r="A476" s="5" t="s">
        <v>429</v>
      </c>
      <c r="B476" s="2">
        <v>3065.93</v>
      </c>
    </row>
    <row r="477" spans="1:2" x14ac:dyDescent="0.3">
      <c r="A477" s="5" t="s">
        <v>2539</v>
      </c>
      <c r="B477" s="2">
        <v>3558.65</v>
      </c>
    </row>
    <row r="478" spans="1:2" x14ac:dyDescent="0.3">
      <c r="A478" s="5" t="s">
        <v>423</v>
      </c>
      <c r="B478" s="2">
        <v>4901.92</v>
      </c>
    </row>
    <row r="479" spans="1:2" x14ac:dyDescent="0.3">
      <c r="A479" s="5" t="s">
        <v>163</v>
      </c>
      <c r="B479" s="2">
        <v>589.91999999999996</v>
      </c>
    </row>
    <row r="480" spans="1:2" x14ac:dyDescent="0.3">
      <c r="A480" s="5" t="s">
        <v>2765</v>
      </c>
      <c r="B480" s="2">
        <v>1645.76</v>
      </c>
    </row>
    <row r="481" spans="1:2" x14ac:dyDescent="0.3">
      <c r="A481" s="5" t="s">
        <v>1631</v>
      </c>
      <c r="B481" s="2">
        <v>4504.24</v>
      </c>
    </row>
    <row r="482" spans="1:2" x14ac:dyDescent="0.3">
      <c r="A482" s="5" t="s">
        <v>2985</v>
      </c>
      <c r="B482" s="2">
        <v>3067.68</v>
      </c>
    </row>
    <row r="483" spans="1:2" x14ac:dyDescent="0.3">
      <c r="A483" s="5" t="s">
        <v>2551</v>
      </c>
      <c r="B483" s="2">
        <v>115.71</v>
      </c>
    </row>
    <row r="484" spans="1:2" x14ac:dyDescent="0.3">
      <c r="A484" s="5" t="s">
        <v>1611</v>
      </c>
      <c r="B484" s="2">
        <v>2585.2800000000002</v>
      </c>
    </row>
    <row r="485" spans="1:2" x14ac:dyDescent="0.3">
      <c r="A485" s="5" t="s">
        <v>1075</v>
      </c>
      <c r="B485" s="2">
        <v>782.12</v>
      </c>
    </row>
    <row r="486" spans="1:2" x14ac:dyDescent="0.3">
      <c r="A486" s="5" t="s">
        <v>1233</v>
      </c>
      <c r="B486" s="2">
        <v>1269.8399999999999</v>
      </c>
    </row>
    <row r="487" spans="1:2" x14ac:dyDescent="0.3">
      <c r="A487" s="5" t="s">
        <v>2139</v>
      </c>
      <c r="B487" s="2">
        <v>539.79999999999995</v>
      </c>
    </row>
    <row r="488" spans="1:2" x14ac:dyDescent="0.3">
      <c r="A488" s="5" t="s">
        <v>2703</v>
      </c>
      <c r="B488" s="2">
        <v>412.09</v>
      </c>
    </row>
    <row r="489" spans="1:2" x14ac:dyDescent="0.3">
      <c r="A489" s="5" t="s">
        <v>3181</v>
      </c>
      <c r="B489" s="2">
        <v>404.4</v>
      </c>
    </row>
    <row r="490" spans="1:2" x14ac:dyDescent="0.3">
      <c r="A490" s="5" t="s">
        <v>229</v>
      </c>
      <c r="B490" s="2">
        <v>1320.56</v>
      </c>
    </row>
    <row r="491" spans="1:2" x14ac:dyDescent="0.3">
      <c r="A491" s="5" t="s">
        <v>2121</v>
      </c>
      <c r="B491" s="2">
        <v>757.95</v>
      </c>
    </row>
    <row r="492" spans="1:2" x14ac:dyDescent="0.3">
      <c r="A492" s="5" t="s">
        <v>2999</v>
      </c>
      <c r="B492" s="2">
        <v>2543.15</v>
      </c>
    </row>
    <row r="493" spans="1:2" x14ac:dyDescent="0.3">
      <c r="A493" s="5" t="s">
        <v>1639</v>
      </c>
      <c r="B493" s="2">
        <v>3887.73</v>
      </c>
    </row>
    <row r="494" spans="1:2" x14ac:dyDescent="0.3">
      <c r="A494" s="5" t="s">
        <v>737</v>
      </c>
      <c r="B494" s="2">
        <v>153.44999999999999</v>
      </c>
    </row>
    <row r="495" spans="1:2" x14ac:dyDescent="0.3">
      <c r="A495" s="5" t="s">
        <v>435</v>
      </c>
      <c r="B495" s="2">
        <v>3346.16</v>
      </c>
    </row>
    <row r="496" spans="1:2" x14ac:dyDescent="0.3">
      <c r="A496" s="5" t="s">
        <v>2425</v>
      </c>
      <c r="B496" s="2">
        <v>3155.34</v>
      </c>
    </row>
    <row r="497" spans="1:2" x14ac:dyDescent="0.3">
      <c r="A497" s="5" t="s">
        <v>157</v>
      </c>
      <c r="B497" s="2">
        <v>722.88</v>
      </c>
    </row>
    <row r="498" spans="1:2" x14ac:dyDescent="0.3">
      <c r="A498" s="5" t="s">
        <v>1633</v>
      </c>
      <c r="B498" s="2">
        <v>4964.8</v>
      </c>
    </row>
    <row r="499" spans="1:2" x14ac:dyDescent="0.3">
      <c r="A499" s="5" t="s">
        <v>1141</v>
      </c>
      <c r="B499" s="2">
        <v>3336.5</v>
      </c>
    </row>
    <row r="500" spans="1:2" x14ac:dyDescent="0.3">
      <c r="A500" s="5" t="s">
        <v>1911</v>
      </c>
      <c r="B500" s="2">
        <v>683.65</v>
      </c>
    </row>
    <row r="501" spans="1:2" x14ac:dyDescent="0.3">
      <c r="A501" s="5" t="s">
        <v>2441</v>
      </c>
      <c r="B501" s="2">
        <v>580.17999999999995</v>
      </c>
    </row>
    <row r="502" spans="1:2" x14ac:dyDescent="0.3">
      <c r="A502" s="5" t="s">
        <v>1827</v>
      </c>
      <c r="B502" s="2">
        <v>6222.4</v>
      </c>
    </row>
    <row r="503" spans="1:2" x14ac:dyDescent="0.3">
      <c r="A503" s="5" t="s">
        <v>1871</v>
      </c>
      <c r="B503" s="2">
        <v>236.18</v>
      </c>
    </row>
    <row r="504" spans="1:2" x14ac:dyDescent="0.3">
      <c r="A504" s="5" t="s">
        <v>1161</v>
      </c>
      <c r="B504" s="2">
        <v>1568.52</v>
      </c>
    </row>
    <row r="505" spans="1:2" x14ac:dyDescent="0.3">
      <c r="A505" s="5" t="s">
        <v>2811</v>
      </c>
      <c r="B505" s="2">
        <v>1258.5</v>
      </c>
    </row>
    <row r="506" spans="1:2" x14ac:dyDescent="0.3">
      <c r="A506" s="5" t="s">
        <v>2043</v>
      </c>
      <c r="B506" s="2">
        <v>607.75</v>
      </c>
    </row>
    <row r="507" spans="1:2" x14ac:dyDescent="0.3">
      <c r="A507" s="5" t="s">
        <v>685</v>
      </c>
      <c r="B507" s="2">
        <v>1767.56</v>
      </c>
    </row>
    <row r="508" spans="1:2" x14ac:dyDescent="0.3">
      <c r="A508" s="5" t="s">
        <v>413</v>
      </c>
      <c r="B508" s="2">
        <v>584.1</v>
      </c>
    </row>
    <row r="509" spans="1:2" x14ac:dyDescent="0.3">
      <c r="A509" s="5" t="s">
        <v>121</v>
      </c>
      <c r="B509" s="2">
        <v>1116.7</v>
      </c>
    </row>
    <row r="510" spans="1:2" x14ac:dyDescent="0.3">
      <c r="A510" s="5" t="s">
        <v>2833</v>
      </c>
      <c r="B510" s="2">
        <v>3558.48</v>
      </c>
    </row>
    <row r="511" spans="1:2" x14ac:dyDescent="0.3">
      <c r="A511" s="5" t="s">
        <v>3027</v>
      </c>
      <c r="B511" s="2">
        <v>979.68</v>
      </c>
    </row>
    <row r="512" spans="1:2" x14ac:dyDescent="0.3">
      <c r="A512" s="4" t="s">
        <v>16</v>
      </c>
      <c r="B512" s="2">
        <v>481721.40000000008</v>
      </c>
    </row>
    <row r="513" spans="1:2" x14ac:dyDescent="0.3">
      <c r="A513" s="5" t="s">
        <v>1331</v>
      </c>
      <c r="B513" s="2">
        <v>2849.52</v>
      </c>
    </row>
    <row r="514" spans="1:2" x14ac:dyDescent="0.3">
      <c r="A514" s="5" t="s">
        <v>1237</v>
      </c>
      <c r="B514" s="2">
        <v>1133.05</v>
      </c>
    </row>
    <row r="515" spans="1:2" x14ac:dyDescent="0.3">
      <c r="A515" s="5" t="s">
        <v>739</v>
      </c>
      <c r="B515" s="2">
        <v>761.75</v>
      </c>
    </row>
    <row r="516" spans="1:2" x14ac:dyDescent="0.3">
      <c r="A516" s="5" t="s">
        <v>1555</v>
      </c>
      <c r="B516" s="2">
        <v>3000.84</v>
      </c>
    </row>
    <row r="517" spans="1:2" x14ac:dyDescent="0.3">
      <c r="A517" s="5" t="s">
        <v>443</v>
      </c>
      <c r="B517" s="2">
        <v>24.84</v>
      </c>
    </row>
    <row r="518" spans="1:2" x14ac:dyDescent="0.3">
      <c r="A518" s="5" t="s">
        <v>2123</v>
      </c>
      <c r="B518" s="2">
        <v>3451.8</v>
      </c>
    </row>
    <row r="519" spans="1:2" x14ac:dyDescent="0.3">
      <c r="A519" s="5" t="s">
        <v>863</v>
      </c>
      <c r="B519" s="2">
        <v>1558.47</v>
      </c>
    </row>
    <row r="520" spans="1:2" x14ac:dyDescent="0.3">
      <c r="A520" s="5" t="s">
        <v>1757</v>
      </c>
      <c r="B520" s="2">
        <v>880.32</v>
      </c>
    </row>
    <row r="521" spans="1:2" x14ac:dyDescent="0.3">
      <c r="A521" s="5" t="s">
        <v>1715</v>
      </c>
      <c r="B521" s="2">
        <v>1276.06</v>
      </c>
    </row>
    <row r="522" spans="1:2" x14ac:dyDescent="0.3">
      <c r="A522" s="5" t="s">
        <v>687</v>
      </c>
      <c r="B522" s="2">
        <v>1674.36</v>
      </c>
    </row>
    <row r="523" spans="1:2" x14ac:dyDescent="0.3">
      <c r="A523" s="5" t="s">
        <v>2103</v>
      </c>
      <c r="B523" s="2">
        <v>2524.08</v>
      </c>
    </row>
    <row r="524" spans="1:2" x14ac:dyDescent="0.3">
      <c r="A524" s="5" t="s">
        <v>2619</v>
      </c>
      <c r="B524" s="2">
        <v>1454.07</v>
      </c>
    </row>
    <row r="525" spans="1:2" x14ac:dyDescent="0.3">
      <c r="A525" s="5" t="s">
        <v>1935</v>
      </c>
      <c r="B525" s="2">
        <v>1436.3</v>
      </c>
    </row>
    <row r="526" spans="1:2" x14ac:dyDescent="0.3">
      <c r="A526" s="5" t="s">
        <v>2647</v>
      </c>
      <c r="B526" s="2">
        <v>152.57</v>
      </c>
    </row>
    <row r="527" spans="1:2" x14ac:dyDescent="0.3">
      <c r="A527" s="5" t="s">
        <v>335</v>
      </c>
      <c r="B527" s="2">
        <v>1517.94</v>
      </c>
    </row>
    <row r="528" spans="1:2" x14ac:dyDescent="0.3">
      <c r="A528" s="5" t="s">
        <v>329</v>
      </c>
      <c r="B528" s="2">
        <v>5134.71</v>
      </c>
    </row>
    <row r="529" spans="1:2" x14ac:dyDescent="0.3">
      <c r="A529" s="5" t="s">
        <v>1057</v>
      </c>
      <c r="B529" s="2">
        <v>2465.89</v>
      </c>
    </row>
    <row r="530" spans="1:2" x14ac:dyDescent="0.3">
      <c r="A530" s="5" t="s">
        <v>2263</v>
      </c>
      <c r="B530" s="2">
        <v>391.49</v>
      </c>
    </row>
    <row r="531" spans="1:2" x14ac:dyDescent="0.3">
      <c r="A531" s="5" t="s">
        <v>599</v>
      </c>
      <c r="B531" s="2">
        <v>1730.47</v>
      </c>
    </row>
    <row r="532" spans="1:2" x14ac:dyDescent="0.3">
      <c r="A532" s="5" t="s">
        <v>2881</v>
      </c>
      <c r="B532" s="2">
        <v>1834.68</v>
      </c>
    </row>
    <row r="533" spans="1:2" x14ac:dyDescent="0.3">
      <c r="A533" s="5" t="s">
        <v>3173</v>
      </c>
      <c r="B533" s="2">
        <v>1511.19</v>
      </c>
    </row>
    <row r="534" spans="1:2" x14ac:dyDescent="0.3">
      <c r="A534" s="5" t="s">
        <v>2429</v>
      </c>
      <c r="B534" s="2">
        <v>1026.96</v>
      </c>
    </row>
    <row r="535" spans="1:2" x14ac:dyDescent="0.3">
      <c r="A535" s="5" t="s">
        <v>123</v>
      </c>
      <c r="B535" s="2">
        <v>1548.16</v>
      </c>
    </row>
    <row r="536" spans="1:2" x14ac:dyDescent="0.3">
      <c r="A536" s="5" t="s">
        <v>2437</v>
      </c>
      <c r="B536" s="2">
        <v>3752.88</v>
      </c>
    </row>
    <row r="537" spans="1:2" x14ac:dyDescent="0.3">
      <c r="A537" s="5" t="s">
        <v>2951</v>
      </c>
      <c r="B537" s="2">
        <v>759.76</v>
      </c>
    </row>
    <row r="538" spans="1:2" x14ac:dyDescent="0.3">
      <c r="A538" s="5" t="s">
        <v>241</v>
      </c>
      <c r="B538" s="2">
        <v>478.14</v>
      </c>
    </row>
    <row r="539" spans="1:2" x14ac:dyDescent="0.3">
      <c r="A539" s="5" t="s">
        <v>2963</v>
      </c>
      <c r="B539" s="2">
        <v>428.73</v>
      </c>
    </row>
    <row r="540" spans="1:2" x14ac:dyDescent="0.3">
      <c r="A540" s="5" t="s">
        <v>2917</v>
      </c>
      <c r="B540" s="2">
        <v>320.24</v>
      </c>
    </row>
    <row r="541" spans="1:2" x14ac:dyDescent="0.3">
      <c r="A541" s="5" t="s">
        <v>2001</v>
      </c>
      <c r="B541" s="2">
        <v>1881.72</v>
      </c>
    </row>
    <row r="542" spans="1:2" x14ac:dyDescent="0.3">
      <c r="A542" s="5" t="s">
        <v>2773</v>
      </c>
      <c r="B542" s="2">
        <v>544.16</v>
      </c>
    </row>
    <row r="543" spans="1:2" x14ac:dyDescent="0.3">
      <c r="A543" s="5" t="s">
        <v>1579</v>
      </c>
      <c r="B543" s="2">
        <v>2015.65</v>
      </c>
    </row>
    <row r="544" spans="1:2" x14ac:dyDescent="0.3">
      <c r="A544" s="5" t="s">
        <v>1769</v>
      </c>
      <c r="B544" s="2">
        <v>795</v>
      </c>
    </row>
    <row r="545" spans="1:2" x14ac:dyDescent="0.3">
      <c r="A545" s="5" t="s">
        <v>1347</v>
      </c>
      <c r="B545" s="2">
        <v>3858.84</v>
      </c>
    </row>
    <row r="546" spans="1:2" x14ac:dyDescent="0.3">
      <c r="A546" s="5" t="s">
        <v>3049</v>
      </c>
      <c r="B546" s="2">
        <v>2327.2800000000002</v>
      </c>
    </row>
    <row r="547" spans="1:2" x14ac:dyDescent="0.3">
      <c r="A547" s="5" t="s">
        <v>2215</v>
      </c>
      <c r="B547" s="2">
        <v>5347.51</v>
      </c>
    </row>
    <row r="548" spans="1:2" x14ac:dyDescent="0.3">
      <c r="A548" s="5" t="s">
        <v>1037</v>
      </c>
      <c r="B548" s="2">
        <v>4946.4799999999996</v>
      </c>
    </row>
    <row r="549" spans="1:2" x14ac:dyDescent="0.3">
      <c r="A549" s="5" t="s">
        <v>845</v>
      </c>
      <c r="B549" s="2">
        <v>1448.08</v>
      </c>
    </row>
    <row r="550" spans="1:2" x14ac:dyDescent="0.3">
      <c r="A550" s="5" t="s">
        <v>3215</v>
      </c>
      <c r="B550" s="2">
        <v>1164.1500000000001</v>
      </c>
    </row>
    <row r="551" spans="1:2" x14ac:dyDescent="0.3">
      <c r="A551" s="5" t="s">
        <v>75</v>
      </c>
      <c r="B551" s="2">
        <v>4940.04</v>
      </c>
    </row>
    <row r="552" spans="1:2" x14ac:dyDescent="0.3">
      <c r="A552" s="5" t="s">
        <v>395</v>
      </c>
      <c r="B552" s="2">
        <v>1008.2</v>
      </c>
    </row>
    <row r="553" spans="1:2" x14ac:dyDescent="0.3">
      <c r="A553" s="5" t="s">
        <v>841</v>
      </c>
      <c r="B553" s="2">
        <v>142.44999999999999</v>
      </c>
    </row>
    <row r="554" spans="1:2" x14ac:dyDescent="0.3">
      <c r="A554" s="5" t="s">
        <v>2611</v>
      </c>
      <c r="B554" s="2">
        <v>1062.4000000000001</v>
      </c>
    </row>
    <row r="555" spans="1:2" x14ac:dyDescent="0.3">
      <c r="A555" s="5" t="s">
        <v>2707</v>
      </c>
      <c r="B555" s="2">
        <v>2971.68</v>
      </c>
    </row>
    <row r="556" spans="1:2" x14ac:dyDescent="0.3">
      <c r="A556" s="5" t="s">
        <v>2373</v>
      </c>
      <c r="B556" s="2">
        <v>503.37</v>
      </c>
    </row>
    <row r="557" spans="1:2" x14ac:dyDescent="0.3">
      <c r="A557" s="5" t="s">
        <v>2825</v>
      </c>
      <c r="B557" s="2">
        <v>912.38</v>
      </c>
    </row>
    <row r="558" spans="1:2" x14ac:dyDescent="0.3">
      <c r="A558" s="5" t="s">
        <v>497</v>
      </c>
      <c r="B558" s="2">
        <v>2166.1</v>
      </c>
    </row>
    <row r="559" spans="1:2" x14ac:dyDescent="0.3">
      <c r="A559" s="5" t="s">
        <v>847</v>
      </c>
      <c r="B559" s="2">
        <v>3511.05</v>
      </c>
    </row>
    <row r="560" spans="1:2" x14ac:dyDescent="0.3">
      <c r="A560" s="5" t="s">
        <v>819</v>
      </c>
      <c r="B560" s="2">
        <v>86.75</v>
      </c>
    </row>
    <row r="561" spans="1:2" x14ac:dyDescent="0.3">
      <c r="A561" s="5" t="s">
        <v>1155</v>
      </c>
      <c r="B561" s="2">
        <v>561.33000000000004</v>
      </c>
    </row>
    <row r="562" spans="1:2" x14ac:dyDescent="0.3">
      <c r="A562" s="5" t="s">
        <v>2133</v>
      </c>
      <c r="B562" s="2">
        <v>336.3</v>
      </c>
    </row>
    <row r="563" spans="1:2" x14ac:dyDescent="0.3">
      <c r="A563" s="5" t="s">
        <v>309</v>
      </c>
      <c r="B563" s="2">
        <v>124.48</v>
      </c>
    </row>
    <row r="564" spans="1:2" x14ac:dyDescent="0.3">
      <c r="A564" s="5" t="s">
        <v>1473</v>
      </c>
      <c r="B564" s="2">
        <v>795.92</v>
      </c>
    </row>
    <row r="565" spans="1:2" x14ac:dyDescent="0.3">
      <c r="A565" s="5" t="s">
        <v>2403</v>
      </c>
      <c r="B565" s="2">
        <v>114.54</v>
      </c>
    </row>
    <row r="566" spans="1:2" x14ac:dyDescent="0.3">
      <c r="A566" s="5" t="s">
        <v>1695</v>
      </c>
      <c r="B566" s="2">
        <v>596.55999999999995</v>
      </c>
    </row>
    <row r="567" spans="1:2" x14ac:dyDescent="0.3">
      <c r="A567" s="5" t="s">
        <v>1069</v>
      </c>
      <c r="B567" s="2">
        <v>42.48</v>
      </c>
    </row>
    <row r="568" spans="1:2" x14ac:dyDescent="0.3">
      <c r="A568" s="5" t="s">
        <v>3273</v>
      </c>
      <c r="B568" s="2">
        <v>417.92</v>
      </c>
    </row>
    <row r="569" spans="1:2" x14ac:dyDescent="0.3">
      <c r="A569" s="5" t="s">
        <v>339</v>
      </c>
      <c r="B569" s="2">
        <v>1297.08</v>
      </c>
    </row>
    <row r="570" spans="1:2" x14ac:dyDescent="0.3">
      <c r="A570" s="5" t="s">
        <v>581</v>
      </c>
      <c r="B570" s="2">
        <v>2015.58</v>
      </c>
    </row>
    <row r="571" spans="1:2" x14ac:dyDescent="0.3">
      <c r="A571" s="5" t="s">
        <v>2125</v>
      </c>
      <c r="B571" s="2">
        <v>1666.98</v>
      </c>
    </row>
    <row r="572" spans="1:2" x14ac:dyDescent="0.3">
      <c r="A572" s="5" t="s">
        <v>99</v>
      </c>
      <c r="B572" s="2">
        <v>427.23</v>
      </c>
    </row>
    <row r="573" spans="1:2" x14ac:dyDescent="0.3">
      <c r="A573" s="5" t="s">
        <v>1457</v>
      </c>
      <c r="B573" s="2">
        <v>759.51</v>
      </c>
    </row>
    <row r="574" spans="1:2" x14ac:dyDescent="0.3">
      <c r="A574" s="5" t="s">
        <v>3135</v>
      </c>
      <c r="B574" s="2">
        <v>939.16</v>
      </c>
    </row>
    <row r="575" spans="1:2" x14ac:dyDescent="0.3">
      <c r="A575" s="5" t="s">
        <v>709</v>
      </c>
      <c r="B575" s="2">
        <v>454.58</v>
      </c>
    </row>
    <row r="576" spans="1:2" x14ac:dyDescent="0.3">
      <c r="A576" s="5" t="s">
        <v>97</v>
      </c>
      <c r="B576" s="2">
        <v>1686.3</v>
      </c>
    </row>
    <row r="577" spans="1:2" x14ac:dyDescent="0.3">
      <c r="A577" s="5" t="s">
        <v>1617</v>
      </c>
      <c r="B577" s="2">
        <v>4865.1400000000003</v>
      </c>
    </row>
    <row r="578" spans="1:2" x14ac:dyDescent="0.3">
      <c r="A578" s="5" t="s">
        <v>1561</v>
      </c>
      <c r="B578" s="2">
        <v>1734.66</v>
      </c>
    </row>
    <row r="579" spans="1:2" x14ac:dyDescent="0.3">
      <c r="A579" s="5" t="s">
        <v>1775</v>
      </c>
      <c r="B579" s="2">
        <v>49.4</v>
      </c>
    </row>
    <row r="580" spans="1:2" x14ac:dyDescent="0.3">
      <c r="A580" s="5" t="s">
        <v>1925</v>
      </c>
      <c r="B580" s="2">
        <v>577.67999999999995</v>
      </c>
    </row>
    <row r="581" spans="1:2" x14ac:dyDescent="0.3">
      <c r="A581" s="5" t="s">
        <v>833</v>
      </c>
      <c r="B581" s="2">
        <v>2495.25</v>
      </c>
    </row>
    <row r="582" spans="1:2" x14ac:dyDescent="0.3">
      <c r="A582" s="5" t="s">
        <v>1213</v>
      </c>
      <c r="B582" s="2">
        <v>2033.96</v>
      </c>
    </row>
    <row r="583" spans="1:2" x14ac:dyDescent="0.3">
      <c r="A583" s="5" t="s">
        <v>2649</v>
      </c>
      <c r="B583" s="2">
        <v>1411.2</v>
      </c>
    </row>
    <row r="584" spans="1:2" x14ac:dyDescent="0.3">
      <c r="A584" s="5" t="s">
        <v>3005</v>
      </c>
      <c r="B584" s="2">
        <v>586.44000000000005</v>
      </c>
    </row>
    <row r="585" spans="1:2" x14ac:dyDescent="0.3">
      <c r="A585" s="5" t="s">
        <v>1999</v>
      </c>
      <c r="B585" s="2">
        <v>462.31</v>
      </c>
    </row>
    <row r="586" spans="1:2" x14ac:dyDescent="0.3">
      <c r="A586" s="5" t="s">
        <v>701</v>
      </c>
      <c r="B586" s="2">
        <v>237.6</v>
      </c>
    </row>
    <row r="587" spans="1:2" x14ac:dyDescent="0.3">
      <c r="A587" s="5" t="s">
        <v>1219</v>
      </c>
      <c r="B587" s="2">
        <v>3097.65</v>
      </c>
    </row>
    <row r="588" spans="1:2" x14ac:dyDescent="0.3">
      <c r="A588" s="5" t="s">
        <v>2745</v>
      </c>
      <c r="B588" s="2">
        <v>261.2</v>
      </c>
    </row>
    <row r="589" spans="1:2" x14ac:dyDescent="0.3">
      <c r="A589" s="5" t="s">
        <v>1603</v>
      </c>
      <c r="B589" s="2">
        <v>5140.72</v>
      </c>
    </row>
    <row r="590" spans="1:2" x14ac:dyDescent="0.3">
      <c r="A590" s="5" t="s">
        <v>2153</v>
      </c>
      <c r="B590" s="2">
        <v>2528.3000000000002</v>
      </c>
    </row>
    <row r="591" spans="1:2" x14ac:dyDescent="0.3">
      <c r="A591" s="5" t="s">
        <v>3063</v>
      </c>
      <c r="B591" s="2">
        <v>2536.94</v>
      </c>
    </row>
    <row r="592" spans="1:2" x14ac:dyDescent="0.3">
      <c r="A592" s="5" t="s">
        <v>1121</v>
      </c>
      <c r="B592" s="2">
        <v>165.45</v>
      </c>
    </row>
    <row r="593" spans="1:2" x14ac:dyDescent="0.3">
      <c r="A593" s="5" t="s">
        <v>1089</v>
      </c>
      <c r="B593" s="2">
        <v>2112.1999999999998</v>
      </c>
    </row>
    <row r="594" spans="1:2" x14ac:dyDescent="0.3">
      <c r="A594" s="5" t="s">
        <v>1779</v>
      </c>
      <c r="B594" s="2">
        <v>410.32</v>
      </c>
    </row>
    <row r="595" spans="1:2" x14ac:dyDescent="0.3">
      <c r="A595" s="5" t="s">
        <v>1867</v>
      </c>
      <c r="B595" s="2">
        <v>3918</v>
      </c>
    </row>
    <row r="596" spans="1:2" x14ac:dyDescent="0.3">
      <c r="A596" s="5" t="s">
        <v>3243</v>
      </c>
      <c r="B596" s="2">
        <v>185.12</v>
      </c>
    </row>
    <row r="597" spans="1:2" x14ac:dyDescent="0.3">
      <c r="A597" s="5" t="s">
        <v>183</v>
      </c>
      <c r="B597" s="2">
        <v>286.54000000000002</v>
      </c>
    </row>
    <row r="598" spans="1:2" x14ac:dyDescent="0.3">
      <c r="A598" s="5" t="s">
        <v>371</v>
      </c>
      <c r="B598" s="2">
        <v>1969.12</v>
      </c>
    </row>
    <row r="599" spans="1:2" x14ac:dyDescent="0.3">
      <c r="A599" s="5" t="s">
        <v>109</v>
      </c>
      <c r="B599" s="2">
        <v>2126.88</v>
      </c>
    </row>
    <row r="600" spans="1:2" x14ac:dyDescent="0.3">
      <c r="A600" s="5" t="s">
        <v>665</v>
      </c>
      <c r="B600" s="2">
        <v>198.47</v>
      </c>
    </row>
    <row r="601" spans="1:2" x14ac:dyDescent="0.3">
      <c r="A601" s="5" t="s">
        <v>1917</v>
      </c>
      <c r="B601" s="2">
        <v>346.77</v>
      </c>
    </row>
    <row r="602" spans="1:2" x14ac:dyDescent="0.3">
      <c r="A602" s="5" t="s">
        <v>1643</v>
      </c>
      <c r="B602" s="2">
        <v>427</v>
      </c>
    </row>
    <row r="603" spans="1:2" x14ac:dyDescent="0.3">
      <c r="A603" s="5" t="s">
        <v>367</v>
      </c>
      <c r="B603" s="2">
        <v>1622.39</v>
      </c>
    </row>
    <row r="604" spans="1:2" x14ac:dyDescent="0.3">
      <c r="A604" s="5" t="s">
        <v>2901</v>
      </c>
      <c r="B604" s="2">
        <v>3934.5</v>
      </c>
    </row>
    <row r="605" spans="1:2" x14ac:dyDescent="0.3">
      <c r="A605" s="5" t="s">
        <v>1691</v>
      </c>
      <c r="B605" s="2">
        <v>1050.08</v>
      </c>
    </row>
    <row r="606" spans="1:2" x14ac:dyDescent="0.3">
      <c r="A606" s="5" t="s">
        <v>2739</v>
      </c>
      <c r="B606" s="2">
        <v>5135.92</v>
      </c>
    </row>
    <row r="607" spans="1:2" x14ac:dyDescent="0.3">
      <c r="A607" s="5" t="s">
        <v>1447</v>
      </c>
      <c r="B607" s="2">
        <v>4600.8</v>
      </c>
    </row>
    <row r="608" spans="1:2" x14ac:dyDescent="0.3">
      <c r="A608" s="5" t="s">
        <v>1351</v>
      </c>
      <c r="B608" s="2">
        <v>1214.58</v>
      </c>
    </row>
    <row r="609" spans="1:2" x14ac:dyDescent="0.3">
      <c r="A609" s="5" t="s">
        <v>1609</v>
      </c>
      <c r="B609" s="2">
        <v>1536.18</v>
      </c>
    </row>
    <row r="610" spans="1:2" x14ac:dyDescent="0.3">
      <c r="A610" s="5" t="s">
        <v>1503</v>
      </c>
      <c r="B610" s="2">
        <v>1668.42</v>
      </c>
    </row>
    <row r="611" spans="1:2" x14ac:dyDescent="0.3">
      <c r="A611" s="5" t="s">
        <v>349</v>
      </c>
      <c r="B611" s="2">
        <v>2232.7199999999998</v>
      </c>
    </row>
    <row r="612" spans="1:2" x14ac:dyDescent="0.3">
      <c r="A612" s="5" t="s">
        <v>101</v>
      </c>
      <c r="B612" s="2">
        <v>2957.85</v>
      </c>
    </row>
    <row r="613" spans="1:2" x14ac:dyDescent="0.3">
      <c r="A613" s="5" t="s">
        <v>1383</v>
      </c>
      <c r="B613" s="2">
        <v>178.08</v>
      </c>
    </row>
    <row r="614" spans="1:2" x14ac:dyDescent="0.3">
      <c r="A614" s="5" t="s">
        <v>1445</v>
      </c>
      <c r="B614" s="2">
        <v>3121.48</v>
      </c>
    </row>
    <row r="615" spans="1:2" x14ac:dyDescent="0.3">
      <c r="A615" s="5" t="s">
        <v>885</v>
      </c>
      <c r="B615" s="2">
        <v>1595.79</v>
      </c>
    </row>
    <row r="616" spans="1:2" x14ac:dyDescent="0.3">
      <c r="A616" s="5" t="s">
        <v>911</v>
      </c>
      <c r="B616" s="2">
        <v>645.85</v>
      </c>
    </row>
    <row r="617" spans="1:2" x14ac:dyDescent="0.3">
      <c r="A617" s="5" t="s">
        <v>2595</v>
      </c>
      <c r="B617" s="2">
        <v>4787.84</v>
      </c>
    </row>
    <row r="618" spans="1:2" x14ac:dyDescent="0.3">
      <c r="A618" s="5" t="s">
        <v>2085</v>
      </c>
      <c r="B618" s="2">
        <v>562.4</v>
      </c>
    </row>
    <row r="619" spans="1:2" x14ac:dyDescent="0.3">
      <c r="A619" s="5" t="s">
        <v>807</v>
      </c>
      <c r="B619" s="2">
        <v>432.34</v>
      </c>
    </row>
    <row r="620" spans="1:2" x14ac:dyDescent="0.3">
      <c r="A620" s="5" t="s">
        <v>3111</v>
      </c>
      <c r="B620" s="2">
        <v>1217.97</v>
      </c>
    </row>
    <row r="621" spans="1:2" x14ac:dyDescent="0.3">
      <c r="A621" s="5" t="s">
        <v>1441</v>
      </c>
      <c r="B621" s="2">
        <v>2995.12</v>
      </c>
    </row>
    <row r="622" spans="1:2" x14ac:dyDescent="0.3">
      <c r="A622" s="5" t="s">
        <v>473</v>
      </c>
      <c r="B622" s="2">
        <v>1561.74</v>
      </c>
    </row>
    <row r="623" spans="1:2" x14ac:dyDescent="0.3">
      <c r="A623" s="5" t="s">
        <v>317</v>
      </c>
      <c r="B623" s="2">
        <v>2022.6</v>
      </c>
    </row>
    <row r="624" spans="1:2" x14ac:dyDescent="0.3">
      <c r="A624" s="5" t="s">
        <v>1007</v>
      </c>
      <c r="B624" s="2">
        <v>3821.85</v>
      </c>
    </row>
    <row r="625" spans="1:2" x14ac:dyDescent="0.3">
      <c r="A625" s="5" t="s">
        <v>3123</v>
      </c>
      <c r="B625" s="2">
        <v>509.84</v>
      </c>
    </row>
    <row r="626" spans="1:2" x14ac:dyDescent="0.3">
      <c r="A626" s="5" t="s">
        <v>2181</v>
      </c>
      <c r="B626" s="2">
        <v>2996</v>
      </c>
    </row>
    <row r="627" spans="1:2" x14ac:dyDescent="0.3">
      <c r="A627" s="5" t="s">
        <v>2477</v>
      </c>
      <c r="B627" s="2">
        <v>2496.42</v>
      </c>
    </row>
    <row r="628" spans="1:2" x14ac:dyDescent="0.3">
      <c r="A628" s="5" t="s">
        <v>757</v>
      </c>
      <c r="B628" s="2">
        <v>2906</v>
      </c>
    </row>
    <row r="629" spans="1:2" x14ac:dyDescent="0.3">
      <c r="A629" s="5" t="s">
        <v>2543</v>
      </c>
      <c r="B629" s="2">
        <v>621.01</v>
      </c>
    </row>
    <row r="630" spans="1:2" x14ac:dyDescent="0.3">
      <c r="A630" s="5" t="s">
        <v>2863</v>
      </c>
      <c r="B630" s="2">
        <v>1310.24</v>
      </c>
    </row>
    <row r="631" spans="1:2" x14ac:dyDescent="0.3">
      <c r="A631" s="5" t="s">
        <v>71</v>
      </c>
      <c r="B631" s="2">
        <v>985.16</v>
      </c>
    </row>
    <row r="632" spans="1:2" x14ac:dyDescent="0.3">
      <c r="A632" s="5" t="s">
        <v>2537</v>
      </c>
      <c r="B632" s="2">
        <v>4675.38</v>
      </c>
    </row>
    <row r="633" spans="1:2" x14ac:dyDescent="0.3">
      <c r="A633" s="5" t="s">
        <v>1477</v>
      </c>
      <c r="B633" s="2">
        <v>4214.08</v>
      </c>
    </row>
    <row r="634" spans="1:2" x14ac:dyDescent="0.3">
      <c r="A634" s="5" t="s">
        <v>917</v>
      </c>
      <c r="B634" s="2">
        <v>402.4</v>
      </c>
    </row>
    <row r="635" spans="1:2" x14ac:dyDescent="0.3">
      <c r="A635" s="5" t="s">
        <v>1509</v>
      </c>
      <c r="B635" s="2">
        <v>347.08</v>
      </c>
    </row>
    <row r="636" spans="1:2" x14ac:dyDescent="0.3">
      <c r="A636" s="5" t="s">
        <v>187</v>
      </c>
      <c r="B636" s="2">
        <v>471.49</v>
      </c>
    </row>
    <row r="637" spans="1:2" x14ac:dyDescent="0.3">
      <c r="A637" s="5" t="s">
        <v>2413</v>
      </c>
      <c r="B637" s="2">
        <v>267.68</v>
      </c>
    </row>
    <row r="638" spans="1:2" x14ac:dyDescent="0.3">
      <c r="A638" s="5" t="s">
        <v>2053</v>
      </c>
      <c r="B638" s="2">
        <v>1863.03</v>
      </c>
    </row>
    <row r="639" spans="1:2" x14ac:dyDescent="0.3">
      <c r="A639" s="5" t="s">
        <v>1553</v>
      </c>
      <c r="B639" s="2">
        <v>2729.2</v>
      </c>
    </row>
    <row r="640" spans="1:2" x14ac:dyDescent="0.3">
      <c r="A640" s="5" t="s">
        <v>2665</v>
      </c>
      <c r="B640" s="2">
        <v>173.64</v>
      </c>
    </row>
    <row r="641" spans="1:2" x14ac:dyDescent="0.3">
      <c r="A641" s="5" t="s">
        <v>2129</v>
      </c>
      <c r="B641" s="2">
        <v>3451.3</v>
      </c>
    </row>
    <row r="642" spans="1:2" x14ac:dyDescent="0.3">
      <c r="A642" s="5" t="s">
        <v>3217</v>
      </c>
      <c r="B642" s="2">
        <v>1790.88</v>
      </c>
    </row>
    <row r="643" spans="1:2" x14ac:dyDescent="0.3">
      <c r="A643" s="5" t="s">
        <v>3185</v>
      </c>
      <c r="B643" s="2">
        <v>683.82</v>
      </c>
    </row>
    <row r="644" spans="1:2" x14ac:dyDescent="0.3">
      <c r="A644" s="5" t="s">
        <v>1133</v>
      </c>
      <c r="B644" s="2">
        <v>3117.44</v>
      </c>
    </row>
    <row r="645" spans="1:2" x14ac:dyDescent="0.3">
      <c r="A645" s="5" t="s">
        <v>2677</v>
      </c>
      <c r="B645" s="2">
        <v>102.28</v>
      </c>
    </row>
    <row r="646" spans="1:2" x14ac:dyDescent="0.3">
      <c r="A646" s="5" t="s">
        <v>627</v>
      </c>
      <c r="B646" s="2">
        <v>1595.3</v>
      </c>
    </row>
    <row r="647" spans="1:2" x14ac:dyDescent="0.3">
      <c r="A647" s="5" t="s">
        <v>2227</v>
      </c>
      <c r="B647" s="2">
        <v>47.97</v>
      </c>
    </row>
    <row r="648" spans="1:2" x14ac:dyDescent="0.3">
      <c r="A648" s="5" t="s">
        <v>1153</v>
      </c>
      <c r="B648" s="2">
        <v>6379.68</v>
      </c>
    </row>
    <row r="649" spans="1:2" x14ac:dyDescent="0.3">
      <c r="A649" s="5" t="s">
        <v>2351</v>
      </c>
      <c r="B649" s="2">
        <v>1363.6</v>
      </c>
    </row>
    <row r="650" spans="1:2" x14ac:dyDescent="0.3">
      <c r="A650" s="5" t="s">
        <v>2761</v>
      </c>
      <c r="B650" s="2">
        <v>3408.7</v>
      </c>
    </row>
    <row r="651" spans="1:2" x14ac:dyDescent="0.3">
      <c r="A651" s="5" t="s">
        <v>299</v>
      </c>
      <c r="B651" s="2">
        <v>5312.64</v>
      </c>
    </row>
    <row r="652" spans="1:2" x14ac:dyDescent="0.3">
      <c r="A652" s="5" t="s">
        <v>361</v>
      </c>
      <c r="B652" s="2">
        <v>1514.06</v>
      </c>
    </row>
    <row r="653" spans="1:2" x14ac:dyDescent="0.3">
      <c r="A653" s="5" t="s">
        <v>2767</v>
      </c>
      <c r="B653" s="2">
        <v>2042.48</v>
      </c>
    </row>
    <row r="654" spans="1:2" x14ac:dyDescent="0.3">
      <c r="A654" s="5" t="s">
        <v>2231</v>
      </c>
      <c r="B654" s="2">
        <v>3416.72</v>
      </c>
    </row>
    <row r="655" spans="1:2" x14ac:dyDescent="0.3">
      <c r="A655" s="5" t="s">
        <v>155</v>
      </c>
      <c r="B655" s="2">
        <v>1597.38</v>
      </c>
    </row>
    <row r="656" spans="1:2" x14ac:dyDescent="0.3">
      <c r="A656" s="5" t="s">
        <v>553</v>
      </c>
      <c r="B656" s="2">
        <v>781.85</v>
      </c>
    </row>
    <row r="657" spans="1:2" x14ac:dyDescent="0.3">
      <c r="A657" s="5" t="s">
        <v>537</v>
      </c>
      <c r="B657" s="2">
        <v>1178.04</v>
      </c>
    </row>
    <row r="658" spans="1:2" x14ac:dyDescent="0.3">
      <c r="A658" s="5" t="s">
        <v>2639</v>
      </c>
      <c r="B658" s="2">
        <v>3376.94</v>
      </c>
    </row>
    <row r="659" spans="1:2" x14ac:dyDescent="0.3">
      <c r="A659" s="5" t="s">
        <v>113</v>
      </c>
      <c r="B659" s="2">
        <v>417.22</v>
      </c>
    </row>
    <row r="660" spans="1:2" x14ac:dyDescent="0.3">
      <c r="A660" s="5" t="s">
        <v>227</v>
      </c>
      <c r="B660" s="2">
        <v>538.55999999999995</v>
      </c>
    </row>
    <row r="661" spans="1:2" x14ac:dyDescent="0.3">
      <c r="A661" s="5" t="s">
        <v>1095</v>
      </c>
      <c r="B661" s="2">
        <v>1821.68</v>
      </c>
    </row>
    <row r="662" spans="1:2" x14ac:dyDescent="0.3">
      <c r="A662" s="5" t="s">
        <v>529</v>
      </c>
      <c r="B662" s="2">
        <v>2272.2799999999997</v>
      </c>
    </row>
    <row r="663" spans="1:2" x14ac:dyDescent="0.3">
      <c r="A663" s="5" t="s">
        <v>467</v>
      </c>
      <c r="B663" s="2">
        <v>5481.98</v>
      </c>
    </row>
    <row r="664" spans="1:2" x14ac:dyDescent="0.3">
      <c r="A664" s="5" t="s">
        <v>2283</v>
      </c>
      <c r="B664" s="2">
        <v>300.52</v>
      </c>
    </row>
    <row r="665" spans="1:2" x14ac:dyDescent="0.3">
      <c r="A665" s="5" t="s">
        <v>653</v>
      </c>
      <c r="B665" s="2">
        <v>3889.68</v>
      </c>
    </row>
    <row r="666" spans="1:2" x14ac:dyDescent="0.3">
      <c r="A666" s="5" t="s">
        <v>603</v>
      </c>
      <c r="B666" s="2">
        <v>1919.37</v>
      </c>
    </row>
    <row r="667" spans="1:2" x14ac:dyDescent="0.3">
      <c r="A667" s="5" t="s">
        <v>827</v>
      </c>
      <c r="B667" s="2">
        <v>2784.48</v>
      </c>
    </row>
    <row r="668" spans="1:2" x14ac:dyDescent="0.3">
      <c r="A668" s="5" t="s">
        <v>613</v>
      </c>
      <c r="B668" s="2">
        <v>315.92</v>
      </c>
    </row>
    <row r="669" spans="1:2" x14ac:dyDescent="0.3">
      <c r="A669" s="5" t="s">
        <v>1933</v>
      </c>
      <c r="B669" s="2">
        <v>2939.92</v>
      </c>
    </row>
    <row r="670" spans="1:2" x14ac:dyDescent="0.3">
      <c r="A670" s="5" t="s">
        <v>695</v>
      </c>
      <c r="B670" s="2">
        <v>3955.15</v>
      </c>
    </row>
    <row r="671" spans="1:2" x14ac:dyDescent="0.3">
      <c r="A671" s="5" t="s">
        <v>3037</v>
      </c>
      <c r="B671" s="2">
        <v>1017.68</v>
      </c>
    </row>
    <row r="672" spans="1:2" x14ac:dyDescent="0.3">
      <c r="A672" s="5" t="s">
        <v>1685</v>
      </c>
      <c r="B672" s="2">
        <v>4973.4399999999996</v>
      </c>
    </row>
    <row r="673" spans="1:2" x14ac:dyDescent="0.3">
      <c r="A673" s="5" t="s">
        <v>341</v>
      </c>
      <c r="B673" s="2">
        <v>4063.08</v>
      </c>
    </row>
    <row r="674" spans="1:2" x14ac:dyDescent="0.3">
      <c r="A674" s="5" t="s">
        <v>1225</v>
      </c>
      <c r="B674" s="2">
        <v>2817.35</v>
      </c>
    </row>
    <row r="675" spans="1:2" x14ac:dyDescent="0.3">
      <c r="A675" s="5" t="s">
        <v>1673</v>
      </c>
      <c r="B675" s="2">
        <v>1994.02</v>
      </c>
    </row>
    <row r="676" spans="1:2" x14ac:dyDescent="0.3">
      <c r="A676" s="5" t="s">
        <v>1995</v>
      </c>
      <c r="B676" s="2">
        <v>17.12</v>
      </c>
    </row>
    <row r="677" spans="1:2" x14ac:dyDescent="0.3">
      <c r="A677" s="5" t="s">
        <v>105</v>
      </c>
      <c r="B677" s="2">
        <v>280</v>
      </c>
    </row>
    <row r="678" spans="1:2" x14ac:dyDescent="0.3">
      <c r="A678" s="5" t="s">
        <v>571</v>
      </c>
      <c r="B678" s="2">
        <v>333.24</v>
      </c>
    </row>
    <row r="679" spans="1:2" x14ac:dyDescent="0.3">
      <c r="A679" s="5" t="s">
        <v>1271</v>
      </c>
      <c r="B679" s="2">
        <v>530.67999999999995</v>
      </c>
    </row>
    <row r="680" spans="1:2" x14ac:dyDescent="0.3">
      <c r="A680" s="5" t="s">
        <v>2467</v>
      </c>
      <c r="B680" s="2">
        <v>1519.65</v>
      </c>
    </row>
    <row r="681" spans="1:2" x14ac:dyDescent="0.3">
      <c r="A681" s="5" t="s">
        <v>343</v>
      </c>
      <c r="B681" s="2">
        <v>3414</v>
      </c>
    </row>
    <row r="682" spans="1:2" x14ac:dyDescent="0.3">
      <c r="A682" s="5" t="s">
        <v>2419</v>
      </c>
      <c r="B682" s="2">
        <v>1143.05</v>
      </c>
    </row>
    <row r="683" spans="1:2" x14ac:dyDescent="0.3">
      <c r="A683" s="5" t="s">
        <v>15</v>
      </c>
      <c r="B683" s="2">
        <v>2563.54</v>
      </c>
    </row>
    <row r="684" spans="1:2" x14ac:dyDescent="0.3">
      <c r="A684" s="5" t="s">
        <v>511</v>
      </c>
      <c r="B684" s="2">
        <v>4524.96</v>
      </c>
    </row>
    <row r="685" spans="1:2" x14ac:dyDescent="0.3">
      <c r="A685" s="5" t="s">
        <v>2399</v>
      </c>
      <c r="B685" s="2">
        <v>2320.17</v>
      </c>
    </row>
    <row r="686" spans="1:2" x14ac:dyDescent="0.3">
      <c r="A686" s="5" t="s">
        <v>2823</v>
      </c>
      <c r="B686" s="2">
        <v>866.25</v>
      </c>
    </row>
    <row r="687" spans="1:2" x14ac:dyDescent="0.3">
      <c r="A687" s="5" t="s">
        <v>2841</v>
      </c>
      <c r="B687" s="2">
        <v>784.11</v>
      </c>
    </row>
    <row r="688" spans="1:2" x14ac:dyDescent="0.3">
      <c r="A688" s="5" t="s">
        <v>305</v>
      </c>
      <c r="B688" s="2">
        <v>895.52</v>
      </c>
    </row>
    <row r="689" spans="1:2" x14ac:dyDescent="0.3">
      <c r="A689" s="5" t="s">
        <v>981</v>
      </c>
      <c r="B689" s="2">
        <v>188.7</v>
      </c>
    </row>
    <row r="690" spans="1:2" x14ac:dyDescent="0.3">
      <c r="A690" s="5" t="s">
        <v>1049</v>
      </c>
      <c r="B690" s="2">
        <v>358.65</v>
      </c>
    </row>
    <row r="691" spans="1:2" x14ac:dyDescent="0.3">
      <c r="A691" s="5" t="s">
        <v>2959</v>
      </c>
      <c r="B691" s="2">
        <v>1678.68</v>
      </c>
    </row>
    <row r="692" spans="1:2" x14ac:dyDescent="0.3">
      <c r="A692" s="5" t="s">
        <v>3199</v>
      </c>
      <c r="B692" s="2">
        <v>56.08</v>
      </c>
    </row>
    <row r="693" spans="1:2" x14ac:dyDescent="0.3">
      <c r="A693" s="5" t="s">
        <v>1721</v>
      </c>
      <c r="B693" s="2">
        <v>3154.74</v>
      </c>
    </row>
    <row r="694" spans="1:2" x14ac:dyDescent="0.3">
      <c r="A694" s="5" t="s">
        <v>2903</v>
      </c>
      <c r="B694" s="2">
        <v>91.01</v>
      </c>
    </row>
    <row r="695" spans="1:2" x14ac:dyDescent="0.3">
      <c r="A695" s="5" t="s">
        <v>691</v>
      </c>
      <c r="B695" s="2">
        <v>2405.6799999999998</v>
      </c>
    </row>
    <row r="696" spans="1:2" x14ac:dyDescent="0.3">
      <c r="A696" s="5" t="s">
        <v>3239</v>
      </c>
      <c r="B696" s="2">
        <v>838.95</v>
      </c>
    </row>
    <row r="697" spans="1:2" x14ac:dyDescent="0.3">
      <c r="A697" s="5" t="s">
        <v>2423</v>
      </c>
      <c r="B697" s="2">
        <v>531.54</v>
      </c>
    </row>
    <row r="698" spans="1:2" x14ac:dyDescent="0.3">
      <c r="A698" s="5" t="s">
        <v>1389</v>
      </c>
      <c r="B698" s="2">
        <v>1082.56</v>
      </c>
    </row>
    <row r="699" spans="1:2" x14ac:dyDescent="0.3">
      <c r="A699" s="5" t="s">
        <v>1241</v>
      </c>
      <c r="B699" s="2">
        <v>264.98</v>
      </c>
    </row>
    <row r="700" spans="1:2" x14ac:dyDescent="0.3">
      <c r="A700" s="5" t="s">
        <v>1011</v>
      </c>
      <c r="B700" s="2">
        <v>2244.65</v>
      </c>
    </row>
    <row r="701" spans="1:2" x14ac:dyDescent="0.3">
      <c r="A701" s="5" t="s">
        <v>1345</v>
      </c>
      <c r="B701" s="2">
        <v>936.48</v>
      </c>
    </row>
    <row r="702" spans="1:2" x14ac:dyDescent="0.3">
      <c r="A702" s="5" t="s">
        <v>271</v>
      </c>
      <c r="B702" s="2">
        <v>1637.51</v>
      </c>
    </row>
    <row r="703" spans="1:2" x14ac:dyDescent="0.3">
      <c r="A703" s="5" t="s">
        <v>48</v>
      </c>
      <c r="B703" s="2">
        <v>539.66999999999996</v>
      </c>
    </row>
    <row r="704" spans="1:2" x14ac:dyDescent="0.3">
      <c r="A704" s="5" t="s">
        <v>2777</v>
      </c>
      <c r="B704" s="2">
        <v>329.7</v>
      </c>
    </row>
    <row r="705" spans="1:2" x14ac:dyDescent="0.3">
      <c r="A705" s="5" t="s">
        <v>2075</v>
      </c>
      <c r="B705" s="2">
        <v>227.36</v>
      </c>
    </row>
    <row r="706" spans="1:2" x14ac:dyDescent="0.3">
      <c r="A706" s="5" t="s">
        <v>2519</v>
      </c>
      <c r="B706" s="2">
        <v>1899.6</v>
      </c>
    </row>
    <row r="707" spans="1:2" x14ac:dyDescent="0.3">
      <c r="A707" s="5" t="s">
        <v>1795</v>
      </c>
      <c r="B707" s="2">
        <v>1394.52</v>
      </c>
    </row>
    <row r="708" spans="1:2" x14ac:dyDescent="0.3">
      <c r="A708" s="5" t="s">
        <v>2167</v>
      </c>
      <c r="B708" s="2">
        <v>3740.4</v>
      </c>
    </row>
    <row r="709" spans="1:2" x14ac:dyDescent="0.3">
      <c r="A709" s="5" t="s">
        <v>2427</v>
      </c>
      <c r="B709" s="2">
        <v>95.7</v>
      </c>
    </row>
    <row r="710" spans="1:2" x14ac:dyDescent="0.3">
      <c r="A710" s="5" t="s">
        <v>525</v>
      </c>
      <c r="B710" s="2">
        <v>924.48</v>
      </c>
    </row>
    <row r="711" spans="1:2" x14ac:dyDescent="0.3">
      <c r="A711" s="5" t="s">
        <v>1591</v>
      </c>
      <c r="B711" s="2">
        <v>2449.88</v>
      </c>
    </row>
    <row r="712" spans="1:2" x14ac:dyDescent="0.3">
      <c r="A712" s="5" t="s">
        <v>54</v>
      </c>
      <c r="B712" s="2">
        <v>4556.4799999999996</v>
      </c>
    </row>
    <row r="713" spans="1:2" x14ac:dyDescent="0.3">
      <c r="A713" s="5" t="s">
        <v>1581</v>
      </c>
      <c r="B713" s="2">
        <v>571.02</v>
      </c>
    </row>
    <row r="714" spans="1:2" x14ac:dyDescent="0.3">
      <c r="A714" s="5" t="s">
        <v>91</v>
      </c>
      <c r="B714" s="2">
        <v>1433.31</v>
      </c>
    </row>
    <row r="715" spans="1:2" x14ac:dyDescent="0.3">
      <c r="A715" s="5" t="s">
        <v>751</v>
      </c>
      <c r="B715" s="2">
        <v>1323.03</v>
      </c>
    </row>
    <row r="716" spans="1:2" x14ac:dyDescent="0.3">
      <c r="A716" s="5" t="s">
        <v>3117</v>
      </c>
      <c r="B716" s="2">
        <v>3352.2</v>
      </c>
    </row>
    <row r="717" spans="1:2" x14ac:dyDescent="0.3">
      <c r="A717" s="5" t="s">
        <v>2667</v>
      </c>
      <c r="B717" s="2">
        <v>1537.02</v>
      </c>
    </row>
    <row r="718" spans="1:2" x14ac:dyDescent="0.3">
      <c r="A718" s="5" t="s">
        <v>1817</v>
      </c>
      <c r="B718" s="2">
        <v>499.22</v>
      </c>
    </row>
    <row r="719" spans="1:2" x14ac:dyDescent="0.3">
      <c r="A719" s="5" t="s">
        <v>1703</v>
      </c>
      <c r="B719" s="2">
        <v>1383.75</v>
      </c>
    </row>
    <row r="720" spans="1:2" x14ac:dyDescent="0.3">
      <c r="A720" s="5" t="s">
        <v>1809</v>
      </c>
      <c r="B720" s="2">
        <v>776.47</v>
      </c>
    </row>
    <row r="721" spans="1:2" x14ac:dyDescent="0.3">
      <c r="A721" s="5" t="s">
        <v>2117</v>
      </c>
      <c r="B721" s="2">
        <v>1397.04</v>
      </c>
    </row>
    <row r="722" spans="1:2" x14ac:dyDescent="0.3">
      <c r="A722" s="5" t="s">
        <v>897</v>
      </c>
      <c r="B722" s="2">
        <v>319</v>
      </c>
    </row>
    <row r="723" spans="1:2" x14ac:dyDescent="0.3">
      <c r="A723" s="5" t="s">
        <v>79</v>
      </c>
      <c r="B723" s="2">
        <v>1168.0999999999999</v>
      </c>
    </row>
    <row r="724" spans="1:2" x14ac:dyDescent="0.3">
      <c r="A724" s="5" t="s">
        <v>3171</v>
      </c>
      <c r="B724" s="2">
        <v>387.28</v>
      </c>
    </row>
    <row r="725" spans="1:2" x14ac:dyDescent="0.3">
      <c r="A725" s="5" t="s">
        <v>65</v>
      </c>
      <c r="B725" s="2">
        <v>1912.01</v>
      </c>
    </row>
    <row r="726" spans="1:2" x14ac:dyDescent="0.3">
      <c r="A726" s="5" t="s">
        <v>2561</v>
      </c>
      <c r="B726" s="2">
        <v>4852.26</v>
      </c>
    </row>
    <row r="727" spans="1:2" x14ac:dyDescent="0.3">
      <c r="A727" s="5" t="s">
        <v>1661</v>
      </c>
      <c r="B727" s="2">
        <v>2311.4699999999998</v>
      </c>
    </row>
    <row r="728" spans="1:2" x14ac:dyDescent="0.3">
      <c r="A728" s="5" t="s">
        <v>1277</v>
      </c>
      <c r="B728" s="2">
        <v>3019.52</v>
      </c>
    </row>
    <row r="729" spans="1:2" x14ac:dyDescent="0.3">
      <c r="A729" s="5" t="s">
        <v>2243</v>
      </c>
      <c r="B729" s="2">
        <v>1969.36</v>
      </c>
    </row>
    <row r="730" spans="1:2" x14ac:dyDescent="0.3">
      <c r="A730" s="5" t="s">
        <v>489</v>
      </c>
      <c r="B730" s="2">
        <v>2376.06</v>
      </c>
    </row>
    <row r="731" spans="1:2" x14ac:dyDescent="0.3">
      <c r="A731" s="5" t="s">
        <v>675</v>
      </c>
      <c r="B731" s="2">
        <v>88.6</v>
      </c>
    </row>
    <row r="732" spans="1:2" x14ac:dyDescent="0.3">
      <c r="A732" s="5" t="s">
        <v>797</v>
      </c>
      <c r="B732" s="2">
        <v>629.94000000000005</v>
      </c>
    </row>
    <row r="733" spans="1:2" x14ac:dyDescent="0.3">
      <c r="A733" s="5" t="s">
        <v>3221</v>
      </c>
      <c r="B733" s="2">
        <v>448.58</v>
      </c>
    </row>
    <row r="734" spans="1:2" x14ac:dyDescent="0.3">
      <c r="A734" s="5" t="s">
        <v>1807</v>
      </c>
      <c r="B734" s="2">
        <v>22.89</v>
      </c>
    </row>
    <row r="735" spans="1:2" x14ac:dyDescent="0.3">
      <c r="A735" s="5" t="s">
        <v>521</v>
      </c>
      <c r="B735" s="2">
        <v>2081.0500000000002</v>
      </c>
    </row>
    <row r="736" spans="1:2" x14ac:dyDescent="0.3">
      <c r="A736" s="5" t="s">
        <v>3087</v>
      </c>
      <c r="B736" s="2">
        <v>362.4</v>
      </c>
    </row>
    <row r="737" spans="1:2" x14ac:dyDescent="0.3">
      <c r="A737" s="5" t="s">
        <v>1501</v>
      </c>
      <c r="B737" s="2">
        <v>192.82</v>
      </c>
    </row>
    <row r="738" spans="1:2" x14ac:dyDescent="0.3">
      <c r="A738" s="5" t="s">
        <v>2545</v>
      </c>
      <c r="B738" s="2">
        <v>5394.9</v>
      </c>
    </row>
    <row r="739" spans="1:2" x14ac:dyDescent="0.3">
      <c r="A739" s="5" t="s">
        <v>725</v>
      </c>
      <c r="B739" s="2">
        <v>1785.8</v>
      </c>
    </row>
    <row r="740" spans="1:2" x14ac:dyDescent="0.3">
      <c r="A740" s="5" t="s">
        <v>1513</v>
      </c>
      <c r="B740" s="2">
        <v>1950.8</v>
      </c>
    </row>
    <row r="741" spans="1:2" x14ac:dyDescent="0.3">
      <c r="A741" s="5" t="s">
        <v>3035</v>
      </c>
      <c r="B741" s="2">
        <v>2163.66</v>
      </c>
    </row>
    <row r="742" spans="1:2" x14ac:dyDescent="0.3">
      <c r="A742" s="5" t="s">
        <v>3295</v>
      </c>
      <c r="B742" s="2">
        <v>5517.33</v>
      </c>
    </row>
    <row r="743" spans="1:2" x14ac:dyDescent="0.3">
      <c r="A743" s="5" t="s">
        <v>2223</v>
      </c>
      <c r="B743" s="2">
        <v>1048</v>
      </c>
    </row>
    <row r="744" spans="1:2" x14ac:dyDescent="0.3">
      <c r="A744" s="5" t="s">
        <v>1951</v>
      </c>
      <c r="B744" s="2">
        <v>827.82</v>
      </c>
    </row>
    <row r="745" spans="1:2" x14ac:dyDescent="0.3">
      <c r="A745" s="5" t="s">
        <v>1269</v>
      </c>
      <c r="B745" s="2">
        <v>840.48</v>
      </c>
    </row>
    <row r="746" spans="1:2" x14ac:dyDescent="0.3">
      <c r="A746" s="5" t="s">
        <v>2449</v>
      </c>
      <c r="B746" s="2">
        <v>2704.56</v>
      </c>
    </row>
    <row r="747" spans="1:2" x14ac:dyDescent="0.3">
      <c r="A747" s="5" t="s">
        <v>1879</v>
      </c>
      <c r="B747" s="2">
        <v>2052</v>
      </c>
    </row>
    <row r="748" spans="1:2" x14ac:dyDescent="0.3">
      <c r="A748" s="5" t="s">
        <v>1969</v>
      </c>
      <c r="B748" s="2">
        <v>4130.6400000000003</v>
      </c>
    </row>
    <row r="749" spans="1:2" x14ac:dyDescent="0.3">
      <c r="A749" s="5" t="s">
        <v>2479</v>
      </c>
      <c r="B749" s="2">
        <v>193.13</v>
      </c>
    </row>
    <row r="750" spans="1:2" x14ac:dyDescent="0.3">
      <c r="A750" s="5" t="s">
        <v>2819</v>
      </c>
      <c r="B750" s="2">
        <v>27.02</v>
      </c>
    </row>
    <row r="751" spans="1:2" x14ac:dyDescent="0.3">
      <c r="A751" s="5" t="s">
        <v>2973</v>
      </c>
      <c r="B751" s="2">
        <v>424.9</v>
      </c>
    </row>
    <row r="752" spans="1:2" x14ac:dyDescent="0.3">
      <c r="A752" s="5" t="s">
        <v>1725</v>
      </c>
      <c r="B752" s="2">
        <v>923.75</v>
      </c>
    </row>
    <row r="753" spans="1:2" x14ac:dyDescent="0.3">
      <c r="A753" s="5" t="s">
        <v>1291</v>
      </c>
      <c r="B753" s="2">
        <v>1277.1600000000001</v>
      </c>
    </row>
    <row r="754" spans="1:2" x14ac:dyDescent="0.3">
      <c r="A754" s="5" t="s">
        <v>2347</v>
      </c>
      <c r="B754" s="2">
        <v>482.69</v>
      </c>
    </row>
    <row r="755" spans="1:2" x14ac:dyDescent="0.3">
      <c r="A755" s="5" t="s">
        <v>1303</v>
      </c>
      <c r="B755" s="2">
        <v>458.52</v>
      </c>
    </row>
    <row r="756" spans="1:2" x14ac:dyDescent="0.3">
      <c r="A756" s="5" t="s">
        <v>1329</v>
      </c>
      <c r="B756" s="2">
        <v>2263.08</v>
      </c>
    </row>
    <row r="757" spans="1:2" x14ac:dyDescent="0.3">
      <c r="A757" s="5" t="s">
        <v>2175</v>
      </c>
      <c r="B757" s="2">
        <v>1459.98</v>
      </c>
    </row>
    <row r="758" spans="1:2" x14ac:dyDescent="0.3">
      <c r="A758" s="5" t="s">
        <v>433</v>
      </c>
      <c r="B758" s="2">
        <v>602.38</v>
      </c>
    </row>
    <row r="759" spans="1:2" x14ac:dyDescent="0.3">
      <c r="A759" s="5" t="s">
        <v>771</v>
      </c>
      <c r="B759" s="2">
        <v>3463.36</v>
      </c>
    </row>
    <row r="760" spans="1:2" x14ac:dyDescent="0.3">
      <c r="A760" s="5" t="s">
        <v>919</v>
      </c>
      <c r="B760" s="2">
        <v>2537.5</v>
      </c>
    </row>
    <row r="761" spans="1:2" x14ac:dyDescent="0.3">
      <c r="A761" s="5" t="s">
        <v>651</v>
      </c>
      <c r="B761" s="2">
        <v>751.75</v>
      </c>
    </row>
    <row r="762" spans="1:2" x14ac:dyDescent="0.3">
      <c r="A762" s="5" t="s">
        <v>1753</v>
      </c>
      <c r="B762" s="2">
        <v>1435.92</v>
      </c>
    </row>
    <row r="763" spans="1:2" x14ac:dyDescent="0.3">
      <c r="A763" s="5" t="s">
        <v>1479</v>
      </c>
      <c r="B763" s="2">
        <v>591.24</v>
      </c>
    </row>
    <row r="764" spans="1:2" x14ac:dyDescent="0.3">
      <c r="A764" s="5" t="s">
        <v>2919</v>
      </c>
      <c r="B764" s="2">
        <v>362.96</v>
      </c>
    </row>
    <row r="765" spans="1:2" x14ac:dyDescent="0.3">
      <c r="A765" s="5" t="s">
        <v>2287</v>
      </c>
      <c r="B765" s="2">
        <v>2919.9</v>
      </c>
    </row>
    <row r="766" spans="1:2" x14ac:dyDescent="0.3">
      <c r="A766" s="5" t="s">
        <v>2867</v>
      </c>
      <c r="B766" s="2">
        <v>2912.77</v>
      </c>
    </row>
    <row r="767" spans="1:2" x14ac:dyDescent="0.3">
      <c r="A767" s="5" t="s">
        <v>2999</v>
      </c>
      <c r="B767" s="2">
        <v>729.45</v>
      </c>
    </row>
    <row r="768" spans="1:2" x14ac:dyDescent="0.3">
      <c r="A768" s="5" t="s">
        <v>1419</v>
      </c>
      <c r="B768" s="2">
        <v>707.16</v>
      </c>
    </row>
    <row r="769" spans="1:2" x14ac:dyDescent="0.3">
      <c r="A769" s="5" t="s">
        <v>555</v>
      </c>
      <c r="B769" s="2">
        <v>243.95</v>
      </c>
    </row>
    <row r="770" spans="1:2" x14ac:dyDescent="0.3">
      <c r="A770" s="5" t="s">
        <v>3189</v>
      </c>
      <c r="B770" s="2">
        <v>5310.64</v>
      </c>
    </row>
    <row r="771" spans="1:2" x14ac:dyDescent="0.3">
      <c r="A771" s="5" t="s">
        <v>39</v>
      </c>
      <c r="B771" s="2">
        <v>231.09</v>
      </c>
    </row>
    <row r="772" spans="1:2" x14ac:dyDescent="0.3">
      <c r="A772" s="5" t="s">
        <v>1791</v>
      </c>
      <c r="B772" s="2">
        <v>3805.68</v>
      </c>
    </row>
    <row r="773" spans="1:2" x14ac:dyDescent="0.3">
      <c r="A773" s="5" t="s">
        <v>937</v>
      </c>
      <c r="B773" s="2">
        <v>2949.2</v>
      </c>
    </row>
    <row r="774" spans="1:2" x14ac:dyDescent="0.3">
      <c r="A774" s="5" t="s">
        <v>169</v>
      </c>
      <c r="B774" s="2">
        <v>3854.3</v>
      </c>
    </row>
    <row r="775" spans="1:2" x14ac:dyDescent="0.3">
      <c r="A775" s="5" t="s">
        <v>3269</v>
      </c>
      <c r="B775" s="2">
        <v>4253.28</v>
      </c>
    </row>
    <row r="776" spans="1:2" x14ac:dyDescent="0.3">
      <c r="A776" s="5" t="s">
        <v>2893</v>
      </c>
      <c r="B776" s="2">
        <v>816.93</v>
      </c>
    </row>
    <row r="777" spans="1:2" x14ac:dyDescent="0.3">
      <c r="A777" s="5" t="s">
        <v>285</v>
      </c>
      <c r="B777" s="2">
        <v>4669.62</v>
      </c>
    </row>
    <row r="778" spans="1:2" x14ac:dyDescent="0.3">
      <c r="A778" s="5" t="s">
        <v>829</v>
      </c>
      <c r="B778" s="2">
        <v>3916.5</v>
      </c>
    </row>
    <row r="779" spans="1:2" x14ac:dyDescent="0.3">
      <c r="A779" s="5" t="s">
        <v>487</v>
      </c>
      <c r="B779" s="2">
        <v>2117.94</v>
      </c>
    </row>
    <row r="780" spans="1:2" x14ac:dyDescent="0.3">
      <c r="A780" s="5" t="s">
        <v>569</v>
      </c>
      <c r="B780" s="2">
        <v>1088.78</v>
      </c>
    </row>
    <row r="781" spans="1:2" x14ac:dyDescent="0.3">
      <c r="A781" s="5" t="s">
        <v>893</v>
      </c>
      <c r="B781" s="2">
        <v>1418.2</v>
      </c>
    </row>
    <row r="782" spans="1:2" x14ac:dyDescent="0.3">
      <c r="A782" s="5" t="s">
        <v>197</v>
      </c>
      <c r="B782" s="2">
        <v>4378.08</v>
      </c>
    </row>
    <row r="783" spans="1:2" x14ac:dyDescent="0.3">
      <c r="A783" s="5" t="s">
        <v>509</v>
      </c>
      <c r="B783" s="2">
        <v>2403.04</v>
      </c>
    </row>
    <row r="784" spans="1:2" x14ac:dyDescent="0.3">
      <c r="A784" s="5" t="s">
        <v>301</v>
      </c>
      <c r="B784" s="2">
        <v>4061.92</v>
      </c>
    </row>
    <row r="785" spans="1:2" x14ac:dyDescent="0.3">
      <c r="A785" s="5" t="s">
        <v>1799</v>
      </c>
      <c r="B785" s="2">
        <v>268.98</v>
      </c>
    </row>
    <row r="786" spans="1:2" x14ac:dyDescent="0.3">
      <c r="A786" s="5" t="s">
        <v>2081</v>
      </c>
      <c r="B786" s="2">
        <v>116.58</v>
      </c>
    </row>
    <row r="787" spans="1:2" x14ac:dyDescent="0.3">
      <c r="A787" s="4" t="s">
        <v>29</v>
      </c>
      <c r="B787" s="2">
        <v>468632.8000000004</v>
      </c>
    </row>
    <row r="788" spans="1:2" x14ac:dyDescent="0.3">
      <c r="A788" s="5" t="s">
        <v>59</v>
      </c>
      <c r="B788" s="2">
        <v>3002.55</v>
      </c>
    </row>
    <row r="789" spans="1:2" x14ac:dyDescent="0.3">
      <c r="A789" s="5" t="s">
        <v>1139</v>
      </c>
      <c r="B789" s="2">
        <v>4973.2</v>
      </c>
    </row>
    <row r="790" spans="1:2" x14ac:dyDescent="0.3">
      <c r="A790" s="5" t="s">
        <v>655</v>
      </c>
      <c r="B790" s="2">
        <v>655.16</v>
      </c>
    </row>
    <row r="791" spans="1:2" x14ac:dyDescent="0.3">
      <c r="A791" s="5" t="s">
        <v>1655</v>
      </c>
      <c r="B791" s="2">
        <v>385.56</v>
      </c>
    </row>
    <row r="792" spans="1:2" x14ac:dyDescent="0.3">
      <c r="A792" s="5" t="s">
        <v>583</v>
      </c>
      <c r="B792" s="2">
        <v>1673.28</v>
      </c>
    </row>
    <row r="793" spans="1:2" x14ac:dyDescent="0.3">
      <c r="A793" s="5" t="s">
        <v>1537</v>
      </c>
      <c r="B793" s="2">
        <v>2584.4699999999998</v>
      </c>
    </row>
    <row r="794" spans="1:2" x14ac:dyDescent="0.3">
      <c r="A794" s="5" t="s">
        <v>1391</v>
      </c>
      <c r="B794" s="2">
        <v>1371.78</v>
      </c>
    </row>
    <row r="795" spans="1:2" x14ac:dyDescent="0.3">
      <c r="A795" s="5" t="s">
        <v>1261</v>
      </c>
      <c r="B795" s="2">
        <v>102.9</v>
      </c>
    </row>
    <row r="796" spans="1:2" x14ac:dyDescent="0.3">
      <c r="A796" s="5" t="s">
        <v>189</v>
      </c>
      <c r="B796" s="2">
        <v>362.07</v>
      </c>
    </row>
    <row r="797" spans="1:2" x14ac:dyDescent="0.3">
      <c r="A797" s="5" t="s">
        <v>2435</v>
      </c>
      <c r="B797" s="2">
        <v>518.74</v>
      </c>
    </row>
    <row r="798" spans="1:2" x14ac:dyDescent="0.3">
      <c r="A798" s="5" t="s">
        <v>2501</v>
      </c>
      <c r="B798" s="2">
        <v>3352.32</v>
      </c>
    </row>
    <row r="799" spans="1:2" x14ac:dyDescent="0.3">
      <c r="A799" s="5" t="s">
        <v>3179</v>
      </c>
      <c r="B799" s="2">
        <v>658.32</v>
      </c>
    </row>
    <row r="800" spans="1:2" x14ac:dyDescent="0.3">
      <c r="A800" s="5" t="s">
        <v>3089</v>
      </c>
      <c r="B800" s="2">
        <v>1383.92</v>
      </c>
    </row>
    <row r="801" spans="1:2" x14ac:dyDescent="0.3">
      <c r="A801" s="5" t="s">
        <v>2979</v>
      </c>
      <c r="B801" s="2">
        <v>3118.29</v>
      </c>
    </row>
    <row r="802" spans="1:2" x14ac:dyDescent="0.3">
      <c r="A802" s="5" t="s">
        <v>991</v>
      </c>
      <c r="B802" s="2">
        <v>40.96</v>
      </c>
    </row>
    <row r="803" spans="1:2" x14ac:dyDescent="0.3">
      <c r="A803" s="5" t="s">
        <v>3017</v>
      </c>
      <c r="B803" s="2">
        <v>804.32</v>
      </c>
    </row>
    <row r="804" spans="1:2" x14ac:dyDescent="0.3">
      <c r="A804" s="5" t="s">
        <v>1903</v>
      </c>
      <c r="B804" s="2">
        <v>3667.09</v>
      </c>
    </row>
    <row r="805" spans="1:2" x14ac:dyDescent="0.3">
      <c r="A805" s="5" t="s">
        <v>2851</v>
      </c>
      <c r="B805" s="2">
        <v>1502.22</v>
      </c>
    </row>
    <row r="806" spans="1:2" x14ac:dyDescent="0.3">
      <c r="A806" s="5" t="s">
        <v>759</v>
      </c>
      <c r="B806" s="2">
        <v>906.48</v>
      </c>
    </row>
    <row r="807" spans="1:2" x14ac:dyDescent="0.3">
      <c r="A807" s="5" t="s">
        <v>2655</v>
      </c>
      <c r="B807" s="2">
        <v>879</v>
      </c>
    </row>
    <row r="808" spans="1:2" x14ac:dyDescent="0.3">
      <c r="A808" s="5" t="s">
        <v>2791</v>
      </c>
      <c r="B808" s="2">
        <v>1322.23</v>
      </c>
    </row>
    <row r="809" spans="1:2" x14ac:dyDescent="0.3">
      <c r="A809" s="5" t="s">
        <v>491</v>
      </c>
      <c r="B809" s="2">
        <v>1594.88</v>
      </c>
    </row>
    <row r="810" spans="1:2" x14ac:dyDescent="0.3">
      <c r="A810" s="5" t="s">
        <v>315</v>
      </c>
      <c r="B810" s="2">
        <v>3117.59</v>
      </c>
    </row>
    <row r="811" spans="1:2" x14ac:dyDescent="0.3">
      <c r="A811" s="5" t="s">
        <v>643</v>
      </c>
      <c r="B811" s="2">
        <v>572.53</v>
      </c>
    </row>
    <row r="812" spans="1:2" x14ac:dyDescent="0.3">
      <c r="A812" s="5" t="s">
        <v>1481</v>
      </c>
      <c r="B812" s="2">
        <v>452.06</v>
      </c>
    </row>
    <row r="813" spans="1:2" x14ac:dyDescent="0.3">
      <c r="A813" s="5" t="s">
        <v>359</v>
      </c>
      <c r="B813" s="2">
        <v>2606.7199999999998</v>
      </c>
    </row>
    <row r="814" spans="1:2" x14ac:dyDescent="0.3">
      <c r="A814" s="5" t="s">
        <v>1899</v>
      </c>
      <c r="B814" s="2">
        <v>4804.3999999999996</v>
      </c>
    </row>
    <row r="815" spans="1:2" x14ac:dyDescent="0.3">
      <c r="A815" s="5" t="s">
        <v>1541</v>
      </c>
      <c r="B815" s="2">
        <v>1379.56</v>
      </c>
    </row>
    <row r="816" spans="1:2" x14ac:dyDescent="0.3">
      <c r="A816" s="5" t="s">
        <v>2991</v>
      </c>
      <c r="B816" s="2">
        <v>2777.2</v>
      </c>
    </row>
    <row r="817" spans="1:2" x14ac:dyDescent="0.3">
      <c r="A817" s="5" t="s">
        <v>2487</v>
      </c>
      <c r="B817" s="2">
        <v>1779.18</v>
      </c>
    </row>
    <row r="818" spans="1:2" x14ac:dyDescent="0.3">
      <c r="A818" s="5" t="s">
        <v>1519</v>
      </c>
      <c r="B818" s="2">
        <v>705.3</v>
      </c>
    </row>
    <row r="819" spans="1:2" x14ac:dyDescent="0.3">
      <c r="A819" s="5" t="s">
        <v>2375</v>
      </c>
      <c r="B819" s="2">
        <v>1332.81</v>
      </c>
    </row>
    <row r="820" spans="1:2" x14ac:dyDescent="0.3">
      <c r="A820" s="5" t="s">
        <v>2329</v>
      </c>
      <c r="B820" s="2">
        <v>4575.4799999999996</v>
      </c>
    </row>
    <row r="821" spans="1:2" x14ac:dyDescent="0.3">
      <c r="A821" s="5" t="s">
        <v>1861</v>
      </c>
      <c r="B821" s="2">
        <v>3594.57</v>
      </c>
    </row>
    <row r="822" spans="1:2" x14ac:dyDescent="0.3">
      <c r="A822" s="5" t="s">
        <v>2853</v>
      </c>
      <c r="B822" s="2">
        <v>585.36</v>
      </c>
    </row>
    <row r="823" spans="1:2" x14ac:dyDescent="0.3">
      <c r="A823" s="5" t="s">
        <v>619</v>
      </c>
      <c r="B823" s="2">
        <v>2772</v>
      </c>
    </row>
    <row r="824" spans="1:2" x14ac:dyDescent="0.3">
      <c r="A824" s="5" t="s">
        <v>2631</v>
      </c>
      <c r="B824" s="2">
        <v>471.12</v>
      </c>
    </row>
    <row r="825" spans="1:2" x14ac:dyDescent="0.3">
      <c r="A825" s="5" t="s">
        <v>159</v>
      </c>
      <c r="B825" s="2">
        <v>724.47</v>
      </c>
    </row>
    <row r="826" spans="1:2" x14ac:dyDescent="0.3">
      <c r="A826" s="5" t="s">
        <v>2955</v>
      </c>
      <c r="B826" s="2">
        <v>267.7</v>
      </c>
    </row>
    <row r="827" spans="1:2" x14ac:dyDescent="0.3">
      <c r="A827" s="5" t="s">
        <v>1065</v>
      </c>
      <c r="B827" s="2">
        <v>1358.06</v>
      </c>
    </row>
    <row r="828" spans="1:2" x14ac:dyDescent="0.3">
      <c r="A828" s="5" t="s">
        <v>995</v>
      </c>
      <c r="B828" s="2">
        <v>211.3</v>
      </c>
    </row>
    <row r="829" spans="1:2" x14ac:dyDescent="0.3">
      <c r="A829" s="5" t="s">
        <v>997</v>
      </c>
      <c r="B829" s="2">
        <v>1034</v>
      </c>
    </row>
    <row r="830" spans="1:2" x14ac:dyDescent="0.3">
      <c r="A830" s="5" t="s">
        <v>2469</v>
      </c>
      <c r="B830" s="2">
        <v>5017.88</v>
      </c>
    </row>
    <row r="831" spans="1:2" x14ac:dyDescent="0.3">
      <c r="A831" s="5" t="s">
        <v>3255</v>
      </c>
      <c r="B831" s="2">
        <v>3680.95</v>
      </c>
    </row>
    <row r="832" spans="1:2" x14ac:dyDescent="0.3">
      <c r="A832" s="5" t="s">
        <v>1865</v>
      </c>
      <c r="B832" s="2">
        <v>2683.52</v>
      </c>
    </row>
    <row r="833" spans="1:2" x14ac:dyDescent="0.3">
      <c r="A833" s="5" t="s">
        <v>1869</v>
      </c>
      <c r="B833" s="2">
        <v>1949.9</v>
      </c>
    </row>
    <row r="834" spans="1:2" x14ac:dyDescent="0.3">
      <c r="A834" s="5" t="s">
        <v>1619</v>
      </c>
      <c r="B834" s="2">
        <v>673.28</v>
      </c>
    </row>
    <row r="835" spans="1:2" x14ac:dyDescent="0.3">
      <c r="A835" s="5" t="s">
        <v>755</v>
      </c>
      <c r="B835" s="2">
        <v>1219.26</v>
      </c>
    </row>
    <row r="836" spans="1:2" x14ac:dyDescent="0.3">
      <c r="A836" s="5" t="s">
        <v>281</v>
      </c>
      <c r="B836" s="2">
        <v>855.12</v>
      </c>
    </row>
    <row r="837" spans="1:2" x14ac:dyDescent="0.3">
      <c r="A837" s="5" t="s">
        <v>2395</v>
      </c>
      <c r="B837" s="2">
        <v>563.53</v>
      </c>
    </row>
    <row r="838" spans="1:2" x14ac:dyDescent="0.3">
      <c r="A838" s="5" t="s">
        <v>293</v>
      </c>
      <c r="B838" s="2">
        <v>3265.05</v>
      </c>
    </row>
    <row r="839" spans="1:2" x14ac:dyDescent="0.3">
      <c r="A839" s="5" t="s">
        <v>899</v>
      </c>
      <c r="B839" s="2">
        <v>1951.44</v>
      </c>
    </row>
    <row r="840" spans="1:2" x14ac:dyDescent="0.3">
      <c r="A840" s="5" t="s">
        <v>3099</v>
      </c>
      <c r="B840" s="2">
        <v>2873.96</v>
      </c>
    </row>
    <row r="841" spans="1:2" x14ac:dyDescent="0.3">
      <c r="A841" s="5" t="s">
        <v>2557</v>
      </c>
      <c r="B841" s="2">
        <v>1939.95</v>
      </c>
    </row>
    <row r="842" spans="1:2" x14ac:dyDescent="0.3">
      <c r="A842" s="5" t="s">
        <v>1511</v>
      </c>
      <c r="B842" s="2">
        <v>1180.8</v>
      </c>
    </row>
    <row r="843" spans="1:2" x14ac:dyDescent="0.3">
      <c r="A843" s="5" t="s">
        <v>721</v>
      </c>
      <c r="B843" s="2">
        <v>4607.34</v>
      </c>
    </row>
    <row r="844" spans="1:2" x14ac:dyDescent="0.3">
      <c r="A844" s="5" t="s">
        <v>2241</v>
      </c>
      <c r="B844" s="2">
        <v>1542.26</v>
      </c>
    </row>
    <row r="845" spans="1:2" x14ac:dyDescent="0.3">
      <c r="A845" s="5" t="s">
        <v>339</v>
      </c>
      <c r="B845" s="2">
        <v>5497.03</v>
      </c>
    </row>
    <row r="846" spans="1:2" x14ac:dyDescent="0.3">
      <c r="A846" s="5" t="s">
        <v>2847</v>
      </c>
      <c r="B846" s="2">
        <v>1085.8</v>
      </c>
    </row>
    <row r="847" spans="1:2" x14ac:dyDescent="0.3">
      <c r="A847" s="5" t="s">
        <v>2483</v>
      </c>
      <c r="B847" s="2">
        <v>634.04999999999995</v>
      </c>
    </row>
    <row r="848" spans="1:2" x14ac:dyDescent="0.3">
      <c r="A848" s="5" t="s">
        <v>419</v>
      </c>
      <c r="B848" s="2">
        <v>1663.52</v>
      </c>
    </row>
    <row r="849" spans="1:2" x14ac:dyDescent="0.3">
      <c r="A849" s="5" t="s">
        <v>773</v>
      </c>
      <c r="B849" s="2">
        <v>1349.79</v>
      </c>
    </row>
    <row r="850" spans="1:2" x14ac:dyDescent="0.3">
      <c r="A850" s="5" t="s">
        <v>3177</v>
      </c>
      <c r="B850" s="2">
        <v>308.02</v>
      </c>
    </row>
    <row r="851" spans="1:2" x14ac:dyDescent="0.3">
      <c r="A851" s="5" t="s">
        <v>427</v>
      </c>
      <c r="B851" s="2">
        <v>359.68</v>
      </c>
    </row>
    <row r="852" spans="1:2" x14ac:dyDescent="0.3">
      <c r="A852" s="5" t="s">
        <v>249</v>
      </c>
      <c r="B852" s="2">
        <v>661.06</v>
      </c>
    </row>
    <row r="853" spans="1:2" x14ac:dyDescent="0.3">
      <c r="A853" s="5" t="s">
        <v>857</v>
      </c>
      <c r="B853" s="2">
        <v>4782.82</v>
      </c>
    </row>
    <row r="854" spans="1:2" x14ac:dyDescent="0.3">
      <c r="A854" s="5" t="s">
        <v>3203</v>
      </c>
      <c r="B854" s="2">
        <v>5139.12</v>
      </c>
    </row>
    <row r="855" spans="1:2" x14ac:dyDescent="0.3">
      <c r="A855" s="5" t="s">
        <v>667</v>
      </c>
      <c r="B855" s="2">
        <v>3591.54</v>
      </c>
    </row>
    <row r="856" spans="1:2" x14ac:dyDescent="0.3">
      <c r="A856" s="5" t="s">
        <v>2691</v>
      </c>
      <c r="B856" s="2">
        <v>1834.8</v>
      </c>
    </row>
    <row r="857" spans="1:2" x14ac:dyDescent="0.3">
      <c r="A857" s="5" t="s">
        <v>1659</v>
      </c>
      <c r="B857" s="2">
        <v>5220.88</v>
      </c>
    </row>
    <row r="858" spans="1:2" x14ac:dyDescent="0.3">
      <c r="A858" s="5" t="s">
        <v>1437</v>
      </c>
      <c r="B858" s="2">
        <v>934.3</v>
      </c>
    </row>
    <row r="859" spans="1:2" x14ac:dyDescent="0.3">
      <c r="A859" s="5" t="s">
        <v>815</v>
      </c>
      <c r="B859" s="2">
        <v>745.08</v>
      </c>
    </row>
    <row r="860" spans="1:2" x14ac:dyDescent="0.3">
      <c r="A860" s="5" t="s">
        <v>307</v>
      </c>
      <c r="B860" s="2">
        <v>3178.4</v>
      </c>
    </row>
    <row r="861" spans="1:2" x14ac:dyDescent="0.3">
      <c r="A861" s="5" t="s">
        <v>853</v>
      </c>
      <c r="B861" s="2">
        <v>2594.6999999999998</v>
      </c>
    </row>
    <row r="862" spans="1:2" x14ac:dyDescent="0.3">
      <c r="A862" s="5" t="s">
        <v>2115</v>
      </c>
      <c r="B862" s="2">
        <v>308.3</v>
      </c>
    </row>
    <row r="863" spans="1:2" x14ac:dyDescent="0.3">
      <c r="A863" s="5" t="s">
        <v>2439</v>
      </c>
      <c r="B863" s="2">
        <v>4418.82</v>
      </c>
    </row>
    <row r="864" spans="1:2" x14ac:dyDescent="0.3">
      <c r="A864" s="5" t="s">
        <v>2135</v>
      </c>
      <c r="B864" s="2">
        <v>3603.55</v>
      </c>
    </row>
    <row r="865" spans="1:2" x14ac:dyDescent="0.3">
      <c r="A865" s="5" t="s">
        <v>2297</v>
      </c>
      <c r="B865" s="2">
        <v>5233.2</v>
      </c>
    </row>
    <row r="866" spans="1:2" x14ac:dyDescent="0.3">
      <c r="A866" s="5" t="s">
        <v>2725</v>
      </c>
      <c r="B866" s="2">
        <v>711.94</v>
      </c>
    </row>
    <row r="867" spans="1:2" x14ac:dyDescent="0.3">
      <c r="A867" s="5" t="s">
        <v>1823</v>
      </c>
      <c r="B867" s="2">
        <v>2424.88</v>
      </c>
    </row>
    <row r="868" spans="1:2" x14ac:dyDescent="0.3">
      <c r="A868" s="5" t="s">
        <v>2535</v>
      </c>
      <c r="B868" s="2">
        <v>583.89</v>
      </c>
    </row>
    <row r="869" spans="1:2" x14ac:dyDescent="0.3">
      <c r="A869" s="5" t="s">
        <v>1091</v>
      </c>
      <c r="B869" s="2">
        <v>698.8</v>
      </c>
    </row>
    <row r="870" spans="1:2" x14ac:dyDescent="0.3">
      <c r="A870" s="5" t="s">
        <v>1263</v>
      </c>
      <c r="B870" s="2">
        <v>556.4</v>
      </c>
    </row>
    <row r="871" spans="1:2" x14ac:dyDescent="0.3">
      <c r="A871" s="5" t="s">
        <v>1373</v>
      </c>
      <c r="B871" s="2">
        <v>1579.1</v>
      </c>
    </row>
    <row r="872" spans="1:2" x14ac:dyDescent="0.3">
      <c r="A872" s="5" t="s">
        <v>3271</v>
      </c>
      <c r="B872" s="2">
        <v>635.85</v>
      </c>
    </row>
    <row r="873" spans="1:2" x14ac:dyDescent="0.3">
      <c r="A873" s="5" t="s">
        <v>1493</v>
      </c>
      <c r="B873" s="2">
        <v>3177.28</v>
      </c>
    </row>
    <row r="874" spans="1:2" x14ac:dyDescent="0.3">
      <c r="A874" s="5" t="s">
        <v>837</v>
      </c>
      <c r="B874" s="2">
        <v>1517.5</v>
      </c>
    </row>
    <row r="875" spans="1:2" x14ac:dyDescent="0.3">
      <c r="A875" s="5" t="s">
        <v>1039</v>
      </c>
      <c r="B875" s="2">
        <v>458.66</v>
      </c>
    </row>
    <row r="876" spans="1:2" x14ac:dyDescent="0.3">
      <c r="A876" s="5" t="s">
        <v>1453</v>
      </c>
      <c r="B876" s="2">
        <v>1218.21</v>
      </c>
    </row>
    <row r="877" spans="1:2" x14ac:dyDescent="0.3">
      <c r="A877" s="5" t="s">
        <v>1351</v>
      </c>
      <c r="B877" s="2">
        <v>64.81</v>
      </c>
    </row>
    <row r="878" spans="1:2" x14ac:dyDescent="0.3">
      <c r="A878" s="5" t="s">
        <v>1297</v>
      </c>
      <c r="B878" s="2">
        <v>3455.85</v>
      </c>
    </row>
    <row r="879" spans="1:2" x14ac:dyDescent="0.3">
      <c r="A879" s="5" t="s">
        <v>297</v>
      </c>
      <c r="B879" s="2">
        <v>961.95</v>
      </c>
    </row>
    <row r="880" spans="1:2" x14ac:dyDescent="0.3">
      <c r="A880" s="5" t="s">
        <v>2005</v>
      </c>
      <c r="B880" s="2">
        <v>585.20000000000005</v>
      </c>
    </row>
    <row r="881" spans="1:2" x14ac:dyDescent="0.3">
      <c r="A881" s="5" t="s">
        <v>1399</v>
      </c>
      <c r="B881" s="2">
        <v>3895.36</v>
      </c>
    </row>
    <row r="882" spans="1:2" x14ac:dyDescent="0.3">
      <c r="A882" s="5" t="s">
        <v>1597</v>
      </c>
      <c r="B882" s="2">
        <v>1889.4</v>
      </c>
    </row>
    <row r="883" spans="1:2" x14ac:dyDescent="0.3">
      <c r="A883" s="5" t="s">
        <v>3019</v>
      </c>
      <c r="B883" s="2">
        <v>4594.5</v>
      </c>
    </row>
    <row r="884" spans="1:2" x14ac:dyDescent="0.3">
      <c r="A884" s="5" t="s">
        <v>2189</v>
      </c>
      <c r="B884" s="2">
        <v>1310.6400000000001</v>
      </c>
    </row>
    <row r="885" spans="1:2" x14ac:dyDescent="0.3">
      <c r="A885" s="5" t="s">
        <v>2971</v>
      </c>
      <c r="B885" s="2">
        <v>3411.7</v>
      </c>
    </row>
    <row r="886" spans="1:2" x14ac:dyDescent="0.3">
      <c r="A886" s="5" t="s">
        <v>1855</v>
      </c>
      <c r="B886" s="2">
        <v>234.79</v>
      </c>
    </row>
    <row r="887" spans="1:2" x14ac:dyDescent="0.3">
      <c r="A887" s="5" t="s">
        <v>951</v>
      </c>
      <c r="B887" s="2">
        <v>1142.3599999999999</v>
      </c>
    </row>
    <row r="888" spans="1:2" x14ac:dyDescent="0.3">
      <c r="A888" s="5" t="s">
        <v>2571</v>
      </c>
      <c r="B888" s="2">
        <v>220.45</v>
      </c>
    </row>
    <row r="889" spans="1:2" x14ac:dyDescent="0.3">
      <c r="A889" s="5" t="s">
        <v>127</v>
      </c>
      <c r="B889" s="2">
        <v>886.02</v>
      </c>
    </row>
    <row r="890" spans="1:2" x14ac:dyDescent="0.3">
      <c r="A890" s="5" t="s">
        <v>451</v>
      </c>
      <c r="B890" s="2">
        <v>1284.27</v>
      </c>
    </row>
    <row r="891" spans="1:2" x14ac:dyDescent="0.3">
      <c r="A891" s="5" t="s">
        <v>3057</v>
      </c>
      <c r="B891" s="2">
        <v>3643.38</v>
      </c>
    </row>
    <row r="892" spans="1:2" x14ac:dyDescent="0.3">
      <c r="A892" s="5" t="s">
        <v>2547</v>
      </c>
      <c r="B892" s="2">
        <v>1496.76</v>
      </c>
    </row>
    <row r="893" spans="1:2" x14ac:dyDescent="0.3">
      <c r="A893" s="5" t="s">
        <v>2983</v>
      </c>
      <c r="B893" s="2">
        <v>1556</v>
      </c>
    </row>
    <row r="894" spans="1:2" x14ac:dyDescent="0.3">
      <c r="A894" s="5" t="s">
        <v>617</v>
      </c>
      <c r="B894" s="2">
        <v>2383.52</v>
      </c>
    </row>
    <row r="895" spans="1:2" x14ac:dyDescent="0.3">
      <c r="A895" s="5" t="s">
        <v>1647</v>
      </c>
      <c r="B895" s="2">
        <v>6144.72</v>
      </c>
    </row>
    <row r="896" spans="1:2" x14ac:dyDescent="0.3">
      <c r="A896" s="5" t="s">
        <v>2857</v>
      </c>
      <c r="B896" s="2">
        <v>3243.8</v>
      </c>
    </row>
    <row r="897" spans="1:2" x14ac:dyDescent="0.3">
      <c r="A897" s="5" t="s">
        <v>1375</v>
      </c>
      <c r="B897" s="2">
        <v>5238.1000000000004</v>
      </c>
    </row>
    <row r="898" spans="1:2" x14ac:dyDescent="0.3">
      <c r="A898" s="5" t="s">
        <v>28</v>
      </c>
      <c r="B898" s="2">
        <v>1808.24</v>
      </c>
    </row>
    <row r="899" spans="1:2" x14ac:dyDescent="0.3">
      <c r="A899" s="5" t="s">
        <v>1893</v>
      </c>
      <c r="B899" s="2">
        <v>5368.93</v>
      </c>
    </row>
    <row r="900" spans="1:2" x14ac:dyDescent="0.3">
      <c r="A900" s="5" t="s">
        <v>2695</v>
      </c>
      <c r="B900" s="2">
        <v>2185.4699999999998</v>
      </c>
    </row>
    <row r="901" spans="1:2" x14ac:dyDescent="0.3">
      <c r="A901" s="5" t="s">
        <v>2573</v>
      </c>
      <c r="B901" s="2">
        <v>309.24</v>
      </c>
    </row>
    <row r="902" spans="1:2" x14ac:dyDescent="0.3">
      <c r="A902" s="5" t="s">
        <v>1527</v>
      </c>
      <c r="B902" s="2">
        <v>3995.64</v>
      </c>
    </row>
    <row r="903" spans="1:2" x14ac:dyDescent="0.3">
      <c r="A903" s="5" t="s">
        <v>2249</v>
      </c>
      <c r="B903" s="2">
        <v>4899.37</v>
      </c>
    </row>
    <row r="904" spans="1:2" x14ac:dyDescent="0.3">
      <c r="A904" s="5" t="s">
        <v>2635</v>
      </c>
      <c r="B904" s="2">
        <v>950.34</v>
      </c>
    </row>
    <row r="905" spans="1:2" x14ac:dyDescent="0.3">
      <c r="A905" s="5" t="s">
        <v>303</v>
      </c>
      <c r="B905" s="2">
        <v>1154.8</v>
      </c>
    </row>
    <row r="906" spans="1:2" x14ac:dyDescent="0.3">
      <c r="A906" s="5" t="s">
        <v>1231</v>
      </c>
      <c r="B906" s="2">
        <v>287.2</v>
      </c>
    </row>
    <row r="907" spans="1:2" x14ac:dyDescent="0.3">
      <c r="A907" s="5" t="s">
        <v>117</v>
      </c>
      <c r="B907" s="2">
        <v>1315.6</v>
      </c>
    </row>
    <row r="908" spans="1:2" x14ac:dyDescent="0.3">
      <c r="A908" s="5" t="s">
        <v>173</v>
      </c>
      <c r="B908" s="2">
        <v>1537.08</v>
      </c>
    </row>
    <row r="909" spans="1:2" x14ac:dyDescent="0.3">
      <c r="A909" s="5" t="s">
        <v>3297</v>
      </c>
      <c r="B909" s="2">
        <v>4742.6400000000003</v>
      </c>
    </row>
    <row r="910" spans="1:2" x14ac:dyDescent="0.3">
      <c r="A910" s="5" t="s">
        <v>93</v>
      </c>
      <c r="B910" s="2">
        <v>45.88</v>
      </c>
    </row>
    <row r="911" spans="1:2" x14ac:dyDescent="0.3">
      <c r="A911" s="5" t="s">
        <v>1575</v>
      </c>
      <c r="B911" s="2">
        <v>6852.3600000000006</v>
      </c>
    </row>
    <row r="912" spans="1:2" x14ac:dyDescent="0.3">
      <c r="A912" s="5" t="s">
        <v>607</v>
      </c>
      <c r="B912" s="2">
        <v>811.88</v>
      </c>
    </row>
    <row r="913" spans="1:2" x14ac:dyDescent="0.3">
      <c r="A913" s="5" t="s">
        <v>363</v>
      </c>
      <c r="B913" s="2">
        <v>3993.72</v>
      </c>
    </row>
    <row r="914" spans="1:2" x14ac:dyDescent="0.3">
      <c r="A914" s="5" t="s">
        <v>3103</v>
      </c>
      <c r="B914" s="2">
        <v>73.349999999999994</v>
      </c>
    </row>
    <row r="915" spans="1:2" x14ac:dyDescent="0.3">
      <c r="A915" s="5" t="s">
        <v>1273</v>
      </c>
      <c r="B915" s="2">
        <v>3028.92</v>
      </c>
    </row>
    <row r="916" spans="1:2" x14ac:dyDescent="0.3">
      <c r="A916" s="5" t="s">
        <v>437</v>
      </c>
      <c r="B916" s="2">
        <v>2364.88</v>
      </c>
    </row>
    <row r="917" spans="1:2" x14ac:dyDescent="0.3">
      <c r="A917" s="5" t="s">
        <v>513</v>
      </c>
      <c r="B917" s="2">
        <v>439.34</v>
      </c>
    </row>
    <row r="918" spans="1:2" x14ac:dyDescent="0.3">
      <c r="A918" s="5" t="s">
        <v>1657</v>
      </c>
      <c r="B918" s="2">
        <v>420.78</v>
      </c>
    </row>
    <row r="919" spans="1:2" x14ac:dyDescent="0.3">
      <c r="A919" s="5" t="s">
        <v>3223</v>
      </c>
      <c r="B919" s="2">
        <v>155.58000000000001</v>
      </c>
    </row>
    <row r="920" spans="1:2" x14ac:dyDescent="0.3">
      <c r="A920" s="5" t="s">
        <v>811</v>
      </c>
      <c r="B920" s="2">
        <v>3368.75</v>
      </c>
    </row>
    <row r="921" spans="1:2" x14ac:dyDescent="0.3">
      <c r="A921" s="5" t="s">
        <v>1599</v>
      </c>
      <c r="B921" s="2">
        <v>438.65</v>
      </c>
    </row>
    <row r="922" spans="1:2" x14ac:dyDescent="0.3">
      <c r="A922" s="5" t="s">
        <v>1523</v>
      </c>
      <c r="B922" s="2">
        <v>702.52</v>
      </c>
    </row>
    <row r="923" spans="1:2" x14ac:dyDescent="0.3">
      <c r="A923" s="5" t="s">
        <v>1463</v>
      </c>
      <c r="B923" s="2">
        <v>827.28</v>
      </c>
    </row>
    <row r="924" spans="1:2" x14ac:dyDescent="0.3">
      <c r="A924" s="5" t="s">
        <v>681</v>
      </c>
      <c r="B924" s="2">
        <v>2803.64</v>
      </c>
    </row>
    <row r="925" spans="1:2" x14ac:dyDescent="0.3">
      <c r="A925" s="5" t="s">
        <v>3053</v>
      </c>
      <c r="B925" s="2">
        <v>2846.76</v>
      </c>
    </row>
    <row r="926" spans="1:2" x14ac:dyDescent="0.3">
      <c r="A926" s="5" t="s">
        <v>1811</v>
      </c>
      <c r="B926" s="2">
        <v>2350.9499999999998</v>
      </c>
    </row>
    <row r="927" spans="1:2" x14ac:dyDescent="0.3">
      <c r="A927" s="5" t="s">
        <v>1289</v>
      </c>
      <c r="B927" s="2">
        <v>1636.4</v>
      </c>
    </row>
    <row r="928" spans="1:2" x14ac:dyDescent="0.3">
      <c r="A928" s="5" t="s">
        <v>1245</v>
      </c>
      <c r="B928" s="2">
        <v>1242.33</v>
      </c>
    </row>
    <row r="929" spans="1:2" x14ac:dyDescent="0.3">
      <c r="A929" s="5" t="s">
        <v>1149</v>
      </c>
      <c r="B929" s="2">
        <v>5236.1400000000003</v>
      </c>
    </row>
    <row r="930" spans="1:2" x14ac:dyDescent="0.3">
      <c r="A930" s="5" t="s">
        <v>967</v>
      </c>
      <c r="B930" s="2">
        <v>2833.8</v>
      </c>
    </row>
    <row r="931" spans="1:2" x14ac:dyDescent="0.3">
      <c r="A931" s="5" t="s">
        <v>2553</v>
      </c>
      <c r="B931" s="2">
        <v>3219.36</v>
      </c>
    </row>
    <row r="932" spans="1:2" x14ac:dyDescent="0.3">
      <c r="A932" s="5" t="s">
        <v>165</v>
      </c>
      <c r="B932" s="2">
        <v>2573.34</v>
      </c>
    </row>
    <row r="933" spans="1:2" x14ac:dyDescent="0.3">
      <c r="A933" s="5" t="s">
        <v>813</v>
      </c>
      <c r="B933" s="2">
        <v>82.89</v>
      </c>
    </row>
    <row r="934" spans="1:2" x14ac:dyDescent="0.3">
      <c r="A934" s="5" t="s">
        <v>1307</v>
      </c>
      <c r="B934" s="2">
        <v>1772.04</v>
      </c>
    </row>
    <row r="935" spans="1:2" x14ac:dyDescent="0.3">
      <c r="A935" s="5" t="s">
        <v>1989</v>
      </c>
      <c r="B935" s="2">
        <v>3696.7</v>
      </c>
    </row>
    <row r="936" spans="1:2" x14ac:dyDescent="0.3">
      <c r="A936" s="5" t="s">
        <v>3237</v>
      </c>
      <c r="B936" s="2">
        <v>1544.28</v>
      </c>
    </row>
    <row r="937" spans="1:2" x14ac:dyDescent="0.3">
      <c r="A937" s="5" t="s">
        <v>273</v>
      </c>
      <c r="B937" s="2">
        <v>2280.48</v>
      </c>
    </row>
    <row r="938" spans="1:2" x14ac:dyDescent="0.3">
      <c r="A938" s="5" t="s">
        <v>1957</v>
      </c>
      <c r="B938" s="2">
        <v>781.99</v>
      </c>
    </row>
    <row r="939" spans="1:2" x14ac:dyDescent="0.3">
      <c r="A939" s="5" t="s">
        <v>673</v>
      </c>
      <c r="B939" s="2">
        <v>2469.7199999999998</v>
      </c>
    </row>
    <row r="940" spans="1:2" x14ac:dyDescent="0.3">
      <c r="A940" s="5" t="s">
        <v>2711</v>
      </c>
      <c r="B940" s="2">
        <v>277.32</v>
      </c>
    </row>
    <row r="941" spans="1:2" x14ac:dyDescent="0.3">
      <c r="A941" s="5" t="s">
        <v>1983</v>
      </c>
      <c r="B941" s="2">
        <v>365.94</v>
      </c>
    </row>
    <row r="942" spans="1:2" x14ac:dyDescent="0.3">
      <c r="A942" s="5" t="s">
        <v>2323</v>
      </c>
      <c r="B942" s="2">
        <v>4441.4399999999996</v>
      </c>
    </row>
    <row r="943" spans="1:2" x14ac:dyDescent="0.3">
      <c r="A943" s="5" t="s">
        <v>573</v>
      </c>
      <c r="B943" s="2">
        <v>660</v>
      </c>
    </row>
    <row r="944" spans="1:2" x14ac:dyDescent="0.3">
      <c r="A944" s="5" t="s">
        <v>2789</v>
      </c>
      <c r="B944" s="2">
        <v>1036.56</v>
      </c>
    </row>
    <row r="945" spans="1:2" x14ac:dyDescent="0.3">
      <c r="A945" s="5" t="s">
        <v>2381</v>
      </c>
      <c r="B945" s="2">
        <v>1239.44</v>
      </c>
    </row>
    <row r="946" spans="1:2" x14ac:dyDescent="0.3">
      <c r="A946" s="5" t="s">
        <v>1497</v>
      </c>
      <c r="B946" s="2">
        <v>1879.65</v>
      </c>
    </row>
    <row r="947" spans="1:2" x14ac:dyDescent="0.3">
      <c r="A947" s="5" t="s">
        <v>1529</v>
      </c>
      <c r="B947" s="2">
        <v>56.84</v>
      </c>
    </row>
    <row r="948" spans="1:2" x14ac:dyDescent="0.3">
      <c r="A948" s="5" t="s">
        <v>1839</v>
      </c>
      <c r="B948" s="2">
        <v>190.29</v>
      </c>
    </row>
    <row r="949" spans="1:2" x14ac:dyDescent="0.3">
      <c r="A949" s="5" t="s">
        <v>2941</v>
      </c>
      <c r="B949" s="2">
        <v>2225.6999999999998</v>
      </c>
    </row>
    <row r="950" spans="1:2" x14ac:dyDescent="0.3">
      <c r="A950" s="5" t="s">
        <v>1569</v>
      </c>
      <c r="B950" s="2">
        <v>191.82</v>
      </c>
    </row>
    <row r="951" spans="1:2" x14ac:dyDescent="0.3">
      <c r="A951" s="5" t="s">
        <v>1641</v>
      </c>
      <c r="B951" s="2">
        <v>139.83000000000001</v>
      </c>
    </row>
    <row r="952" spans="1:2" x14ac:dyDescent="0.3">
      <c r="A952" s="5" t="s">
        <v>2183</v>
      </c>
      <c r="B952" s="2">
        <v>1638.91</v>
      </c>
    </row>
    <row r="953" spans="1:2" x14ac:dyDescent="0.3">
      <c r="A953" s="5" t="s">
        <v>1825</v>
      </c>
      <c r="B953" s="2">
        <v>1327.36</v>
      </c>
    </row>
    <row r="954" spans="1:2" x14ac:dyDescent="0.3">
      <c r="A954" s="5" t="s">
        <v>2969</v>
      </c>
      <c r="B954" s="2">
        <v>2795.08</v>
      </c>
    </row>
    <row r="955" spans="1:2" x14ac:dyDescent="0.3">
      <c r="A955" s="5" t="s">
        <v>727</v>
      </c>
      <c r="B955" s="2">
        <v>2782.28</v>
      </c>
    </row>
    <row r="956" spans="1:2" x14ac:dyDescent="0.3">
      <c r="A956" s="5" t="s">
        <v>1795</v>
      </c>
      <c r="B956" s="2">
        <v>1997.45</v>
      </c>
    </row>
    <row r="957" spans="1:2" x14ac:dyDescent="0.3">
      <c r="A957" s="5" t="s">
        <v>319</v>
      </c>
      <c r="B957" s="2">
        <v>1091.22</v>
      </c>
    </row>
    <row r="958" spans="1:2" x14ac:dyDescent="0.3">
      <c r="A958" s="5" t="s">
        <v>2993</v>
      </c>
      <c r="B958" s="2">
        <v>1349.32</v>
      </c>
    </row>
    <row r="959" spans="1:2" x14ac:dyDescent="0.3">
      <c r="A959" s="5" t="s">
        <v>1147</v>
      </c>
      <c r="B959" s="2">
        <v>238.08</v>
      </c>
    </row>
    <row r="960" spans="1:2" x14ac:dyDescent="0.3">
      <c r="A960" s="5" t="s">
        <v>547</v>
      </c>
      <c r="B960" s="2">
        <v>446.08</v>
      </c>
    </row>
    <row r="961" spans="1:2" x14ac:dyDescent="0.3">
      <c r="A961" s="5" t="s">
        <v>2879</v>
      </c>
      <c r="B961" s="2">
        <v>480.06</v>
      </c>
    </row>
    <row r="962" spans="1:2" x14ac:dyDescent="0.3">
      <c r="A962" s="5" t="s">
        <v>1029</v>
      </c>
      <c r="B962" s="2">
        <v>47.66</v>
      </c>
    </row>
    <row r="963" spans="1:2" x14ac:dyDescent="0.3">
      <c r="A963" s="5" t="s">
        <v>2607</v>
      </c>
      <c r="B963" s="2">
        <v>1619.4</v>
      </c>
    </row>
    <row r="964" spans="1:2" x14ac:dyDescent="0.3">
      <c r="A964" s="5" t="s">
        <v>2871</v>
      </c>
      <c r="B964" s="2">
        <v>426.3</v>
      </c>
    </row>
    <row r="965" spans="1:2" x14ac:dyDescent="0.3">
      <c r="A965" s="5" t="s">
        <v>601</v>
      </c>
      <c r="B965" s="2">
        <v>826.68</v>
      </c>
    </row>
    <row r="966" spans="1:2" x14ac:dyDescent="0.3">
      <c r="A966" s="5" t="s">
        <v>2445</v>
      </c>
      <c r="B966" s="2">
        <v>2004.9</v>
      </c>
    </row>
    <row r="967" spans="1:2" x14ac:dyDescent="0.3">
      <c r="A967" s="5" t="s">
        <v>2781</v>
      </c>
      <c r="B967" s="2">
        <v>42.76</v>
      </c>
    </row>
    <row r="968" spans="1:2" x14ac:dyDescent="0.3">
      <c r="A968" s="5" t="s">
        <v>1849</v>
      </c>
      <c r="B968" s="2">
        <v>1111.3</v>
      </c>
    </row>
    <row r="969" spans="1:2" x14ac:dyDescent="0.3">
      <c r="A969" s="5" t="s">
        <v>2455</v>
      </c>
      <c r="B969" s="2">
        <v>543.08000000000004</v>
      </c>
    </row>
    <row r="970" spans="1:2" x14ac:dyDescent="0.3">
      <c r="A970" s="5" t="s">
        <v>2603</v>
      </c>
      <c r="B970" s="2">
        <v>959.76</v>
      </c>
    </row>
    <row r="971" spans="1:2" x14ac:dyDescent="0.3">
      <c r="A971" s="5" t="s">
        <v>83</v>
      </c>
      <c r="B971" s="2">
        <v>1512.9</v>
      </c>
    </row>
    <row r="972" spans="1:2" x14ac:dyDescent="0.3">
      <c r="A972" s="5" t="s">
        <v>943</v>
      </c>
      <c r="B972" s="2">
        <v>1591.65</v>
      </c>
    </row>
    <row r="973" spans="1:2" x14ac:dyDescent="0.3">
      <c r="A973" s="5" t="s">
        <v>2447</v>
      </c>
      <c r="B973" s="2">
        <v>435.39</v>
      </c>
    </row>
    <row r="974" spans="1:2" x14ac:dyDescent="0.3">
      <c r="A974" s="5" t="s">
        <v>539</v>
      </c>
      <c r="B974" s="2">
        <v>4659.78</v>
      </c>
    </row>
    <row r="975" spans="1:2" x14ac:dyDescent="0.3">
      <c r="A975" s="5" t="s">
        <v>1587</v>
      </c>
      <c r="B975" s="2">
        <v>89.17</v>
      </c>
    </row>
    <row r="976" spans="1:2" x14ac:dyDescent="0.3">
      <c r="A976" s="5" t="s">
        <v>875</v>
      </c>
      <c r="B976" s="2">
        <v>1248.6600000000001</v>
      </c>
    </row>
    <row r="977" spans="1:2" x14ac:dyDescent="0.3">
      <c r="A977" s="5" t="s">
        <v>953</v>
      </c>
      <c r="B977" s="2">
        <v>1606.65</v>
      </c>
    </row>
    <row r="978" spans="1:2" x14ac:dyDescent="0.3">
      <c r="A978" s="5" t="s">
        <v>1747</v>
      </c>
      <c r="B978" s="2">
        <v>2715.24</v>
      </c>
    </row>
    <row r="979" spans="1:2" x14ac:dyDescent="0.3">
      <c r="A979" s="5" t="s">
        <v>2687</v>
      </c>
      <c r="B979" s="2">
        <v>5540.08</v>
      </c>
    </row>
    <row r="980" spans="1:2" x14ac:dyDescent="0.3">
      <c r="A980" s="5" t="s">
        <v>2299</v>
      </c>
      <c r="B980" s="2">
        <v>292.60000000000002</v>
      </c>
    </row>
    <row r="981" spans="1:2" x14ac:dyDescent="0.3">
      <c r="A981" s="5" t="s">
        <v>481</v>
      </c>
      <c r="B981" s="2">
        <v>234.44</v>
      </c>
    </row>
    <row r="982" spans="1:2" x14ac:dyDescent="0.3">
      <c r="A982" s="5" t="s">
        <v>2065</v>
      </c>
      <c r="B982" s="2">
        <v>4572.1899999999996</v>
      </c>
    </row>
    <row r="983" spans="1:2" x14ac:dyDescent="0.3">
      <c r="A983" s="5" t="s">
        <v>545</v>
      </c>
      <c r="B983" s="2">
        <v>3384.99</v>
      </c>
    </row>
    <row r="984" spans="1:2" x14ac:dyDescent="0.3">
      <c r="A984" s="5" t="s">
        <v>877</v>
      </c>
      <c r="B984" s="2">
        <v>520.95000000000005</v>
      </c>
    </row>
    <row r="985" spans="1:2" x14ac:dyDescent="0.3">
      <c r="A985" s="5" t="s">
        <v>63</v>
      </c>
      <c r="B985" s="2">
        <v>584.42999999999995</v>
      </c>
    </row>
    <row r="986" spans="1:2" x14ac:dyDescent="0.3">
      <c r="A986" s="5" t="s">
        <v>3191</v>
      </c>
      <c r="B986" s="2">
        <v>2245.52</v>
      </c>
    </row>
    <row r="987" spans="1:2" x14ac:dyDescent="0.3">
      <c r="A987" s="5" t="s">
        <v>235</v>
      </c>
      <c r="B987" s="2">
        <v>754.68</v>
      </c>
    </row>
    <row r="988" spans="1:2" x14ac:dyDescent="0.3">
      <c r="A988" s="5" t="s">
        <v>477</v>
      </c>
      <c r="B988" s="2">
        <v>2537.65</v>
      </c>
    </row>
    <row r="989" spans="1:2" x14ac:dyDescent="0.3">
      <c r="A989" s="5" t="s">
        <v>527</v>
      </c>
      <c r="B989" s="2">
        <v>2437.3199999999997</v>
      </c>
    </row>
    <row r="990" spans="1:2" x14ac:dyDescent="0.3">
      <c r="A990" s="5" t="s">
        <v>3283</v>
      </c>
      <c r="B990" s="2">
        <v>4736.8999999999996</v>
      </c>
    </row>
    <row r="991" spans="1:2" x14ac:dyDescent="0.3">
      <c r="A991" s="5" t="s">
        <v>2021</v>
      </c>
      <c r="B991" s="2">
        <v>5158.6499999999996</v>
      </c>
    </row>
    <row r="992" spans="1:2" x14ac:dyDescent="0.3">
      <c r="A992" s="5" t="s">
        <v>661</v>
      </c>
      <c r="B992" s="2">
        <v>1352.8</v>
      </c>
    </row>
    <row r="993" spans="1:2" x14ac:dyDescent="0.3">
      <c r="A993" s="5" t="s">
        <v>153</v>
      </c>
      <c r="B993" s="2">
        <v>550.04</v>
      </c>
    </row>
    <row r="994" spans="1:2" x14ac:dyDescent="0.3">
      <c r="A994" s="5" t="s">
        <v>3265</v>
      </c>
      <c r="B994" s="2">
        <v>317.56</v>
      </c>
    </row>
    <row r="995" spans="1:2" x14ac:dyDescent="0.3">
      <c r="A995" s="5" t="s">
        <v>749</v>
      </c>
      <c r="B995" s="2">
        <v>2555.7600000000002</v>
      </c>
    </row>
    <row r="996" spans="1:2" x14ac:dyDescent="0.3">
      <c r="A996" s="5" t="s">
        <v>851</v>
      </c>
      <c r="B996" s="2">
        <v>1425.66</v>
      </c>
    </row>
    <row r="997" spans="1:2" x14ac:dyDescent="0.3">
      <c r="A997" s="5" t="s">
        <v>2101</v>
      </c>
      <c r="B997" s="2">
        <v>2975.35</v>
      </c>
    </row>
    <row r="998" spans="1:2" x14ac:dyDescent="0.3">
      <c r="A998" s="5" t="s">
        <v>1469</v>
      </c>
      <c r="B998" s="2">
        <v>2568.96</v>
      </c>
    </row>
    <row r="999" spans="1:2" x14ac:dyDescent="0.3">
      <c r="A999" s="5" t="s">
        <v>3231</v>
      </c>
      <c r="B999" s="2">
        <v>272.25</v>
      </c>
    </row>
    <row r="1000" spans="1:2" x14ac:dyDescent="0.3">
      <c r="A1000" s="5" t="s">
        <v>2609</v>
      </c>
      <c r="B1000" s="2">
        <v>173.7</v>
      </c>
    </row>
    <row r="1001" spans="1:2" x14ac:dyDescent="0.3">
      <c r="A1001" s="5" t="s">
        <v>1879</v>
      </c>
      <c r="B1001" s="2">
        <v>1636.8</v>
      </c>
    </row>
    <row r="1002" spans="1:2" x14ac:dyDescent="0.3">
      <c r="A1002" s="5" t="s">
        <v>1551</v>
      </c>
      <c r="B1002" s="2">
        <v>1749.75</v>
      </c>
    </row>
    <row r="1003" spans="1:2" x14ac:dyDescent="0.3">
      <c r="A1003" s="5" t="s">
        <v>2193</v>
      </c>
      <c r="B1003" s="2">
        <v>2798.72</v>
      </c>
    </row>
    <row r="1004" spans="1:2" x14ac:dyDescent="0.3">
      <c r="A1004" s="5" t="s">
        <v>1713</v>
      </c>
      <c r="B1004" s="2">
        <v>923.75</v>
      </c>
    </row>
    <row r="1005" spans="1:2" x14ac:dyDescent="0.3">
      <c r="A1005" s="5" t="s">
        <v>3305</v>
      </c>
      <c r="B1005" s="2">
        <v>1292.1199999999999</v>
      </c>
    </row>
    <row r="1006" spans="1:2" x14ac:dyDescent="0.3">
      <c r="A1006" s="5" t="s">
        <v>287</v>
      </c>
      <c r="B1006" s="2">
        <v>439.11</v>
      </c>
    </row>
    <row r="1007" spans="1:2" x14ac:dyDescent="0.3">
      <c r="A1007" s="5" t="s">
        <v>1191</v>
      </c>
      <c r="B1007" s="2">
        <v>1427.58</v>
      </c>
    </row>
    <row r="1008" spans="1:2" x14ac:dyDescent="0.3">
      <c r="A1008" s="5" t="s">
        <v>1517</v>
      </c>
      <c r="B1008" s="2">
        <v>1192.73</v>
      </c>
    </row>
    <row r="1009" spans="1:2" x14ac:dyDescent="0.3">
      <c r="A1009" s="5" t="s">
        <v>611</v>
      </c>
      <c r="B1009" s="2">
        <v>314</v>
      </c>
    </row>
    <row r="1010" spans="1:2" x14ac:dyDescent="0.3">
      <c r="A1010" s="5" t="s">
        <v>3241</v>
      </c>
      <c r="B1010" s="2">
        <v>213.48</v>
      </c>
    </row>
    <row r="1011" spans="1:2" x14ac:dyDescent="0.3">
      <c r="A1011" s="5" t="s">
        <v>923</v>
      </c>
      <c r="B1011" s="2">
        <v>569.26</v>
      </c>
    </row>
    <row r="1012" spans="1:2" x14ac:dyDescent="0.3">
      <c r="A1012" s="5" t="s">
        <v>103</v>
      </c>
      <c r="B1012" s="2">
        <v>1771.64</v>
      </c>
    </row>
    <row r="1013" spans="1:2" x14ac:dyDescent="0.3">
      <c r="A1013" s="5" t="s">
        <v>1131</v>
      </c>
      <c r="B1013" s="2">
        <v>933</v>
      </c>
    </row>
    <row r="1014" spans="1:2" x14ac:dyDescent="0.3">
      <c r="A1014" s="5" t="s">
        <v>2629</v>
      </c>
      <c r="B1014" s="2">
        <v>965.58</v>
      </c>
    </row>
    <row r="1015" spans="1:2" x14ac:dyDescent="0.3">
      <c r="A1015" s="5" t="s">
        <v>3081</v>
      </c>
      <c r="B1015" s="2">
        <v>2773.28</v>
      </c>
    </row>
    <row r="1016" spans="1:2" x14ac:dyDescent="0.3">
      <c r="A1016" s="5" t="s">
        <v>823</v>
      </c>
      <c r="B1016" s="2">
        <v>1095.2</v>
      </c>
    </row>
    <row r="1017" spans="1:2" x14ac:dyDescent="0.3">
      <c r="A1017" s="5" t="s">
        <v>715</v>
      </c>
      <c r="B1017" s="2">
        <v>1883.94</v>
      </c>
    </row>
    <row r="1018" spans="1:2" x14ac:dyDescent="0.3">
      <c r="A1018" s="5" t="s">
        <v>1021</v>
      </c>
      <c r="B1018" s="2">
        <v>1072.3499999999999</v>
      </c>
    </row>
    <row r="1019" spans="1:2" x14ac:dyDescent="0.3">
      <c r="A1019" s="5" t="s">
        <v>3101</v>
      </c>
      <c r="B1019" s="2">
        <v>1458.66</v>
      </c>
    </row>
    <row r="1020" spans="1:2" x14ac:dyDescent="0.3">
      <c r="A1020" s="5" t="s">
        <v>2497</v>
      </c>
      <c r="B1020" s="2">
        <v>1228.17</v>
      </c>
    </row>
    <row r="1021" spans="1:2" x14ac:dyDescent="0.3">
      <c r="A1021" s="5" t="s">
        <v>2177</v>
      </c>
      <c r="B1021" s="2">
        <v>688.42</v>
      </c>
    </row>
    <row r="1022" spans="1:2" x14ac:dyDescent="0.3">
      <c r="A1022" s="5" t="s">
        <v>2371</v>
      </c>
      <c r="B1022" s="2">
        <v>199.99</v>
      </c>
    </row>
    <row r="1023" spans="1:2" x14ac:dyDescent="0.3">
      <c r="A1023" s="5" t="s">
        <v>1803</v>
      </c>
      <c r="B1023" s="2">
        <v>776.86</v>
      </c>
    </row>
    <row r="1024" spans="1:2" x14ac:dyDescent="0.3">
      <c r="A1024" s="5" t="s">
        <v>621</v>
      </c>
      <c r="B1024" s="2">
        <v>903.32</v>
      </c>
    </row>
    <row r="1025" spans="1:2" x14ac:dyDescent="0.3">
      <c r="A1025" s="5" t="s">
        <v>3093</v>
      </c>
      <c r="B1025" s="2">
        <v>309.76</v>
      </c>
    </row>
    <row r="1026" spans="1:2" x14ac:dyDescent="0.3">
      <c r="A1026" s="5" t="s">
        <v>39</v>
      </c>
      <c r="B1026" s="2">
        <v>4312.74</v>
      </c>
    </row>
    <row r="1027" spans="1:2" x14ac:dyDescent="0.3">
      <c r="A1027" s="5" t="s">
        <v>1945</v>
      </c>
      <c r="B1027" s="2">
        <v>1836.03</v>
      </c>
    </row>
    <row r="1028" spans="1:2" x14ac:dyDescent="0.3">
      <c r="A1028" s="5" t="s">
        <v>2309</v>
      </c>
      <c r="B1028" s="2">
        <v>1102.55</v>
      </c>
    </row>
    <row r="1029" spans="1:2" x14ac:dyDescent="0.3">
      <c r="A1029" s="5" t="s">
        <v>169</v>
      </c>
      <c r="B1029" s="2">
        <v>3900.15</v>
      </c>
    </row>
    <row r="1030" spans="1:2" x14ac:dyDescent="0.3">
      <c r="A1030" s="5" t="s">
        <v>569</v>
      </c>
      <c r="B1030" s="2">
        <v>4055.59</v>
      </c>
    </row>
    <row r="1031" spans="1:2" x14ac:dyDescent="0.3">
      <c r="A1031" s="5" t="s">
        <v>1359</v>
      </c>
      <c r="B1031" s="2">
        <v>2039.2</v>
      </c>
    </row>
    <row r="1032" spans="1:2" x14ac:dyDescent="0.3">
      <c r="A1032" s="5" t="s">
        <v>485</v>
      </c>
      <c r="B1032" s="2">
        <v>2373.6</v>
      </c>
    </row>
    <row r="1033" spans="1:2" x14ac:dyDescent="0.3">
      <c r="A1033" s="5" t="s">
        <v>3153</v>
      </c>
      <c r="B1033" s="2">
        <v>4710.72</v>
      </c>
    </row>
    <row r="1034" spans="1:2" x14ac:dyDescent="0.3">
      <c r="A1034" s="5" t="s">
        <v>2051</v>
      </c>
      <c r="B1034" s="2">
        <v>5495.52</v>
      </c>
    </row>
    <row r="1035" spans="1:2" x14ac:dyDescent="0.3">
      <c r="A1035" s="5" t="s">
        <v>1737</v>
      </c>
      <c r="B1035" s="2">
        <v>2485.6</v>
      </c>
    </row>
    <row r="1036" spans="1:2" x14ac:dyDescent="0.3">
      <c r="A1036" s="5" t="s">
        <v>385</v>
      </c>
      <c r="B1036" s="2">
        <v>328.64</v>
      </c>
    </row>
    <row r="1037" spans="1:2" x14ac:dyDescent="0.3">
      <c r="A1037" s="5" t="s">
        <v>889</v>
      </c>
      <c r="B1037" s="2">
        <v>218.84</v>
      </c>
    </row>
    <row r="1038" spans="1:2" x14ac:dyDescent="0.3">
      <c r="A1038" s="5" t="s">
        <v>2779</v>
      </c>
      <c r="B1038" s="2">
        <v>3148.88</v>
      </c>
    </row>
    <row r="1039" spans="1:2" x14ac:dyDescent="0.3">
      <c r="A1039" s="5" t="s">
        <v>859</v>
      </c>
      <c r="B1039" s="2">
        <v>2737.64</v>
      </c>
    </row>
    <row r="1040" spans="1:2" x14ac:dyDescent="0.3">
      <c r="A1040" s="4" t="s">
        <v>11</v>
      </c>
      <c r="B1040" s="2">
        <v>444989.72000000003</v>
      </c>
    </row>
    <row r="1041" spans="1:2" x14ac:dyDescent="0.3">
      <c r="A1041" s="5" t="s">
        <v>1097</v>
      </c>
      <c r="B1041" s="2">
        <v>1710.45</v>
      </c>
    </row>
    <row r="1042" spans="1:2" x14ac:dyDescent="0.3">
      <c r="A1042" s="5" t="s">
        <v>891</v>
      </c>
      <c r="B1042" s="2">
        <v>1013.0699999999999</v>
      </c>
    </row>
    <row r="1043" spans="1:2" x14ac:dyDescent="0.3">
      <c r="A1043" s="5" t="s">
        <v>1621</v>
      </c>
      <c r="B1043" s="2">
        <v>1133.55</v>
      </c>
    </row>
    <row r="1044" spans="1:2" x14ac:dyDescent="0.3">
      <c r="A1044" s="5" t="s">
        <v>2295</v>
      </c>
      <c r="B1044" s="2">
        <v>958.22</v>
      </c>
    </row>
    <row r="1045" spans="1:2" x14ac:dyDescent="0.3">
      <c r="A1045" s="5" t="s">
        <v>2659</v>
      </c>
      <c r="B1045" s="2">
        <v>4194.0600000000004</v>
      </c>
    </row>
    <row r="1046" spans="1:2" x14ac:dyDescent="0.3">
      <c r="A1046" s="5" t="s">
        <v>2549</v>
      </c>
      <c r="B1046" s="2">
        <v>2359.4</v>
      </c>
    </row>
    <row r="1047" spans="1:2" x14ac:dyDescent="0.3">
      <c r="A1047" s="5" t="s">
        <v>3281</v>
      </c>
      <c r="B1047" s="2">
        <v>2195.34</v>
      </c>
    </row>
    <row r="1048" spans="1:2" x14ac:dyDescent="0.3">
      <c r="A1048" s="5" t="s">
        <v>2801</v>
      </c>
      <c r="B1048" s="2">
        <v>778.8</v>
      </c>
    </row>
    <row r="1049" spans="1:2" x14ac:dyDescent="0.3">
      <c r="A1049" s="5" t="s">
        <v>2163</v>
      </c>
      <c r="B1049" s="2">
        <v>1504</v>
      </c>
    </row>
    <row r="1050" spans="1:2" x14ac:dyDescent="0.3">
      <c r="A1050" s="5" t="s">
        <v>1729</v>
      </c>
      <c r="B1050" s="2">
        <v>2771.76</v>
      </c>
    </row>
    <row r="1051" spans="1:2" x14ac:dyDescent="0.3">
      <c r="A1051" s="5" t="s">
        <v>1159</v>
      </c>
      <c r="B1051" s="2">
        <v>2930.1</v>
      </c>
    </row>
    <row r="1052" spans="1:2" x14ac:dyDescent="0.3">
      <c r="A1052" s="5" t="s">
        <v>2315</v>
      </c>
      <c r="B1052" s="2">
        <v>3931.2</v>
      </c>
    </row>
    <row r="1053" spans="1:2" x14ac:dyDescent="0.3">
      <c r="A1053" s="5" t="s">
        <v>2873</v>
      </c>
      <c r="B1053" s="2">
        <v>172.05</v>
      </c>
    </row>
    <row r="1054" spans="1:2" x14ac:dyDescent="0.3">
      <c r="A1054" s="5" t="s">
        <v>2457</v>
      </c>
      <c r="B1054" s="2">
        <v>391.35</v>
      </c>
    </row>
    <row r="1055" spans="1:2" x14ac:dyDescent="0.3">
      <c r="A1055" s="5" t="s">
        <v>717</v>
      </c>
      <c r="B1055" s="2">
        <v>1244.3900000000001</v>
      </c>
    </row>
    <row r="1056" spans="1:2" x14ac:dyDescent="0.3">
      <c r="A1056" s="5" t="s">
        <v>945</v>
      </c>
      <c r="B1056" s="2">
        <v>1754.22</v>
      </c>
    </row>
    <row r="1057" spans="1:2" x14ac:dyDescent="0.3">
      <c r="A1057" s="5" t="s">
        <v>239</v>
      </c>
      <c r="B1057" s="2">
        <v>706.74</v>
      </c>
    </row>
    <row r="1058" spans="1:2" x14ac:dyDescent="0.3">
      <c r="A1058" s="5" t="s">
        <v>479</v>
      </c>
      <c r="B1058" s="2">
        <v>5717.04</v>
      </c>
    </row>
    <row r="1059" spans="1:2" x14ac:dyDescent="0.3">
      <c r="A1059" s="5" t="s">
        <v>649</v>
      </c>
      <c r="B1059" s="2">
        <v>5421.44</v>
      </c>
    </row>
    <row r="1060" spans="1:2" x14ac:dyDescent="0.3">
      <c r="A1060" s="5" t="s">
        <v>77</v>
      </c>
      <c r="B1060" s="2">
        <v>2877.6</v>
      </c>
    </row>
    <row r="1061" spans="1:2" x14ac:dyDescent="0.3">
      <c r="A1061" s="5" t="s">
        <v>1585</v>
      </c>
      <c r="B1061" s="2">
        <v>626.98</v>
      </c>
    </row>
    <row r="1062" spans="1:2" x14ac:dyDescent="0.3">
      <c r="A1062" s="5" t="s">
        <v>1903</v>
      </c>
      <c r="B1062" s="2">
        <v>3630.35</v>
      </c>
    </row>
    <row r="1063" spans="1:2" x14ac:dyDescent="0.3">
      <c r="A1063" s="5" t="s">
        <v>2331</v>
      </c>
      <c r="B1063" s="2">
        <v>83.94</v>
      </c>
    </row>
    <row r="1064" spans="1:2" x14ac:dyDescent="0.3">
      <c r="A1064" s="5" t="s">
        <v>2503</v>
      </c>
      <c r="B1064" s="2">
        <v>2472.96</v>
      </c>
    </row>
    <row r="1065" spans="1:2" x14ac:dyDescent="0.3">
      <c r="A1065" s="5" t="s">
        <v>191</v>
      </c>
      <c r="B1065" s="2">
        <v>4616.58</v>
      </c>
    </row>
    <row r="1066" spans="1:2" x14ac:dyDescent="0.3">
      <c r="A1066" s="5" t="s">
        <v>1017</v>
      </c>
      <c r="B1066" s="2">
        <v>580.53</v>
      </c>
    </row>
    <row r="1067" spans="1:2" x14ac:dyDescent="0.3">
      <c r="A1067" s="5" t="s">
        <v>1733</v>
      </c>
      <c r="B1067" s="2">
        <v>3251.94</v>
      </c>
    </row>
    <row r="1068" spans="1:2" x14ac:dyDescent="0.3">
      <c r="A1068" s="5" t="s">
        <v>1465</v>
      </c>
      <c r="B1068" s="2">
        <v>939.56</v>
      </c>
    </row>
    <row r="1069" spans="1:2" x14ac:dyDescent="0.3">
      <c r="A1069" s="5" t="s">
        <v>517</v>
      </c>
      <c r="B1069" s="2">
        <v>980.76</v>
      </c>
    </row>
    <row r="1070" spans="1:2" x14ac:dyDescent="0.3">
      <c r="A1070" s="5" t="s">
        <v>2897</v>
      </c>
      <c r="B1070" s="2">
        <v>1940.7</v>
      </c>
    </row>
    <row r="1071" spans="1:2" x14ac:dyDescent="0.3">
      <c r="A1071" s="5" t="s">
        <v>211</v>
      </c>
      <c r="B1071" s="2">
        <v>1933.3600000000001</v>
      </c>
    </row>
    <row r="1072" spans="1:2" x14ac:dyDescent="0.3">
      <c r="A1072" s="5" t="s">
        <v>3003</v>
      </c>
      <c r="B1072" s="2">
        <v>434.97</v>
      </c>
    </row>
    <row r="1073" spans="1:2" x14ac:dyDescent="0.3">
      <c r="A1073" s="5" t="s">
        <v>635</v>
      </c>
      <c r="B1073" s="2">
        <v>65.92</v>
      </c>
    </row>
    <row r="1074" spans="1:2" x14ac:dyDescent="0.3">
      <c r="A1074" s="5" t="s">
        <v>1675</v>
      </c>
      <c r="B1074" s="2">
        <v>867.18</v>
      </c>
    </row>
    <row r="1075" spans="1:2" x14ac:dyDescent="0.3">
      <c r="A1075" s="5" t="s">
        <v>2981</v>
      </c>
      <c r="B1075" s="2">
        <v>140.6</v>
      </c>
    </row>
    <row r="1076" spans="1:2" x14ac:dyDescent="0.3">
      <c r="A1076" s="5" t="s">
        <v>2499</v>
      </c>
      <c r="B1076" s="2">
        <v>3507.28</v>
      </c>
    </row>
    <row r="1077" spans="1:2" x14ac:dyDescent="0.3">
      <c r="A1077" s="5" t="s">
        <v>325</v>
      </c>
      <c r="B1077" s="2">
        <v>386.93</v>
      </c>
    </row>
    <row r="1078" spans="1:2" x14ac:dyDescent="0.3">
      <c r="A1078" s="5" t="s">
        <v>1065</v>
      </c>
      <c r="B1078" s="2">
        <v>1945.8</v>
      </c>
    </row>
    <row r="1079" spans="1:2" x14ac:dyDescent="0.3">
      <c r="A1079" s="5" t="s">
        <v>2251</v>
      </c>
      <c r="B1079" s="2">
        <v>1535.04</v>
      </c>
    </row>
    <row r="1080" spans="1:2" x14ac:dyDescent="0.3">
      <c r="A1080" s="5" t="s">
        <v>1267</v>
      </c>
      <c r="B1080" s="2">
        <v>929.1</v>
      </c>
    </row>
    <row r="1081" spans="1:2" x14ac:dyDescent="0.3">
      <c r="A1081" s="5" t="s">
        <v>219</v>
      </c>
      <c r="B1081" s="2">
        <v>5757.2</v>
      </c>
    </row>
    <row r="1082" spans="1:2" x14ac:dyDescent="0.3">
      <c r="A1082" s="5" t="s">
        <v>2697</v>
      </c>
      <c r="B1082" s="2">
        <v>709.52</v>
      </c>
    </row>
    <row r="1083" spans="1:2" x14ac:dyDescent="0.3">
      <c r="A1083" s="5" t="s">
        <v>1321</v>
      </c>
      <c r="B1083" s="2">
        <v>644.41999999999996</v>
      </c>
    </row>
    <row r="1084" spans="1:2" x14ac:dyDescent="0.3">
      <c r="A1084" s="5" t="s">
        <v>3245</v>
      </c>
      <c r="B1084" s="2">
        <v>433.15</v>
      </c>
    </row>
    <row r="1085" spans="1:2" x14ac:dyDescent="0.3">
      <c r="A1085" s="5" t="s">
        <v>397</v>
      </c>
      <c r="B1085" s="2">
        <v>4966.8500000000004</v>
      </c>
    </row>
    <row r="1086" spans="1:2" x14ac:dyDescent="0.3">
      <c r="A1086" s="5" t="s">
        <v>1793</v>
      </c>
      <c r="B1086" s="2">
        <v>3763.2</v>
      </c>
    </row>
    <row r="1087" spans="1:2" x14ac:dyDescent="0.3">
      <c r="A1087" s="5" t="s">
        <v>2063</v>
      </c>
      <c r="B1087" s="2">
        <v>421.47</v>
      </c>
    </row>
    <row r="1088" spans="1:2" x14ac:dyDescent="0.3">
      <c r="A1088" s="5" t="s">
        <v>1491</v>
      </c>
      <c r="B1088" s="2">
        <v>2319.33</v>
      </c>
    </row>
    <row r="1089" spans="1:2" x14ac:dyDescent="0.3">
      <c r="A1089" s="5" t="s">
        <v>2071</v>
      </c>
      <c r="B1089" s="2">
        <v>4331.03</v>
      </c>
    </row>
    <row r="1090" spans="1:2" x14ac:dyDescent="0.3">
      <c r="A1090" s="5" t="s">
        <v>1773</v>
      </c>
      <c r="B1090" s="2">
        <v>1367.8</v>
      </c>
    </row>
    <row r="1091" spans="1:2" x14ac:dyDescent="0.3">
      <c r="A1091" s="5" t="s">
        <v>1223</v>
      </c>
      <c r="B1091" s="2">
        <v>1174.74</v>
      </c>
    </row>
    <row r="1092" spans="1:2" x14ac:dyDescent="0.3">
      <c r="A1092" s="5" t="s">
        <v>52</v>
      </c>
      <c r="B1092" s="2">
        <v>2271.52</v>
      </c>
    </row>
    <row r="1093" spans="1:2" x14ac:dyDescent="0.3">
      <c r="A1093" s="5" t="s">
        <v>353</v>
      </c>
      <c r="B1093" s="2">
        <v>3221.82</v>
      </c>
    </row>
    <row r="1094" spans="1:2" x14ac:dyDescent="0.3">
      <c r="A1094" s="5" t="s">
        <v>721</v>
      </c>
      <c r="B1094" s="2">
        <v>205.77</v>
      </c>
    </row>
    <row r="1095" spans="1:2" x14ac:dyDescent="0.3">
      <c r="A1095" s="5" t="s">
        <v>1467</v>
      </c>
      <c r="B1095" s="2">
        <v>3857.5</v>
      </c>
    </row>
    <row r="1096" spans="1:2" x14ac:dyDescent="0.3">
      <c r="A1096" s="5" t="s">
        <v>1739</v>
      </c>
      <c r="B1096" s="2">
        <v>343.27</v>
      </c>
    </row>
    <row r="1097" spans="1:2" x14ac:dyDescent="0.3">
      <c r="A1097" s="5" t="s">
        <v>773</v>
      </c>
      <c r="B1097" s="2">
        <v>148.75</v>
      </c>
    </row>
    <row r="1098" spans="1:2" x14ac:dyDescent="0.3">
      <c r="A1098" s="5" t="s">
        <v>1157</v>
      </c>
      <c r="B1098" s="2">
        <v>5297.95</v>
      </c>
    </row>
    <row r="1099" spans="1:2" x14ac:dyDescent="0.3">
      <c r="A1099" s="5" t="s">
        <v>2717</v>
      </c>
      <c r="B1099" s="2">
        <v>1278.72</v>
      </c>
    </row>
    <row r="1100" spans="1:2" x14ac:dyDescent="0.3">
      <c r="A1100" s="5" t="s">
        <v>1265</v>
      </c>
      <c r="B1100" s="2">
        <v>51.54</v>
      </c>
    </row>
    <row r="1101" spans="1:2" x14ac:dyDescent="0.3">
      <c r="A1101" s="5" t="s">
        <v>3127</v>
      </c>
      <c r="B1101" s="2">
        <v>2081.8000000000002</v>
      </c>
    </row>
    <row r="1102" spans="1:2" x14ac:dyDescent="0.3">
      <c r="A1102" s="5" t="s">
        <v>605</v>
      </c>
      <c r="B1102" s="2">
        <v>699.32</v>
      </c>
    </row>
    <row r="1103" spans="1:2" x14ac:dyDescent="0.3">
      <c r="A1103" s="5" t="s">
        <v>975</v>
      </c>
      <c r="B1103" s="2">
        <v>2940.24</v>
      </c>
    </row>
    <row r="1104" spans="1:2" x14ac:dyDescent="0.3">
      <c r="A1104" s="5" t="s">
        <v>85</v>
      </c>
      <c r="B1104" s="2">
        <v>243.68</v>
      </c>
    </row>
    <row r="1105" spans="1:2" x14ac:dyDescent="0.3">
      <c r="A1105" s="5" t="s">
        <v>1659</v>
      </c>
      <c r="B1105" s="2">
        <v>3839.78</v>
      </c>
    </row>
    <row r="1106" spans="1:2" x14ac:dyDescent="0.3">
      <c r="A1106" s="5" t="s">
        <v>2169</v>
      </c>
      <c r="B1106" s="2">
        <v>86.51</v>
      </c>
    </row>
    <row r="1107" spans="1:2" x14ac:dyDescent="0.3">
      <c r="A1107" s="5" t="s">
        <v>1339</v>
      </c>
      <c r="B1107" s="2">
        <v>2003.76</v>
      </c>
    </row>
    <row r="1108" spans="1:2" x14ac:dyDescent="0.3">
      <c r="A1108" s="5" t="s">
        <v>1997</v>
      </c>
      <c r="B1108" s="2">
        <v>108.18</v>
      </c>
    </row>
    <row r="1109" spans="1:2" x14ac:dyDescent="0.3">
      <c r="A1109" s="5" t="s">
        <v>1913</v>
      </c>
      <c r="B1109" s="2">
        <v>2004.88</v>
      </c>
    </row>
    <row r="1110" spans="1:2" x14ac:dyDescent="0.3">
      <c r="A1110" s="5" t="s">
        <v>2885</v>
      </c>
      <c r="B1110" s="2">
        <v>2950.36</v>
      </c>
    </row>
    <row r="1111" spans="1:2" x14ac:dyDescent="0.3">
      <c r="A1111" s="5" t="s">
        <v>1939</v>
      </c>
      <c r="B1111" s="2">
        <v>3125.16</v>
      </c>
    </row>
    <row r="1112" spans="1:2" x14ac:dyDescent="0.3">
      <c r="A1112" s="5" t="s">
        <v>2199</v>
      </c>
      <c r="B1112" s="2">
        <v>2365.65</v>
      </c>
    </row>
    <row r="1113" spans="1:2" x14ac:dyDescent="0.3">
      <c r="A1113" s="5" t="s">
        <v>523</v>
      </c>
      <c r="B1113" s="2">
        <v>944</v>
      </c>
    </row>
    <row r="1114" spans="1:2" x14ac:dyDescent="0.3">
      <c r="A1114" s="5" t="s">
        <v>213</v>
      </c>
      <c r="B1114" s="2">
        <v>3141.95</v>
      </c>
    </row>
    <row r="1115" spans="1:2" x14ac:dyDescent="0.3">
      <c r="A1115" s="5" t="s">
        <v>265</v>
      </c>
      <c r="B1115" s="2">
        <v>1093.44</v>
      </c>
    </row>
    <row r="1116" spans="1:2" x14ac:dyDescent="0.3">
      <c r="A1116" s="5" t="s">
        <v>693</v>
      </c>
      <c r="B1116" s="2">
        <v>308.2</v>
      </c>
    </row>
    <row r="1117" spans="1:2" x14ac:dyDescent="0.3">
      <c r="A1117" s="5" t="s">
        <v>1891</v>
      </c>
      <c r="B1117" s="2">
        <v>4817.6099999999997</v>
      </c>
    </row>
    <row r="1118" spans="1:2" x14ac:dyDescent="0.3">
      <c r="A1118" s="5" t="s">
        <v>1771</v>
      </c>
      <c r="B1118" s="2">
        <v>1983.84</v>
      </c>
    </row>
    <row r="1119" spans="1:2" x14ac:dyDescent="0.3">
      <c r="A1119" s="5" t="s">
        <v>1051</v>
      </c>
      <c r="B1119" s="2">
        <v>572.65</v>
      </c>
    </row>
    <row r="1120" spans="1:2" x14ac:dyDescent="0.3">
      <c r="A1120" s="5" t="s">
        <v>587</v>
      </c>
      <c r="B1120" s="2">
        <v>3098.64</v>
      </c>
    </row>
    <row r="1121" spans="1:2" x14ac:dyDescent="0.3">
      <c r="A1121" s="5" t="s">
        <v>2253</v>
      </c>
      <c r="B1121" s="2">
        <v>305.39999999999998</v>
      </c>
    </row>
    <row r="1122" spans="1:2" x14ac:dyDescent="0.3">
      <c r="A1122" s="5" t="s">
        <v>2463</v>
      </c>
      <c r="B1122" s="2">
        <v>543.76</v>
      </c>
    </row>
    <row r="1123" spans="1:2" x14ac:dyDescent="0.3">
      <c r="A1123" s="5" t="s">
        <v>3147</v>
      </c>
      <c r="B1123" s="2">
        <v>2342.7199999999998</v>
      </c>
    </row>
    <row r="1124" spans="1:2" x14ac:dyDescent="0.3">
      <c r="A1124" s="5" t="s">
        <v>377</v>
      </c>
      <c r="B1124" s="2">
        <v>469.68</v>
      </c>
    </row>
    <row r="1125" spans="1:2" x14ac:dyDescent="0.3">
      <c r="A1125" s="5" t="s">
        <v>781</v>
      </c>
      <c r="B1125" s="2">
        <v>360.45</v>
      </c>
    </row>
    <row r="1126" spans="1:2" x14ac:dyDescent="0.3">
      <c r="A1126" s="5" t="s">
        <v>935</v>
      </c>
      <c r="B1126" s="2">
        <v>348.09</v>
      </c>
    </row>
    <row r="1127" spans="1:2" x14ac:dyDescent="0.3">
      <c r="A1127" s="5" t="s">
        <v>2091</v>
      </c>
      <c r="B1127" s="2">
        <v>56.35</v>
      </c>
    </row>
    <row r="1128" spans="1:2" x14ac:dyDescent="0.3">
      <c r="A1128" s="5" t="s">
        <v>1901</v>
      </c>
      <c r="B1128" s="2">
        <v>1270.7</v>
      </c>
    </row>
    <row r="1129" spans="1:2" x14ac:dyDescent="0.3">
      <c r="A1129" s="5" t="s">
        <v>1559</v>
      </c>
      <c r="B1129" s="2">
        <v>4904.6899999999996</v>
      </c>
    </row>
    <row r="1130" spans="1:2" x14ac:dyDescent="0.3">
      <c r="A1130" s="5" t="s">
        <v>3007</v>
      </c>
      <c r="B1130" s="2">
        <v>170.16</v>
      </c>
    </row>
    <row r="1131" spans="1:2" x14ac:dyDescent="0.3">
      <c r="A1131" s="5" t="s">
        <v>993</v>
      </c>
      <c r="B1131" s="2">
        <v>165.94</v>
      </c>
    </row>
    <row r="1132" spans="1:2" x14ac:dyDescent="0.3">
      <c r="A1132" s="5" t="s">
        <v>1783</v>
      </c>
      <c r="B1132" s="2">
        <v>909.04</v>
      </c>
    </row>
    <row r="1133" spans="1:2" x14ac:dyDescent="0.3">
      <c r="A1133" s="5" t="s">
        <v>2883</v>
      </c>
      <c r="B1133" s="2">
        <v>269.26</v>
      </c>
    </row>
    <row r="1134" spans="1:2" x14ac:dyDescent="0.3">
      <c r="A1134" s="5" t="s">
        <v>1821</v>
      </c>
      <c r="B1134" s="2">
        <v>3752.91</v>
      </c>
    </row>
    <row r="1135" spans="1:2" x14ac:dyDescent="0.3">
      <c r="A1135" s="5" t="s">
        <v>1743</v>
      </c>
      <c r="B1135" s="2">
        <v>1831.47</v>
      </c>
    </row>
    <row r="1136" spans="1:2" x14ac:dyDescent="0.3">
      <c r="A1136" s="5" t="s">
        <v>2975</v>
      </c>
      <c r="B1136" s="2">
        <v>1133.8800000000001</v>
      </c>
    </row>
    <row r="1137" spans="1:2" x14ac:dyDescent="0.3">
      <c r="A1137" s="5" t="s">
        <v>639</v>
      </c>
      <c r="B1137" s="2">
        <v>3119.2</v>
      </c>
    </row>
    <row r="1138" spans="1:2" x14ac:dyDescent="0.3">
      <c r="A1138" s="5" t="s">
        <v>1635</v>
      </c>
      <c r="B1138" s="2">
        <v>430.58</v>
      </c>
    </row>
    <row r="1139" spans="1:2" x14ac:dyDescent="0.3">
      <c r="A1139" s="5" t="s">
        <v>1833</v>
      </c>
      <c r="B1139" s="2">
        <v>2068.48</v>
      </c>
    </row>
    <row r="1140" spans="1:2" x14ac:dyDescent="0.3">
      <c r="A1140" s="5" t="s">
        <v>181</v>
      </c>
      <c r="B1140" s="2">
        <v>566.54</v>
      </c>
    </row>
    <row r="1141" spans="1:2" x14ac:dyDescent="0.3">
      <c r="A1141" s="5" t="s">
        <v>835</v>
      </c>
      <c r="B1141" s="2">
        <v>77.64</v>
      </c>
    </row>
    <row r="1142" spans="1:2" x14ac:dyDescent="0.3">
      <c r="A1142" s="5" t="s">
        <v>2237</v>
      </c>
      <c r="B1142" s="2">
        <v>2249.12</v>
      </c>
    </row>
    <row r="1143" spans="1:2" x14ac:dyDescent="0.3">
      <c r="A1143" s="5" t="s">
        <v>801</v>
      </c>
      <c r="B1143" s="2">
        <v>697.42</v>
      </c>
    </row>
    <row r="1144" spans="1:2" x14ac:dyDescent="0.3">
      <c r="A1144" s="5" t="s">
        <v>1013</v>
      </c>
      <c r="B1144" s="2">
        <v>2292.7600000000002</v>
      </c>
    </row>
    <row r="1145" spans="1:2" x14ac:dyDescent="0.3">
      <c r="A1145" s="5" t="s">
        <v>1705</v>
      </c>
      <c r="B1145" s="2">
        <v>4635.82</v>
      </c>
    </row>
    <row r="1146" spans="1:2" x14ac:dyDescent="0.3">
      <c r="A1146" s="5" t="s">
        <v>3279</v>
      </c>
      <c r="B1146" s="2">
        <v>181.44</v>
      </c>
    </row>
    <row r="1147" spans="1:2" x14ac:dyDescent="0.3">
      <c r="A1147" s="5" t="s">
        <v>1553</v>
      </c>
      <c r="B1147" s="2">
        <v>738</v>
      </c>
    </row>
    <row r="1148" spans="1:2" x14ac:dyDescent="0.3">
      <c r="A1148" s="5" t="s">
        <v>871</v>
      </c>
      <c r="B1148" s="2">
        <v>41</v>
      </c>
    </row>
    <row r="1149" spans="1:2" x14ac:dyDescent="0.3">
      <c r="A1149" s="5" t="s">
        <v>2209</v>
      </c>
      <c r="B1149" s="2">
        <v>2399.58</v>
      </c>
    </row>
    <row r="1150" spans="1:2" x14ac:dyDescent="0.3">
      <c r="A1150" s="5" t="s">
        <v>2289</v>
      </c>
      <c r="B1150" s="2">
        <v>293.95999999999998</v>
      </c>
    </row>
    <row r="1151" spans="1:2" x14ac:dyDescent="0.3">
      <c r="A1151" s="5" t="s">
        <v>1959</v>
      </c>
      <c r="B1151" s="2">
        <v>2033.2</v>
      </c>
    </row>
    <row r="1152" spans="1:2" x14ac:dyDescent="0.3">
      <c r="A1152" s="5" t="s">
        <v>2093</v>
      </c>
      <c r="B1152" s="2">
        <v>387.1</v>
      </c>
    </row>
    <row r="1153" spans="1:2" x14ac:dyDescent="0.3">
      <c r="A1153" s="5" t="s">
        <v>1845</v>
      </c>
      <c r="B1153" s="2">
        <v>4251.66</v>
      </c>
    </row>
    <row r="1154" spans="1:2" x14ac:dyDescent="0.3">
      <c r="A1154" s="5" t="s">
        <v>87</v>
      </c>
      <c r="B1154" s="2">
        <v>438.2</v>
      </c>
    </row>
    <row r="1155" spans="1:2" x14ac:dyDescent="0.3">
      <c r="A1155" s="5" t="s">
        <v>3115</v>
      </c>
      <c r="B1155" s="2">
        <v>690.28</v>
      </c>
    </row>
    <row r="1156" spans="1:2" x14ac:dyDescent="0.3">
      <c r="A1156" s="5" t="s">
        <v>903</v>
      </c>
      <c r="B1156" s="2">
        <v>3915.6</v>
      </c>
    </row>
    <row r="1157" spans="1:2" x14ac:dyDescent="0.3">
      <c r="A1157" s="5" t="s">
        <v>1645</v>
      </c>
      <c r="B1157" s="2">
        <v>5076.4799999999996</v>
      </c>
    </row>
    <row r="1158" spans="1:2" x14ac:dyDescent="0.3">
      <c r="A1158" s="5" t="s">
        <v>10</v>
      </c>
      <c r="B1158" s="2">
        <v>4950.6400000000003</v>
      </c>
    </row>
    <row r="1159" spans="1:2" x14ac:dyDescent="0.3">
      <c r="A1159" s="5" t="s">
        <v>3301</v>
      </c>
      <c r="B1159" s="2">
        <v>662.14</v>
      </c>
    </row>
    <row r="1160" spans="1:2" x14ac:dyDescent="0.3">
      <c r="A1160" s="5" t="s">
        <v>321</v>
      </c>
      <c r="B1160" s="2">
        <v>4372.9400000000005</v>
      </c>
    </row>
    <row r="1161" spans="1:2" x14ac:dyDescent="0.3">
      <c r="A1161" s="5" t="s">
        <v>2203</v>
      </c>
      <c r="B1161" s="2">
        <v>408.42</v>
      </c>
    </row>
    <row r="1162" spans="1:2" x14ac:dyDescent="0.3">
      <c r="A1162" s="5" t="s">
        <v>2921</v>
      </c>
      <c r="B1162" s="2">
        <v>612.47</v>
      </c>
    </row>
    <row r="1163" spans="1:2" x14ac:dyDescent="0.3">
      <c r="A1163" s="5" t="s">
        <v>969</v>
      </c>
      <c r="B1163" s="2">
        <v>608.44000000000005</v>
      </c>
    </row>
    <row r="1164" spans="1:2" x14ac:dyDescent="0.3">
      <c r="A1164" s="5" t="s">
        <v>931</v>
      </c>
      <c r="B1164" s="2">
        <v>157.36000000000001</v>
      </c>
    </row>
    <row r="1165" spans="1:2" x14ac:dyDescent="0.3">
      <c r="A1165" s="5" t="s">
        <v>2513</v>
      </c>
      <c r="B1165" s="2">
        <v>2732.96</v>
      </c>
    </row>
    <row r="1166" spans="1:2" x14ac:dyDescent="0.3">
      <c r="A1166" s="5" t="s">
        <v>1305</v>
      </c>
      <c r="B1166" s="2">
        <v>1911.6</v>
      </c>
    </row>
    <row r="1167" spans="1:2" x14ac:dyDescent="0.3">
      <c r="A1167" s="5" t="s">
        <v>2107</v>
      </c>
      <c r="B1167" s="2">
        <v>2834.23</v>
      </c>
    </row>
    <row r="1168" spans="1:2" x14ac:dyDescent="0.3">
      <c r="A1168" s="5" t="s">
        <v>1671</v>
      </c>
      <c r="B1168" s="2">
        <v>3828.7999999999997</v>
      </c>
    </row>
    <row r="1169" spans="1:2" x14ac:dyDescent="0.3">
      <c r="A1169" s="5" t="s">
        <v>177</v>
      </c>
      <c r="B1169" s="2">
        <v>812.18</v>
      </c>
    </row>
    <row r="1170" spans="1:2" x14ac:dyDescent="0.3">
      <c r="A1170" s="5" t="s">
        <v>2807</v>
      </c>
      <c r="B1170" s="2">
        <v>49.35</v>
      </c>
    </row>
    <row r="1171" spans="1:2" x14ac:dyDescent="0.3">
      <c r="A1171" s="5" t="s">
        <v>1209</v>
      </c>
      <c r="B1171" s="2">
        <v>2470.9499999999998</v>
      </c>
    </row>
    <row r="1172" spans="1:2" x14ac:dyDescent="0.3">
      <c r="A1172" s="5" t="s">
        <v>2511</v>
      </c>
      <c r="B1172" s="2">
        <v>4235.5200000000004</v>
      </c>
    </row>
    <row r="1173" spans="1:2" x14ac:dyDescent="0.3">
      <c r="A1173" s="5" t="s">
        <v>2831</v>
      </c>
      <c r="B1173" s="2">
        <v>5290.96</v>
      </c>
    </row>
    <row r="1174" spans="1:2" x14ac:dyDescent="0.3">
      <c r="A1174" s="5" t="s">
        <v>2527</v>
      </c>
      <c r="B1174" s="2">
        <v>621.4</v>
      </c>
    </row>
    <row r="1175" spans="1:2" x14ac:dyDescent="0.3">
      <c r="A1175" s="5" t="s">
        <v>2325</v>
      </c>
      <c r="B1175" s="2">
        <v>469.5</v>
      </c>
    </row>
    <row r="1176" spans="1:2" x14ac:dyDescent="0.3">
      <c r="A1176" s="5" t="s">
        <v>463</v>
      </c>
      <c r="B1176" s="2">
        <v>1248.32</v>
      </c>
    </row>
    <row r="1177" spans="1:2" x14ac:dyDescent="0.3">
      <c r="A1177" s="5" t="s">
        <v>2797</v>
      </c>
      <c r="B1177" s="2">
        <v>3327.31</v>
      </c>
    </row>
    <row r="1178" spans="1:2" x14ac:dyDescent="0.3">
      <c r="A1178" s="5" t="s">
        <v>3015</v>
      </c>
      <c r="B1178" s="2">
        <v>876.82</v>
      </c>
    </row>
    <row r="1179" spans="1:2" x14ac:dyDescent="0.3">
      <c r="A1179" s="5" t="s">
        <v>2953</v>
      </c>
      <c r="B1179" s="2">
        <v>202.98</v>
      </c>
    </row>
    <row r="1180" spans="1:2" x14ac:dyDescent="0.3">
      <c r="A1180" s="5" t="s">
        <v>1425</v>
      </c>
      <c r="B1180" s="2">
        <v>3485.72</v>
      </c>
    </row>
    <row r="1181" spans="1:2" x14ac:dyDescent="0.3">
      <c r="A1181" s="5" t="s">
        <v>631</v>
      </c>
      <c r="B1181" s="2">
        <v>2149.5500000000002</v>
      </c>
    </row>
    <row r="1182" spans="1:2" x14ac:dyDescent="0.3">
      <c r="A1182" s="5" t="s">
        <v>1405</v>
      </c>
      <c r="B1182" s="2">
        <v>3173.88</v>
      </c>
    </row>
    <row r="1183" spans="1:2" x14ac:dyDescent="0.3">
      <c r="A1183" s="5" t="s">
        <v>633</v>
      </c>
      <c r="B1183" s="2">
        <v>5143.28</v>
      </c>
    </row>
    <row r="1184" spans="1:2" x14ac:dyDescent="0.3">
      <c r="A1184" s="5" t="s">
        <v>1031</v>
      </c>
      <c r="B1184" s="2">
        <v>4678.6400000000003</v>
      </c>
    </row>
    <row r="1185" spans="1:2" x14ac:dyDescent="0.3">
      <c r="A1185" s="5" t="s">
        <v>2597</v>
      </c>
      <c r="B1185" s="2">
        <v>5165.92</v>
      </c>
    </row>
    <row r="1186" spans="1:2" x14ac:dyDescent="0.3">
      <c r="A1186" s="5" t="s">
        <v>1949</v>
      </c>
      <c r="B1186" s="2">
        <v>49.86</v>
      </c>
    </row>
    <row r="1187" spans="1:2" x14ac:dyDescent="0.3">
      <c r="A1187" s="5" t="s">
        <v>2559</v>
      </c>
      <c r="B1187" s="2">
        <v>87.28</v>
      </c>
    </row>
    <row r="1188" spans="1:2" x14ac:dyDescent="0.3">
      <c r="A1188" s="5" t="s">
        <v>453</v>
      </c>
      <c r="B1188" s="2">
        <v>1894.72</v>
      </c>
    </row>
    <row r="1189" spans="1:2" x14ac:dyDescent="0.3">
      <c r="A1189" s="5" t="s">
        <v>2179</v>
      </c>
      <c r="B1189" s="2">
        <v>3445.44</v>
      </c>
    </row>
    <row r="1190" spans="1:2" x14ac:dyDescent="0.3">
      <c r="A1190" s="5" t="s">
        <v>1701</v>
      </c>
      <c r="B1190" s="2">
        <v>2160.3000000000002</v>
      </c>
    </row>
    <row r="1191" spans="1:2" x14ac:dyDescent="0.3">
      <c r="A1191" s="5" t="s">
        <v>2171</v>
      </c>
      <c r="B1191" s="2">
        <v>3498.6</v>
      </c>
    </row>
    <row r="1192" spans="1:2" x14ac:dyDescent="0.3">
      <c r="A1192" s="5" t="s">
        <v>2809</v>
      </c>
      <c r="B1192" s="2">
        <v>116.12</v>
      </c>
    </row>
    <row r="1193" spans="1:2" x14ac:dyDescent="0.3">
      <c r="A1193" s="5" t="s">
        <v>3307</v>
      </c>
      <c r="B1193" s="2">
        <v>649.29999999999995</v>
      </c>
    </row>
    <row r="1194" spans="1:2" x14ac:dyDescent="0.3">
      <c r="A1194" s="5" t="s">
        <v>2505</v>
      </c>
      <c r="B1194" s="2">
        <v>793.8</v>
      </c>
    </row>
    <row r="1195" spans="1:2" x14ac:dyDescent="0.3">
      <c r="A1195" s="5" t="s">
        <v>1707</v>
      </c>
      <c r="B1195" s="2">
        <v>72.25</v>
      </c>
    </row>
    <row r="1196" spans="1:2" x14ac:dyDescent="0.3">
      <c r="A1196" s="5" t="s">
        <v>1907</v>
      </c>
      <c r="B1196" s="2">
        <v>59.75</v>
      </c>
    </row>
    <row r="1197" spans="1:2" x14ac:dyDescent="0.3">
      <c r="A1197" s="5" t="s">
        <v>2087</v>
      </c>
      <c r="B1197" s="2">
        <v>1695.75</v>
      </c>
    </row>
    <row r="1198" spans="1:2" x14ac:dyDescent="0.3">
      <c r="A1198" s="5" t="s">
        <v>2671</v>
      </c>
      <c r="B1198" s="2">
        <v>1048.06</v>
      </c>
    </row>
    <row r="1199" spans="1:2" x14ac:dyDescent="0.3">
      <c r="A1199" s="5" t="s">
        <v>2381</v>
      </c>
      <c r="B1199" s="2">
        <v>837.48</v>
      </c>
    </row>
    <row r="1200" spans="1:2" x14ac:dyDescent="0.3">
      <c r="A1200" s="5" t="s">
        <v>3195</v>
      </c>
      <c r="B1200" s="2">
        <v>232.23</v>
      </c>
    </row>
    <row r="1201" spans="1:2" x14ac:dyDescent="0.3">
      <c r="A1201" s="5" t="s">
        <v>2845</v>
      </c>
      <c r="B1201" s="2">
        <v>4759.1400000000003</v>
      </c>
    </row>
    <row r="1202" spans="1:2" x14ac:dyDescent="0.3">
      <c r="A1202" s="5" t="s">
        <v>2105</v>
      </c>
      <c r="B1202" s="2">
        <v>2631</v>
      </c>
    </row>
    <row r="1203" spans="1:2" x14ac:dyDescent="0.3">
      <c r="A1203" s="5" t="s">
        <v>1411</v>
      </c>
      <c r="B1203" s="2">
        <v>4286.87</v>
      </c>
    </row>
    <row r="1204" spans="1:2" x14ac:dyDescent="0.3">
      <c r="A1204" s="5" t="s">
        <v>2111</v>
      </c>
      <c r="B1204" s="2">
        <v>147.57</v>
      </c>
    </row>
    <row r="1205" spans="1:2" x14ac:dyDescent="0.3">
      <c r="A1205" s="5" t="s">
        <v>1185</v>
      </c>
      <c r="B1205" s="2">
        <v>1661.1</v>
      </c>
    </row>
    <row r="1206" spans="1:2" x14ac:dyDescent="0.3">
      <c r="A1206" s="5" t="s">
        <v>3069</v>
      </c>
      <c r="B1206" s="2">
        <v>542.58000000000004</v>
      </c>
    </row>
    <row r="1207" spans="1:2" x14ac:dyDescent="0.3">
      <c r="A1207" s="5" t="s">
        <v>3119</v>
      </c>
      <c r="B1207" s="2">
        <v>4899.93</v>
      </c>
    </row>
    <row r="1208" spans="1:2" x14ac:dyDescent="0.3">
      <c r="A1208" s="5" t="s">
        <v>879</v>
      </c>
      <c r="B1208" s="2">
        <v>1550.19</v>
      </c>
    </row>
    <row r="1209" spans="1:2" x14ac:dyDescent="0.3">
      <c r="A1209" s="5" t="s">
        <v>1217</v>
      </c>
      <c r="B1209" s="2">
        <v>50.19</v>
      </c>
    </row>
    <row r="1210" spans="1:2" x14ac:dyDescent="0.3">
      <c r="A1210" s="5" t="s">
        <v>1063</v>
      </c>
      <c r="B1210" s="2">
        <v>624.79999999999995</v>
      </c>
    </row>
    <row r="1211" spans="1:2" x14ac:dyDescent="0.3">
      <c r="A1211" s="5" t="s">
        <v>1109</v>
      </c>
      <c r="B1211" s="2">
        <v>1321.84</v>
      </c>
    </row>
    <row r="1212" spans="1:2" x14ac:dyDescent="0.3">
      <c r="A1212" s="5" t="s">
        <v>1797</v>
      </c>
      <c r="B1212" s="2">
        <v>4282.95</v>
      </c>
    </row>
    <row r="1213" spans="1:2" x14ac:dyDescent="0.3">
      <c r="A1213" s="5" t="s">
        <v>347</v>
      </c>
      <c r="B1213" s="2">
        <v>2522.1999999999998</v>
      </c>
    </row>
    <row r="1214" spans="1:2" x14ac:dyDescent="0.3">
      <c r="A1214" s="5" t="s">
        <v>2341</v>
      </c>
      <c r="B1214" s="2">
        <v>654.47</v>
      </c>
    </row>
    <row r="1215" spans="1:2" x14ac:dyDescent="0.3">
      <c r="A1215" s="5" t="s">
        <v>2151</v>
      </c>
      <c r="B1215" s="2">
        <v>1766.28</v>
      </c>
    </row>
    <row r="1216" spans="1:2" x14ac:dyDescent="0.3">
      <c r="A1216" s="5" t="s">
        <v>251</v>
      </c>
      <c r="B1216" s="2">
        <v>1143.8</v>
      </c>
    </row>
    <row r="1217" spans="1:2" x14ac:dyDescent="0.3">
      <c r="A1217" s="5" t="s">
        <v>1841</v>
      </c>
      <c r="B1217" s="2">
        <v>631.80999999999995</v>
      </c>
    </row>
    <row r="1218" spans="1:2" x14ac:dyDescent="0.3">
      <c r="A1218" s="5" t="s">
        <v>2731</v>
      </c>
      <c r="B1218" s="2">
        <v>1497.5</v>
      </c>
    </row>
    <row r="1219" spans="1:2" x14ac:dyDescent="0.3">
      <c r="A1219" s="5" t="s">
        <v>1539</v>
      </c>
      <c r="B1219" s="2">
        <v>592.98</v>
      </c>
    </row>
    <row r="1220" spans="1:2" x14ac:dyDescent="0.3">
      <c r="A1220" s="5" t="s">
        <v>549</v>
      </c>
      <c r="B1220" s="2">
        <v>702.9</v>
      </c>
    </row>
    <row r="1221" spans="1:2" x14ac:dyDescent="0.3">
      <c r="A1221" s="5" t="s">
        <v>323</v>
      </c>
      <c r="B1221" s="2">
        <v>55.85</v>
      </c>
    </row>
    <row r="1222" spans="1:2" x14ac:dyDescent="0.3">
      <c r="A1222" s="5" t="s">
        <v>1549</v>
      </c>
      <c r="B1222" s="2">
        <v>2420.39</v>
      </c>
    </row>
    <row r="1223" spans="1:2" x14ac:dyDescent="0.3">
      <c r="A1223" s="5" t="s">
        <v>3213</v>
      </c>
      <c r="B1223" s="2">
        <v>3866.15</v>
      </c>
    </row>
    <row r="1224" spans="1:2" x14ac:dyDescent="0.3">
      <c r="A1224" s="5" t="s">
        <v>1353</v>
      </c>
      <c r="B1224" s="2">
        <v>4613.7700000000004</v>
      </c>
    </row>
    <row r="1225" spans="1:2" x14ac:dyDescent="0.3">
      <c r="A1225" s="5" t="s">
        <v>425</v>
      </c>
      <c r="B1225" s="2">
        <v>711.15</v>
      </c>
    </row>
    <row r="1226" spans="1:2" x14ac:dyDescent="0.3">
      <c r="A1226" s="5" t="s">
        <v>81</v>
      </c>
      <c r="B1226" s="2">
        <v>2140.48</v>
      </c>
    </row>
    <row r="1227" spans="1:2" x14ac:dyDescent="0.3">
      <c r="A1227" s="5" t="s">
        <v>2961</v>
      </c>
      <c r="B1227" s="2">
        <v>2883.32</v>
      </c>
    </row>
    <row r="1228" spans="1:2" x14ac:dyDescent="0.3">
      <c r="A1228" s="5" t="s">
        <v>1863</v>
      </c>
      <c r="B1228" s="2">
        <v>3115.44</v>
      </c>
    </row>
    <row r="1229" spans="1:2" x14ac:dyDescent="0.3">
      <c r="A1229" s="5" t="s">
        <v>2589</v>
      </c>
      <c r="B1229" s="2">
        <v>417.04</v>
      </c>
    </row>
    <row r="1230" spans="1:2" x14ac:dyDescent="0.3">
      <c r="A1230" s="5" t="s">
        <v>2017</v>
      </c>
      <c r="B1230" s="2">
        <v>249.36</v>
      </c>
    </row>
    <row r="1231" spans="1:2" x14ac:dyDescent="0.3">
      <c r="A1231" s="5" t="s">
        <v>409</v>
      </c>
      <c r="B1231" s="2">
        <v>4765.08</v>
      </c>
    </row>
    <row r="1232" spans="1:2" x14ac:dyDescent="0.3">
      <c r="A1232" s="5" t="s">
        <v>2533</v>
      </c>
      <c r="B1232" s="2">
        <v>1011.92</v>
      </c>
    </row>
    <row r="1233" spans="1:2" x14ac:dyDescent="0.3">
      <c r="A1233" s="5" t="s">
        <v>777</v>
      </c>
      <c r="B1233" s="2">
        <v>1237.1600000000001</v>
      </c>
    </row>
    <row r="1234" spans="1:2" x14ac:dyDescent="0.3">
      <c r="A1234" s="5" t="s">
        <v>1967</v>
      </c>
      <c r="B1234" s="2">
        <v>2382.67</v>
      </c>
    </row>
    <row r="1235" spans="1:2" x14ac:dyDescent="0.3">
      <c r="A1235" s="5" t="s">
        <v>2749</v>
      </c>
      <c r="B1235" s="2">
        <v>1149.6600000000001</v>
      </c>
    </row>
    <row r="1236" spans="1:2" x14ac:dyDescent="0.3">
      <c r="A1236" s="5" t="s">
        <v>2947</v>
      </c>
      <c r="B1236" s="2">
        <v>466.31</v>
      </c>
    </row>
    <row r="1237" spans="1:2" x14ac:dyDescent="0.3">
      <c r="A1237" s="5" t="s">
        <v>1349</v>
      </c>
      <c r="B1237" s="2">
        <v>2742.67</v>
      </c>
    </row>
    <row r="1238" spans="1:2" x14ac:dyDescent="0.3">
      <c r="A1238" s="5" t="s">
        <v>1985</v>
      </c>
      <c r="B1238" s="2">
        <v>750.46</v>
      </c>
    </row>
    <row r="1239" spans="1:2" x14ac:dyDescent="0.3">
      <c r="A1239" s="5" t="s">
        <v>763</v>
      </c>
      <c r="B1239" s="2">
        <v>3059.98</v>
      </c>
    </row>
    <row r="1240" spans="1:2" x14ac:dyDescent="0.3">
      <c r="A1240" s="5" t="s">
        <v>445</v>
      </c>
      <c r="B1240" s="2">
        <v>3708.6</v>
      </c>
    </row>
    <row r="1241" spans="1:2" x14ac:dyDescent="0.3">
      <c r="A1241" s="5" t="s">
        <v>327</v>
      </c>
      <c r="B1241" s="2">
        <v>1590.4</v>
      </c>
    </row>
    <row r="1242" spans="1:2" x14ac:dyDescent="0.3">
      <c r="A1242" s="5" t="s">
        <v>1781</v>
      </c>
      <c r="B1242" s="2">
        <v>3829.7</v>
      </c>
    </row>
    <row r="1243" spans="1:2" x14ac:dyDescent="0.3">
      <c r="A1243" s="5" t="s">
        <v>1201</v>
      </c>
      <c r="B1243" s="2">
        <v>49.02</v>
      </c>
    </row>
    <row r="1244" spans="1:2" x14ac:dyDescent="0.3">
      <c r="A1244" s="5" t="s">
        <v>2747</v>
      </c>
      <c r="B1244" s="2">
        <v>115.82</v>
      </c>
    </row>
    <row r="1245" spans="1:2" x14ac:dyDescent="0.3">
      <c r="A1245" s="5" t="s">
        <v>1269</v>
      </c>
      <c r="B1245" s="2">
        <v>780.57</v>
      </c>
    </row>
    <row r="1246" spans="1:2" x14ac:dyDescent="0.3">
      <c r="A1246" s="5" t="s">
        <v>1027</v>
      </c>
      <c r="B1246" s="2">
        <v>1341.76</v>
      </c>
    </row>
    <row r="1247" spans="1:2" x14ac:dyDescent="0.3">
      <c r="A1247" s="5" t="s">
        <v>50</v>
      </c>
      <c r="B1247" s="2">
        <v>1594.92</v>
      </c>
    </row>
    <row r="1248" spans="1:2" x14ac:dyDescent="0.3">
      <c r="A1248" s="5" t="s">
        <v>1003</v>
      </c>
      <c r="B1248" s="2">
        <v>1296.5999999999999</v>
      </c>
    </row>
    <row r="1249" spans="1:2" x14ac:dyDescent="0.3">
      <c r="A1249" s="5" t="s">
        <v>2937</v>
      </c>
      <c r="B1249" s="2">
        <v>1613.35</v>
      </c>
    </row>
    <row r="1250" spans="1:2" x14ac:dyDescent="0.3">
      <c r="A1250" s="5" t="s">
        <v>56</v>
      </c>
      <c r="B1250" s="2">
        <v>2337.5500000000002</v>
      </c>
    </row>
    <row r="1251" spans="1:2" x14ac:dyDescent="0.3">
      <c r="A1251" s="5" t="s">
        <v>1119</v>
      </c>
      <c r="B1251" s="2">
        <v>4624.4799999999996</v>
      </c>
    </row>
    <row r="1252" spans="1:2" x14ac:dyDescent="0.3">
      <c r="A1252" s="5" t="s">
        <v>567</v>
      </c>
      <c r="B1252" s="2">
        <v>862.44</v>
      </c>
    </row>
    <row r="1253" spans="1:2" x14ac:dyDescent="0.3">
      <c r="A1253" s="5" t="s">
        <v>1847</v>
      </c>
      <c r="B1253" s="2">
        <v>3569.93</v>
      </c>
    </row>
    <row r="1254" spans="1:2" x14ac:dyDescent="0.3">
      <c r="A1254" s="5" t="s">
        <v>1215</v>
      </c>
      <c r="B1254" s="2">
        <v>713.79</v>
      </c>
    </row>
    <row r="1255" spans="1:2" x14ac:dyDescent="0.3">
      <c r="A1255" s="5" t="s">
        <v>469</v>
      </c>
      <c r="B1255" s="2">
        <v>2748.4</v>
      </c>
    </row>
    <row r="1256" spans="1:2" x14ac:dyDescent="0.3">
      <c r="A1256" s="5" t="s">
        <v>1835</v>
      </c>
      <c r="B1256" s="2">
        <v>2650.14</v>
      </c>
    </row>
    <row r="1257" spans="1:2" x14ac:dyDescent="0.3">
      <c r="A1257" s="5" t="s">
        <v>2221</v>
      </c>
      <c r="B1257" s="2">
        <v>600.52</v>
      </c>
    </row>
    <row r="1258" spans="1:2" x14ac:dyDescent="0.3">
      <c r="A1258" s="5" t="s">
        <v>1061</v>
      </c>
      <c r="B1258" s="2">
        <v>3651</v>
      </c>
    </row>
    <row r="1259" spans="1:2" x14ac:dyDescent="0.3">
      <c r="A1259" s="5" t="s">
        <v>2949</v>
      </c>
      <c r="B1259" s="2">
        <v>2883.7</v>
      </c>
    </row>
    <row r="1260" spans="1:2" x14ac:dyDescent="0.3">
      <c r="A1260" s="5" t="s">
        <v>579</v>
      </c>
      <c r="B1260" s="2">
        <v>31.08</v>
      </c>
    </row>
    <row r="1261" spans="1:2" x14ac:dyDescent="0.3">
      <c r="A1261" s="5" t="s">
        <v>2035</v>
      </c>
      <c r="B1261" s="2">
        <v>572.04999999999995</v>
      </c>
    </row>
    <row r="1262" spans="1:2" x14ac:dyDescent="0.3">
      <c r="A1262" s="5" t="s">
        <v>2803</v>
      </c>
      <c r="B1262" s="2">
        <v>126.6</v>
      </c>
    </row>
    <row r="1263" spans="1:2" x14ac:dyDescent="0.3">
      <c r="A1263" s="5" t="s">
        <v>1909</v>
      </c>
      <c r="B1263" s="2">
        <v>1349.95</v>
      </c>
    </row>
    <row r="1264" spans="1:2" x14ac:dyDescent="0.3">
      <c r="A1264" s="5" t="s">
        <v>887</v>
      </c>
      <c r="B1264" s="2">
        <v>3511.5</v>
      </c>
    </row>
    <row r="1265" spans="1:2" x14ac:dyDescent="0.3">
      <c r="A1265" s="5" t="s">
        <v>1731</v>
      </c>
      <c r="B1265" s="2">
        <v>441.82</v>
      </c>
    </row>
    <row r="1266" spans="1:2" x14ac:dyDescent="0.3">
      <c r="A1266" s="5" t="s">
        <v>1141</v>
      </c>
      <c r="B1266" s="2">
        <v>3638.55</v>
      </c>
    </row>
    <row r="1267" spans="1:2" x14ac:dyDescent="0.3">
      <c r="A1267" s="5" t="s">
        <v>2891</v>
      </c>
      <c r="B1267" s="2">
        <v>2819.25</v>
      </c>
    </row>
    <row r="1268" spans="1:2" x14ac:dyDescent="0.3">
      <c r="A1268" s="5" t="s">
        <v>2365</v>
      </c>
      <c r="B1268" s="2">
        <v>2278.8000000000002</v>
      </c>
    </row>
    <row r="1269" spans="1:2" x14ac:dyDescent="0.3">
      <c r="A1269" s="5" t="s">
        <v>569</v>
      </c>
      <c r="B1269" s="2">
        <v>622.78</v>
      </c>
    </row>
    <row r="1270" spans="1:2" x14ac:dyDescent="0.3">
      <c r="A1270" s="5" t="s">
        <v>2653</v>
      </c>
      <c r="B1270" s="2">
        <v>5535.39</v>
      </c>
    </row>
    <row r="1271" spans="1:2" x14ac:dyDescent="0.3">
      <c r="A1271" s="5" t="s">
        <v>407</v>
      </c>
      <c r="B1271" s="2">
        <v>660.13</v>
      </c>
    </row>
    <row r="1272" spans="1:2" x14ac:dyDescent="0.3">
      <c r="A1272" s="5" t="s">
        <v>1385</v>
      </c>
      <c r="B1272" s="2">
        <v>1351.52</v>
      </c>
    </row>
    <row r="1273" spans="1:2" x14ac:dyDescent="0.3">
      <c r="A1273" s="5" t="s">
        <v>301</v>
      </c>
      <c r="B1273" s="2">
        <v>2127.3000000000002</v>
      </c>
    </row>
    <row r="1274" spans="1:2" x14ac:dyDescent="0.3">
      <c r="A1274" s="5" t="s">
        <v>3065</v>
      </c>
      <c r="B1274" s="2">
        <v>1664.8</v>
      </c>
    </row>
    <row r="1275" spans="1:2" x14ac:dyDescent="0.3">
      <c r="A1275" s="5" t="s">
        <v>2925</v>
      </c>
      <c r="B1275" s="2">
        <v>565.32000000000005</v>
      </c>
    </row>
    <row r="1276" spans="1:2" x14ac:dyDescent="0.3">
      <c r="A1276" s="5" t="s">
        <v>1543</v>
      </c>
      <c r="B1276" s="2">
        <v>559.4</v>
      </c>
    </row>
    <row r="1277" spans="1:2" x14ac:dyDescent="0.3">
      <c r="A1277" s="5" t="s">
        <v>2935</v>
      </c>
      <c r="B1277" s="2">
        <v>3590.05</v>
      </c>
    </row>
    <row r="1278" spans="1:2" x14ac:dyDescent="0.3">
      <c r="A1278" s="5" t="s">
        <v>913</v>
      </c>
      <c r="B1278" s="2">
        <v>1416.7</v>
      </c>
    </row>
    <row r="1279" spans="1:2" x14ac:dyDescent="0.3">
      <c r="A1279" s="5" t="s">
        <v>2453</v>
      </c>
      <c r="B1279" s="2">
        <v>1980.72</v>
      </c>
    </row>
    <row r="1280" spans="1:2" x14ac:dyDescent="0.3">
      <c r="A1280" s="5" t="s">
        <v>2957</v>
      </c>
      <c r="B1280" s="2">
        <v>1122.1199999999999</v>
      </c>
    </row>
    <row r="1281" spans="1:2" x14ac:dyDescent="0.3">
      <c r="A1281" s="4" t="s">
        <v>25</v>
      </c>
      <c r="B1281" s="2">
        <v>441096.46999999991</v>
      </c>
    </row>
    <row r="1282" spans="1:2" x14ac:dyDescent="0.3">
      <c r="A1282" s="5" t="s">
        <v>551</v>
      </c>
      <c r="B1282" s="2">
        <v>2264.13</v>
      </c>
    </row>
    <row r="1283" spans="1:2" x14ac:dyDescent="0.3">
      <c r="A1283" s="5" t="s">
        <v>2827</v>
      </c>
      <c r="B1283" s="2">
        <v>2359.38</v>
      </c>
    </row>
    <row r="1284" spans="1:2" x14ac:dyDescent="0.3">
      <c r="A1284" s="5" t="s">
        <v>1547</v>
      </c>
      <c r="B1284" s="2">
        <v>1194.24</v>
      </c>
    </row>
    <row r="1285" spans="1:2" x14ac:dyDescent="0.3">
      <c r="A1285" s="5" t="s">
        <v>1679</v>
      </c>
      <c r="B1285" s="2">
        <v>1104.8800000000001</v>
      </c>
    </row>
    <row r="1286" spans="1:2" x14ac:dyDescent="0.3">
      <c r="A1286" s="5" t="s">
        <v>237</v>
      </c>
      <c r="B1286" s="2">
        <v>2005.64</v>
      </c>
    </row>
    <row r="1287" spans="1:2" x14ac:dyDescent="0.3">
      <c r="A1287" s="5" t="s">
        <v>2663</v>
      </c>
      <c r="B1287" s="2">
        <v>2866.64</v>
      </c>
    </row>
    <row r="1288" spans="1:2" x14ac:dyDescent="0.3">
      <c r="A1288" s="5" t="s">
        <v>1815</v>
      </c>
      <c r="B1288" s="2">
        <v>361.59</v>
      </c>
    </row>
    <row r="1289" spans="1:2" x14ac:dyDescent="0.3">
      <c r="A1289" s="5" t="s">
        <v>143</v>
      </c>
      <c r="B1289" s="2">
        <v>1379.3</v>
      </c>
    </row>
    <row r="1290" spans="1:2" x14ac:dyDescent="0.3">
      <c r="A1290" s="5" t="s">
        <v>1521</v>
      </c>
      <c r="B1290" s="2">
        <v>592.91999999999996</v>
      </c>
    </row>
    <row r="1291" spans="1:2" x14ac:dyDescent="0.3">
      <c r="A1291" s="5" t="s">
        <v>1615</v>
      </c>
      <c r="B1291" s="2">
        <v>2279.6</v>
      </c>
    </row>
    <row r="1292" spans="1:2" x14ac:dyDescent="0.3">
      <c r="A1292" s="5" t="s">
        <v>687</v>
      </c>
      <c r="B1292" s="2">
        <v>4587.84</v>
      </c>
    </row>
    <row r="1293" spans="1:2" x14ac:dyDescent="0.3">
      <c r="A1293" s="5" t="s">
        <v>1423</v>
      </c>
      <c r="B1293" s="2">
        <v>637.32000000000005</v>
      </c>
    </row>
    <row r="1294" spans="1:2" x14ac:dyDescent="0.3">
      <c r="A1294" s="5" t="s">
        <v>1785</v>
      </c>
      <c r="B1294" s="2">
        <v>70.98</v>
      </c>
    </row>
    <row r="1295" spans="1:2" x14ac:dyDescent="0.3">
      <c r="A1295" s="5" t="s">
        <v>171</v>
      </c>
      <c r="B1295" s="2">
        <v>1556.86</v>
      </c>
    </row>
    <row r="1296" spans="1:2" x14ac:dyDescent="0.3">
      <c r="A1296" s="5" t="s">
        <v>405</v>
      </c>
      <c r="B1296" s="2">
        <v>3257.95</v>
      </c>
    </row>
    <row r="1297" spans="1:2" x14ac:dyDescent="0.3">
      <c r="A1297" s="5" t="s">
        <v>2011</v>
      </c>
      <c r="B1297" s="2">
        <v>258.12</v>
      </c>
    </row>
    <row r="1298" spans="1:2" x14ac:dyDescent="0.3">
      <c r="A1298" s="5" t="s">
        <v>2481</v>
      </c>
      <c r="B1298" s="2">
        <v>1478.4</v>
      </c>
    </row>
    <row r="1299" spans="1:2" x14ac:dyDescent="0.3">
      <c r="A1299" s="5" t="s">
        <v>1019</v>
      </c>
      <c r="B1299" s="2">
        <v>1141.5</v>
      </c>
    </row>
    <row r="1300" spans="1:2" x14ac:dyDescent="0.3">
      <c r="A1300" s="5" t="s">
        <v>1433</v>
      </c>
      <c r="B1300" s="2">
        <v>425.22</v>
      </c>
    </row>
    <row r="1301" spans="1:2" x14ac:dyDescent="0.3">
      <c r="A1301" s="5" t="s">
        <v>2131</v>
      </c>
      <c r="B1301" s="2">
        <v>4171.5200000000004</v>
      </c>
    </row>
    <row r="1302" spans="1:2" x14ac:dyDescent="0.3">
      <c r="A1302" s="5" t="s">
        <v>1697</v>
      </c>
      <c r="B1302" s="2">
        <v>3480.06</v>
      </c>
    </row>
    <row r="1303" spans="1:2" x14ac:dyDescent="0.3">
      <c r="A1303" s="5" t="s">
        <v>201</v>
      </c>
      <c r="B1303" s="2">
        <v>3947.58</v>
      </c>
    </row>
    <row r="1304" spans="1:2" x14ac:dyDescent="0.3">
      <c r="A1304" s="5" t="s">
        <v>1595</v>
      </c>
      <c r="B1304" s="2">
        <v>3069.2</v>
      </c>
    </row>
    <row r="1305" spans="1:2" x14ac:dyDescent="0.3">
      <c r="A1305" s="5" t="s">
        <v>245</v>
      </c>
      <c r="B1305" s="2">
        <v>728.13</v>
      </c>
    </row>
    <row r="1306" spans="1:2" x14ac:dyDescent="0.3">
      <c r="A1306" s="5" t="s">
        <v>2041</v>
      </c>
      <c r="B1306" s="2">
        <v>2570.33</v>
      </c>
    </row>
    <row r="1307" spans="1:2" x14ac:dyDescent="0.3">
      <c r="A1307" s="5" t="s">
        <v>2493</v>
      </c>
      <c r="B1307" s="2">
        <v>852.64</v>
      </c>
    </row>
    <row r="1308" spans="1:2" x14ac:dyDescent="0.3">
      <c r="A1308" s="5" t="s">
        <v>1407</v>
      </c>
      <c r="B1308" s="2">
        <v>1796.68</v>
      </c>
    </row>
    <row r="1309" spans="1:2" x14ac:dyDescent="0.3">
      <c r="A1309" s="5" t="s">
        <v>2929</v>
      </c>
      <c r="B1309" s="2">
        <v>1610.32</v>
      </c>
    </row>
    <row r="1310" spans="1:2" x14ac:dyDescent="0.3">
      <c r="A1310" s="5" t="s">
        <v>2415</v>
      </c>
      <c r="B1310" s="2">
        <v>717.94</v>
      </c>
    </row>
    <row r="1311" spans="1:2" x14ac:dyDescent="0.3">
      <c r="A1311" s="5" t="s">
        <v>2769</v>
      </c>
      <c r="B1311" s="2">
        <v>729.26</v>
      </c>
    </row>
    <row r="1312" spans="1:2" x14ac:dyDescent="0.3">
      <c r="A1312" s="5" t="s">
        <v>609</v>
      </c>
      <c r="B1312" s="2">
        <v>1537.08</v>
      </c>
    </row>
    <row r="1313" spans="1:2" x14ac:dyDescent="0.3">
      <c r="A1313" s="5" t="s">
        <v>1941</v>
      </c>
      <c r="B1313" s="2">
        <v>2065.44</v>
      </c>
    </row>
    <row r="1314" spans="1:2" x14ac:dyDescent="0.3">
      <c r="A1314" s="5" t="s">
        <v>2531</v>
      </c>
      <c r="B1314" s="2">
        <v>1791.68</v>
      </c>
    </row>
    <row r="1315" spans="1:2" x14ac:dyDescent="0.3">
      <c r="A1315" s="5" t="s">
        <v>831</v>
      </c>
      <c r="B1315" s="2">
        <v>414.6</v>
      </c>
    </row>
    <row r="1316" spans="1:2" x14ac:dyDescent="0.3">
      <c r="A1316" s="5" t="s">
        <v>865</v>
      </c>
      <c r="B1316" s="2">
        <v>2303.2199999999998</v>
      </c>
    </row>
    <row r="1317" spans="1:2" x14ac:dyDescent="0.3">
      <c r="A1317" s="5" t="s">
        <v>3167</v>
      </c>
      <c r="B1317" s="2">
        <v>560</v>
      </c>
    </row>
    <row r="1318" spans="1:2" x14ac:dyDescent="0.3">
      <c r="A1318" s="5" t="s">
        <v>625</v>
      </c>
      <c r="B1318" s="2">
        <v>559.53</v>
      </c>
    </row>
    <row r="1319" spans="1:2" x14ac:dyDescent="0.3">
      <c r="A1319" s="5" t="s">
        <v>403</v>
      </c>
      <c r="B1319" s="2">
        <v>3148.53</v>
      </c>
    </row>
    <row r="1320" spans="1:2" x14ac:dyDescent="0.3">
      <c r="A1320" s="5" t="s">
        <v>483</v>
      </c>
      <c r="B1320" s="2">
        <v>2720</v>
      </c>
    </row>
    <row r="1321" spans="1:2" x14ac:dyDescent="0.3">
      <c r="A1321" s="5" t="s">
        <v>2385</v>
      </c>
      <c r="B1321" s="2">
        <v>3260.8</v>
      </c>
    </row>
    <row r="1322" spans="1:2" x14ac:dyDescent="0.3">
      <c r="A1322" s="5" t="s">
        <v>2869</v>
      </c>
      <c r="B1322" s="2">
        <v>2268.3000000000002</v>
      </c>
    </row>
    <row r="1323" spans="1:2" x14ac:dyDescent="0.3">
      <c r="A1323" s="5" t="s">
        <v>135</v>
      </c>
      <c r="B1323" s="2">
        <v>2662.2</v>
      </c>
    </row>
    <row r="1324" spans="1:2" x14ac:dyDescent="0.3">
      <c r="A1324" s="5" t="s">
        <v>2585</v>
      </c>
      <c r="B1324" s="2">
        <v>52.91</v>
      </c>
    </row>
    <row r="1325" spans="1:2" x14ac:dyDescent="0.3">
      <c r="A1325" s="5" t="s">
        <v>333</v>
      </c>
      <c r="B1325" s="2">
        <v>36.119999999999997</v>
      </c>
    </row>
    <row r="1326" spans="1:2" x14ac:dyDescent="0.3">
      <c r="A1326" s="5" t="s">
        <v>137</v>
      </c>
      <c r="B1326" s="2">
        <v>551.09</v>
      </c>
    </row>
    <row r="1327" spans="1:2" x14ac:dyDescent="0.3">
      <c r="A1327" s="5" t="s">
        <v>2733</v>
      </c>
      <c r="B1327" s="2">
        <v>2849.7</v>
      </c>
    </row>
    <row r="1328" spans="1:2" x14ac:dyDescent="0.3">
      <c r="A1328" s="5" t="s">
        <v>779</v>
      </c>
      <c r="B1328" s="2">
        <v>3380.79</v>
      </c>
    </row>
    <row r="1329" spans="1:2" x14ac:dyDescent="0.3">
      <c r="A1329" s="5" t="s">
        <v>3109</v>
      </c>
      <c r="B1329" s="2">
        <v>558.24</v>
      </c>
    </row>
    <row r="1330" spans="1:2" x14ac:dyDescent="0.3">
      <c r="A1330" s="5" t="s">
        <v>2875</v>
      </c>
      <c r="B1330" s="2">
        <v>1600.11</v>
      </c>
    </row>
    <row r="1331" spans="1:2" x14ac:dyDescent="0.3">
      <c r="A1331" s="5" t="s">
        <v>1285</v>
      </c>
      <c r="B1331" s="2">
        <v>403.4</v>
      </c>
    </row>
    <row r="1332" spans="1:2" x14ac:dyDescent="0.3">
      <c r="A1332" s="5" t="s">
        <v>1881</v>
      </c>
      <c r="B1332" s="2">
        <v>1099.02</v>
      </c>
    </row>
    <row r="1333" spans="1:2" x14ac:dyDescent="0.3">
      <c r="A1333" s="5" t="s">
        <v>2357</v>
      </c>
      <c r="B1333" s="2">
        <v>2481.71</v>
      </c>
    </row>
    <row r="1334" spans="1:2" x14ac:dyDescent="0.3">
      <c r="A1334" s="5" t="s">
        <v>2207</v>
      </c>
      <c r="B1334" s="2">
        <v>3983.45</v>
      </c>
    </row>
    <row r="1335" spans="1:2" x14ac:dyDescent="0.3">
      <c r="A1335" s="5" t="s">
        <v>973</v>
      </c>
      <c r="B1335" s="2">
        <v>2134.44</v>
      </c>
    </row>
    <row r="1336" spans="1:2" x14ac:dyDescent="0.3">
      <c r="A1336" s="5" t="s">
        <v>1787</v>
      </c>
      <c r="B1336" s="2">
        <v>1792.12</v>
      </c>
    </row>
    <row r="1337" spans="1:2" x14ac:dyDescent="0.3">
      <c r="A1337" s="5" t="s">
        <v>24</v>
      </c>
      <c r="B1337" s="2">
        <v>1525.89</v>
      </c>
    </row>
    <row r="1338" spans="1:2" x14ac:dyDescent="0.3">
      <c r="A1338" s="5" t="s">
        <v>1897</v>
      </c>
      <c r="B1338" s="2">
        <v>1289.7</v>
      </c>
    </row>
    <row r="1339" spans="1:2" x14ac:dyDescent="0.3">
      <c r="A1339" s="5" t="s">
        <v>2593</v>
      </c>
      <c r="B1339" s="2">
        <v>1046.76</v>
      </c>
    </row>
    <row r="1340" spans="1:2" x14ac:dyDescent="0.3">
      <c r="A1340" s="5" t="s">
        <v>141</v>
      </c>
      <c r="B1340" s="2">
        <v>4403.22</v>
      </c>
    </row>
    <row r="1341" spans="1:2" x14ac:dyDescent="0.3">
      <c r="A1341" s="5" t="s">
        <v>2451</v>
      </c>
      <c r="B1341" s="2">
        <v>2814</v>
      </c>
    </row>
    <row r="1342" spans="1:2" x14ac:dyDescent="0.3">
      <c r="A1342" s="5" t="s">
        <v>291</v>
      </c>
      <c r="B1342" s="2">
        <v>5522.3</v>
      </c>
    </row>
    <row r="1343" spans="1:2" x14ac:dyDescent="0.3">
      <c r="A1343" s="5" t="s">
        <v>289</v>
      </c>
      <c r="B1343" s="2">
        <v>359.42</v>
      </c>
    </row>
    <row r="1344" spans="1:2" x14ac:dyDescent="0.3">
      <c r="A1344" s="5" t="s">
        <v>1929</v>
      </c>
      <c r="B1344" s="2">
        <v>1479.45</v>
      </c>
    </row>
    <row r="1345" spans="1:2" x14ac:dyDescent="0.3">
      <c r="A1345" s="5" t="s">
        <v>975</v>
      </c>
      <c r="B1345" s="2">
        <v>1163.2</v>
      </c>
    </row>
    <row r="1346" spans="1:2" x14ac:dyDescent="0.3">
      <c r="A1346" s="5" t="s">
        <v>3009</v>
      </c>
      <c r="B1346" s="2">
        <v>2299.04</v>
      </c>
    </row>
    <row r="1347" spans="1:2" x14ac:dyDescent="0.3">
      <c r="A1347" s="5" t="s">
        <v>3267</v>
      </c>
      <c r="B1347" s="2">
        <v>4707.12</v>
      </c>
    </row>
    <row r="1348" spans="1:2" x14ac:dyDescent="0.3">
      <c r="A1348" s="5" t="s">
        <v>843</v>
      </c>
      <c r="B1348" s="2">
        <v>1096.83</v>
      </c>
    </row>
    <row r="1349" spans="1:2" x14ac:dyDescent="0.3">
      <c r="A1349" s="5" t="s">
        <v>1437</v>
      </c>
      <c r="B1349" s="2">
        <v>4114.9799999999996</v>
      </c>
    </row>
    <row r="1350" spans="1:2" x14ac:dyDescent="0.3">
      <c r="A1350" s="5" t="s">
        <v>1255</v>
      </c>
      <c r="B1350" s="2">
        <v>745</v>
      </c>
    </row>
    <row r="1351" spans="1:2" x14ac:dyDescent="0.3">
      <c r="A1351" s="5" t="s">
        <v>1379</v>
      </c>
      <c r="B1351" s="2">
        <v>89.84</v>
      </c>
    </row>
    <row r="1352" spans="1:2" x14ac:dyDescent="0.3">
      <c r="A1352" s="5" t="s">
        <v>2201</v>
      </c>
      <c r="B1352" s="2">
        <v>458.55</v>
      </c>
    </row>
    <row r="1353" spans="1:2" x14ac:dyDescent="0.3">
      <c r="A1353" s="5" t="s">
        <v>1325</v>
      </c>
      <c r="B1353" s="2">
        <v>614.88</v>
      </c>
    </row>
    <row r="1354" spans="1:2" x14ac:dyDescent="0.3">
      <c r="A1354" s="5" t="s">
        <v>1415</v>
      </c>
      <c r="B1354" s="2">
        <v>113.78</v>
      </c>
    </row>
    <row r="1355" spans="1:2" x14ac:dyDescent="0.3">
      <c r="A1355" s="5" t="s">
        <v>1229</v>
      </c>
      <c r="B1355" s="2">
        <v>3163.68</v>
      </c>
    </row>
    <row r="1356" spans="1:2" x14ac:dyDescent="0.3">
      <c r="A1356" s="5" t="s">
        <v>683</v>
      </c>
      <c r="B1356" s="2">
        <v>164.4</v>
      </c>
    </row>
    <row r="1357" spans="1:2" x14ac:dyDescent="0.3">
      <c r="A1357" s="5" t="s">
        <v>1751</v>
      </c>
      <c r="B1357" s="2">
        <v>1472.45</v>
      </c>
    </row>
    <row r="1358" spans="1:2" x14ac:dyDescent="0.3">
      <c r="A1358" s="5" t="s">
        <v>3045</v>
      </c>
      <c r="B1358" s="2">
        <v>698.19</v>
      </c>
    </row>
    <row r="1359" spans="1:2" x14ac:dyDescent="0.3">
      <c r="A1359" s="5" t="s">
        <v>1653</v>
      </c>
      <c r="B1359" s="2">
        <v>483.84</v>
      </c>
    </row>
    <row r="1360" spans="1:2" x14ac:dyDescent="0.3">
      <c r="A1360" s="5" t="s">
        <v>1939</v>
      </c>
      <c r="B1360" s="2">
        <v>2676.2</v>
      </c>
    </row>
    <row r="1361" spans="1:2" x14ac:dyDescent="0.3">
      <c r="A1361" s="5" t="s">
        <v>1421</v>
      </c>
      <c r="B1361" s="2">
        <v>314.94</v>
      </c>
    </row>
    <row r="1362" spans="1:2" x14ac:dyDescent="0.3">
      <c r="A1362" s="5" t="s">
        <v>149</v>
      </c>
      <c r="B1362" s="2">
        <v>5002.2700000000004</v>
      </c>
    </row>
    <row r="1363" spans="1:2" x14ac:dyDescent="0.3">
      <c r="A1363" s="5" t="s">
        <v>371</v>
      </c>
      <c r="B1363" s="2">
        <v>367.44</v>
      </c>
    </row>
    <row r="1364" spans="1:2" x14ac:dyDescent="0.3">
      <c r="A1364" s="5" t="s">
        <v>523</v>
      </c>
      <c r="B1364" s="2">
        <v>394.96</v>
      </c>
    </row>
    <row r="1365" spans="1:2" x14ac:dyDescent="0.3">
      <c r="A1365" s="5" t="s">
        <v>3209</v>
      </c>
      <c r="B1365" s="2">
        <v>1013.68</v>
      </c>
    </row>
    <row r="1366" spans="1:2" x14ac:dyDescent="0.3">
      <c r="A1366" s="5" t="s">
        <v>933</v>
      </c>
      <c r="B1366" s="2">
        <v>1180.44</v>
      </c>
    </row>
    <row r="1367" spans="1:2" x14ac:dyDescent="0.3">
      <c r="A1367" s="5" t="s">
        <v>817</v>
      </c>
      <c r="B1367" s="2">
        <v>1735.2</v>
      </c>
    </row>
    <row r="1368" spans="1:2" x14ac:dyDescent="0.3">
      <c r="A1368" s="5" t="s">
        <v>2245</v>
      </c>
      <c r="B1368" s="2">
        <v>2966.04</v>
      </c>
    </row>
    <row r="1369" spans="1:2" x14ac:dyDescent="0.3">
      <c r="A1369" s="5" t="s">
        <v>1005</v>
      </c>
      <c r="B1369" s="2">
        <v>3107.23</v>
      </c>
    </row>
    <row r="1370" spans="1:2" x14ac:dyDescent="0.3">
      <c r="A1370" s="5" t="s">
        <v>3247</v>
      </c>
      <c r="B1370" s="2">
        <v>1754.96</v>
      </c>
    </row>
    <row r="1371" spans="1:2" x14ac:dyDescent="0.3">
      <c r="A1371" s="5" t="s">
        <v>2855</v>
      </c>
      <c r="B1371" s="2">
        <v>1298.8499999999999</v>
      </c>
    </row>
    <row r="1372" spans="1:2" x14ac:dyDescent="0.3">
      <c r="A1372" s="5" t="s">
        <v>719</v>
      </c>
      <c r="B1372" s="2">
        <v>3585.47</v>
      </c>
    </row>
    <row r="1373" spans="1:2" x14ac:dyDescent="0.3">
      <c r="A1373" s="5" t="s">
        <v>1853</v>
      </c>
      <c r="B1373" s="2">
        <v>365.4</v>
      </c>
    </row>
    <row r="1374" spans="1:2" x14ac:dyDescent="0.3">
      <c r="A1374" s="5" t="s">
        <v>2027</v>
      </c>
      <c r="B1374" s="2">
        <v>2687.16</v>
      </c>
    </row>
    <row r="1375" spans="1:2" x14ac:dyDescent="0.3">
      <c r="A1375" s="5" t="s">
        <v>2271</v>
      </c>
      <c r="B1375" s="2">
        <v>428.52</v>
      </c>
    </row>
    <row r="1376" spans="1:2" x14ac:dyDescent="0.3">
      <c r="A1376" s="5" t="s">
        <v>127</v>
      </c>
      <c r="B1376" s="2">
        <v>309.92</v>
      </c>
    </row>
    <row r="1377" spans="1:2" x14ac:dyDescent="0.3">
      <c r="A1377" s="5" t="s">
        <v>1449</v>
      </c>
      <c r="B1377" s="2">
        <v>2287.35</v>
      </c>
    </row>
    <row r="1378" spans="1:2" x14ac:dyDescent="0.3">
      <c r="A1378" s="5" t="s">
        <v>565</v>
      </c>
      <c r="B1378" s="2">
        <v>2631.92</v>
      </c>
    </row>
    <row r="1379" spans="1:2" x14ac:dyDescent="0.3">
      <c r="A1379" s="5" t="s">
        <v>1593</v>
      </c>
      <c r="B1379" s="2">
        <v>836.19</v>
      </c>
    </row>
    <row r="1380" spans="1:2" x14ac:dyDescent="0.3">
      <c r="A1380" s="5" t="s">
        <v>283</v>
      </c>
      <c r="B1380" s="2">
        <v>750.48</v>
      </c>
    </row>
    <row r="1381" spans="1:2" x14ac:dyDescent="0.3">
      <c r="A1381" s="5" t="s">
        <v>1531</v>
      </c>
      <c r="B1381" s="2">
        <v>3106.96</v>
      </c>
    </row>
    <row r="1382" spans="1:2" x14ac:dyDescent="0.3">
      <c r="A1382" s="5" t="s">
        <v>2007</v>
      </c>
      <c r="B1382" s="2">
        <v>3038</v>
      </c>
    </row>
    <row r="1383" spans="1:2" x14ac:dyDescent="0.3">
      <c r="A1383" s="5" t="s">
        <v>2409</v>
      </c>
      <c r="B1383" s="2">
        <v>4316.97</v>
      </c>
    </row>
    <row r="1384" spans="1:2" x14ac:dyDescent="0.3">
      <c r="A1384" s="5" t="s">
        <v>707</v>
      </c>
      <c r="B1384" s="2">
        <v>813.78</v>
      </c>
    </row>
    <row r="1385" spans="1:2" x14ac:dyDescent="0.3">
      <c r="A1385" s="5" t="s">
        <v>253</v>
      </c>
      <c r="B1385" s="2">
        <v>748.55</v>
      </c>
    </row>
    <row r="1386" spans="1:2" x14ac:dyDescent="0.3">
      <c r="A1386" s="5" t="s">
        <v>2383</v>
      </c>
      <c r="B1386" s="2">
        <v>2125.6799999999998</v>
      </c>
    </row>
    <row r="1387" spans="1:2" x14ac:dyDescent="0.3">
      <c r="A1387" s="5" t="s">
        <v>1043</v>
      </c>
      <c r="B1387" s="2">
        <v>1999.13</v>
      </c>
    </row>
    <row r="1388" spans="1:2" x14ac:dyDescent="0.3">
      <c r="A1388" s="5" t="s">
        <v>2195</v>
      </c>
      <c r="B1388" s="2">
        <v>2912.76</v>
      </c>
    </row>
    <row r="1389" spans="1:2" x14ac:dyDescent="0.3">
      <c r="A1389" s="5" t="s">
        <v>1081</v>
      </c>
      <c r="B1389" s="2">
        <v>4134.16</v>
      </c>
    </row>
    <row r="1390" spans="1:2" x14ac:dyDescent="0.3">
      <c r="A1390" s="5" t="s">
        <v>1343</v>
      </c>
      <c r="B1390" s="2">
        <v>1182.94</v>
      </c>
    </row>
    <row r="1391" spans="1:2" x14ac:dyDescent="0.3">
      <c r="A1391" s="5" t="s">
        <v>331</v>
      </c>
      <c r="B1391" s="2">
        <v>2844.24</v>
      </c>
    </row>
    <row r="1392" spans="1:2" x14ac:dyDescent="0.3">
      <c r="A1392" s="5" t="s">
        <v>313</v>
      </c>
      <c r="B1392" s="2">
        <v>1469.68</v>
      </c>
    </row>
    <row r="1393" spans="1:2" x14ac:dyDescent="0.3">
      <c r="A1393" s="5" t="s">
        <v>311</v>
      </c>
      <c r="B1393" s="2">
        <v>5513.68</v>
      </c>
    </row>
    <row r="1394" spans="1:2" x14ac:dyDescent="0.3">
      <c r="A1394" s="5" t="s">
        <v>1395</v>
      </c>
      <c r="B1394" s="2">
        <v>2874.36</v>
      </c>
    </row>
    <row r="1395" spans="1:2" x14ac:dyDescent="0.3">
      <c r="A1395" s="5" t="s">
        <v>1085</v>
      </c>
      <c r="B1395" s="2">
        <v>1042.24</v>
      </c>
    </row>
    <row r="1396" spans="1:2" x14ac:dyDescent="0.3">
      <c r="A1396" s="5" t="s">
        <v>663</v>
      </c>
      <c r="B1396" s="2">
        <v>591.75</v>
      </c>
    </row>
    <row r="1397" spans="1:2" x14ac:dyDescent="0.3">
      <c r="A1397" s="5" t="s">
        <v>2173</v>
      </c>
      <c r="B1397" s="2">
        <v>3450.72</v>
      </c>
    </row>
    <row r="1398" spans="1:2" x14ac:dyDescent="0.3">
      <c r="A1398" s="5" t="s">
        <v>2293</v>
      </c>
      <c r="B1398" s="2">
        <v>26.92</v>
      </c>
    </row>
    <row r="1399" spans="1:2" x14ac:dyDescent="0.3">
      <c r="A1399" s="5" t="s">
        <v>2577</v>
      </c>
      <c r="B1399" s="2">
        <v>2422.35</v>
      </c>
    </row>
    <row r="1400" spans="1:2" x14ac:dyDescent="0.3">
      <c r="A1400" s="5" t="s">
        <v>155</v>
      </c>
      <c r="B1400" s="2">
        <v>756.38</v>
      </c>
    </row>
    <row r="1401" spans="1:2" x14ac:dyDescent="0.3">
      <c r="A1401" s="5" t="s">
        <v>971</v>
      </c>
      <c r="B1401" s="2">
        <v>376.02</v>
      </c>
    </row>
    <row r="1402" spans="1:2" x14ac:dyDescent="0.3">
      <c r="A1402" s="5" t="s">
        <v>3077</v>
      </c>
      <c r="B1402" s="2">
        <v>3207.85</v>
      </c>
    </row>
    <row r="1403" spans="1:2" x14ac:dyDescent="0.3">
      <c r="A1403" s="5" t="s">
        <v>1107</v>
      </c>
      <c r="B1403" s="2">
        <v>2025.78</v>
      </c>
    </row>
    <row r="1404" spans="1:2" x14ac:dyDescent="0.3">
      <c r="A1404" s="5" t="s">
        <v>193</v>
      </c>
      <c r="B1404" s="2">
        <v>1138.8900000000001</v>
      </c>
    </row>
    <row r="1405" spans="1:2" x14ac:dyDescent="0.3">
      <c r="A1405" s="5" t="s">
        <v>821</v>
      </c>
      <c r="B1405" s="2">
        <v>4242.3999999999996</v>
      </c>
    </row>
    <row r="1406" spans="1:2" x14ac:dyDescent="0.3">
      <c r="A1406" s="5" t="s">
        <v>247</v>
      </c>
      <c r="B1406" s="2">
        <v>1409.46</v>
      </c>
    </row>
    <row r="1407" spans="1:2" x14ac:dyDescent="0.3">
      <c r="A1407" s="5" t="s">
        <v>705</v>
      </c>
      <c r="B1407" s="2">
        <v>585.9</v>
      </c>
    </row>
    <row r="1408" spans="1:2" x14ac:dyDescent="0.3">
      <c r="A1408" s="5" t="s">
        <v>1403</v>
      </c>
      <c r="B1408" s="2">
        <v>588.28</v>
      </c>
    </row>
    <row r="1409" spans="1:2" x14ac:dyDescent="0.3">
      <c r="A1409" s="5" t="s">
        <v>2931</v>
      </c>
      <c r="B1409" s="2">
        <v>475.45</v>
      </c>
    </row>
    <row r="1410" spans="1:2" x14ac:dyDescent="0.3">
      <c r="A1410" s="5" t="s">
        <v>2899</v>
      </c>
      <c r="B1410" s="2">
        <v>867.78</v>
      </c>
    </row>
    <row r="1411" spans="1:2" x14ac:dyDescent="0.3">
      <c r="A1411" s="5" t="s">
        <v>1663</v>
      </c>
      <c r="B1411" s="2">
        <v>697.56</v>
      </c>
    </row>
    <row r="1412" spans="1:2" x14ac:dyDescent="0.3">
      <c r="A1412" s="5" t="s">
        <v>3207</v>
      </c>
      <c r="B1412" s="2">
        <v>6389.12</v>
      </c>
    </row>
    <row r="1413" spans="1:2" x14ac:dyDescent="0.3">
      <c r="A1413" s="5" t="s">
        <v>223</v>
      </c>
      <c r="B1413" s="2">
        <v>3210.56</v>
      </c>
    </row>
    <row r="1414" spans="1:2" x14ac:dyDescent="0.3">
      <c r="A1414" s="5" t="s">
        <v>1993</v>
      </c>
      <c r="B1414" s="2">
        <v>698.8</v>
      </c>
    </row>
    <row r="1415" spans="1:2" x14ac:dyDescent="0.3">
      <c r="A1415" s="5" t="s">
        <v>2489</v>
      </c>
      <c r="B1415" s="2">
        <v>291.97000000000003</v>
      </c>
    </row>
    <row r="1416" spans="1:2" x14ac:dyDescent="0.3">
      <c r="A1416" s="5" t="s">
        <v>3033</v>
      </c>
      <c r="B1416" s="2">
        <v>2479.4</v>
      </c>
    </row>
    <row r="1417" spans="1:2" x14ac:dyDescent="0.3">
      <c r="A1417" s="5" t="s">
        <v>1247</v>
      </c>
      <c r="B1417" s="2">
        <v>660</v>
      </c>
    </row>
    <row r="1418" spans="1:2" x14ac:dyDescent="0.3">
      <c r="A1418" s="5" t="s">
        <v>1015</v>
      </c>
      <c r="B1418" s="2">
        <v>31.26</v>
      </c>
    </row>
    <row r="1419" spans="1:2" x14ac:dyDescent="0.3">
      <c r="A1419" s="5" t="s">
        <v>1023</v>
      </c>
      <c r="B1419" s="2">
        <v>4394.96</v>
      </c>
    </row>
    <row r="1420" spans="1:2" x14ac:dyDescent="0.3">
      <c r="A1420" s="5" t="s">
        <v>881</v>
      </c>
      <c r="B1420" s="2">
        <v>264.93</v>
      </c>
    </row>
    <row r="1421" spans="1:2" x14ac:dyDescent="0.3">
      <c r="A1421" s="5" t="s">
        <v>747</v>
      </c>
      <c r="B1421" s="2">
        <v>1983.04</v>
      </c>
    </row>
    <row r="1422" spans="1:2" x14ac:dyDescent="0.3">
      <c r="A1422" s="5" t="s">
        <v>805</v>
      </c>
      <c r="B1422" s="2">
        <v>3977.68</v>
      </c>
    </row>
    <row r="1423" spans="1:2" x14ac:dyDescent="0.3">
      <c r="A1423" s="5" t="s">
        <v>431</v>
      </c>
      <c r="B1423" s="2">
        <v>1449.33</v>
      </c>
    </row>
    <row r="1424" spans="1:2" x14ac:dyDescent="0.3">
      <c r="A1424" s="5" t="s">
        <v>1459</v>
      </c>
      <c r="B1424" s="2">
        <v>52.44</v>
      </c>
    </row>
    <row r="1425" spans="1:2" x14ac:dyDescent="0.3">
      <c r="A1425" s="5" t="s">
        <v>2255</v>
      </c>
      <c r="B1425" s="2">
        <v>2608.6</v>
      </c>
    </row>
    <row r="1426" spans="1:2" x14ac:dyDescent="0.3">
      <c r="A1426" s="5" t="s">
        <v>3225</v>
      </c>
      <c r="B1426" s="2">
        <v>1835.04</v>
      </c>
    </row>
    <row r="1427" spans="1:2" x14ac:dyDescent="0.3">
      <c r="A1427" s="5" t="s">
        <v>139</v>
      </c>
      <c r="B1427" s="2">
        <v>2588.6999999999998</v>
      </c>
    </row>
    <row r="1428" spans="1:2" x14ac:dyDescent="0.3">
      <c r="A1428" s="5" t="s">
        <v>1341</v>
      </c>
      <c r="B1428" s="2">
        <v>110.05</v>
      </c>
    </row>
    <row r="1429" spans="1:2" x14ac:dyDescent="0.3">
      <c r="A1429" s="5" t="s">
        <v>1427</v>
      </c>
      <c r="B1429" s="2">
        <v>3357.21</v>
      </c>
    </row>
    <row r="1430" spans="1:2" x14ac:dyDescent="0.3">
      <c r="A1430" s="5" t="s">
        <v>2675</v>
      </c>
      <c r="B1430" s="2">
        <v>4066.93</v>
      </c>
    </row>
    <row r="1431" spans="1:2" x14ac:dyDescent="0.3">
      <c r="A1431" s="5" t="s">
        <v>753</v>
      </c>
      <c r="B1431" s="2">
        <v>1512.5</v>
      </c>
    </row>
    <row r="1432" spans="1:2" x14ac:dyDescent="0.3">
      <c r="A1432" s="5" t="s">
        <v>199</v>
      </c>
      <c r="B1432" s="2">
        <v>693.07</v>
      </c>
    </row>
    <row r="1433" spans="1:2" x14ac:dyDescent="0.3">
      <c r="A1433" s="5" t="s">
        <v>1055</v>
      </c>
      <c r="B1433" s="2">
        <v>12.7</v>
      </c>
    </row>
    <row r="1434" spans="1:2" x14ac:dyDescent="0.3">
      <c r="A1434" s="5" t="s">
        <v>793</v>
      </c>
      <c r="B1434" s="2">
        <v>2647.64</v>
      </c>
    </row>
    <row r="1435" spans="1:2" x14ac:dyDescent="0.3">
      <c r="A1435" s="5" t="s">
        <v>791</v>
      </c>
      <c r="B1435" s="2">
        <v>530.29</v>
      </c>
    </row>
    <row r="1436" spans="1:2" x14ac:dyDescent="0.3">
      <c r="A1436" s="5" t="s">
        <v>1571</v>
      </c>
      <c r="B1436" s="2">
        <v>2031.54</v>
      </c>
    </row>
    <row r="1437" spans="1:2" x14ac:dyDescent="0.3">
      <c r="A1437" s="5" t="s">
        <v>351</v>
      </c>
      <c r="B1437" s="2">
        <v>3513.68</v>
      </c>
    </row>
    <row r="1438" spans="1:2" x14ac:dyDescent="0.3">
      <c r="A1438" s="5" t="s">
        <v>421</v>
      </c>
      <c r="B1438" s="2">
        <v>722.4</v>
      </c>
    </row>
    <row r="1439" spans="1:2" x14ac:dyDescent="0.3">
      <c r="A1439" s="5" t="s">
        <v>2279</v>
      </c>
      <c r="B1439" s="2">
        <v>906.9</v>
      </c>
    </row>
    <row r="1440" spans="1:2" x14ac:dyDescent="0.3">
      <c r="A1440" s="5" t="s">
        <v>73</v>
      </c>
      <c r="B1440" s="2">
        <v>296.24</v>
      </c>
    </row>
    <row r="1441" spans="1:2" x14ac:dyDescent="0.3">
      <c r="A1441" s="5" t="s">
        <v>3275</v>
      </c>
      <c r="B1441" s="2">
        <v>891.8</v>
      </c>
    </row>
    <row r="1442" spans="1:2" x14ac:dyDescent="0.3">
      <c r="A1442" s="5" t="s">
        <v>2915</v>
      </c>
      <c r="B1442" s="2">
        <v>916.3</v>
      </c>
    </row>
    <row r="1443" spans="1:2" x14ac:dyDescent="0.3">
      <c r="A1443" s="5" t="s">
        <v>949</v>
      </c>
      <c r="B1443" s="2">
        <v>4442.22</v>
      </c>
    </row>
    <row r="1444" spans="1:2" x14ac:dyDescent="0.3">
      <c r="A1444" s="5" t="s">
        <v>295</v>
      </c>
      <c r="B1444" s="2">
        <v>657.44</v>
      </c>
    </row>
    <row r="1445" spans="1:2" x14ac:dyDescent="0.3">
      <c r="A1445" s="5" t="s">
        <v>961</v>
      </c>
      <c r="B1445" s="2">
        <v>2477.3200000000002</v>
      </c>
    </row>
    <row r="1446" spans="1:2" x14ac:dyDescent="0.3">
      <c r="A1446" s="5" t="s">
        <v>95</v>
      </c>
      <c r="B1446" s="2">
        <v>555.45000000000005</v>
      </c>
    </row>
    <row r="1447" spans="1:2" x14ac:dyDescent="0.3">
      <c r="A1447" s="5" t="s">
        <v>645</v>
      </c>
      <c r="B1447" s="2">
        <v>468.88</v>
      </c>
    </row>
    <row r="1448" spans="1:2" x14ac:dyDescent="0.3">
      <c r="A1448" s="5" t="s">
        <v>1921</v>
      </c>
      <c r="B1448" s="2">
        <v>2430.6</v>
      </c>
    </row>
    <row r="1449" spans="1:2" x14ac:dyDescent="0.3">
      <c r="A1449" s="5" t="s">
        <v>1589</v>
      </c>
      <c r="B1449" s="2">
        <v>5543.37</v>
      </c>
    </row>
    <row r="1450" spans="1:2" x14ac:dyDescent="0.3">
      <c r="A1450" s="5" t="s">
        <v>1539</v>
      </c>
      <c r="B1450" s="2">
        <v>2757.8</v>
      </c>
    </row>
    <row r="1451" spans="1:2" x14ac:dyDescent="0.3">
      <c r="A1451" s="5" t="s">
        <v>2471</v>
      </c>
      <c r="B1451" s="2">
        <v>4573.5200000000004</v>
      </c>
    </row>
    <row r="1452" spans="1:2" x14ac:dyDescent="0.3">
      <c r="A1452" s="5" t="s">
        <v>3067</v>
      </c>
      <c r="B1452" s="2">
        <v>3187.6</v>
      </c>
    </row>
    <row r="1453" spans="1:2" x14ac:dyDescent="0.3">
      <c r="A1453" s="5" t="s">
        <v>873</v>
      </c>
      <c r="B1453" s="2">
        <v>333.16</v>
      </c>
    </row>
    <row r="1454" spans="1:2" x14ac:dyDescent="0.3">
      <c r="A1454" s="5" t="s">
        <v>495</v>
      </c>
      <c r="B1454" s="2">
        <v>274.88</v>
      </c>
    </row>
    <row r="1455" spans="1:2" x14ac:dyDescent="0.3">
      <c r="A1455" s="5" t="s">
        <v>2887</v>
      </c>
      <c r="B1455" s="2">
        <v>752.57</v>
      </c>
    </row>
    <row r="1456" spans="1:2" x14ac:dyDescent="0.3">
      <c r="A1456" s="5" t="s">
        <v>383</v>
      </c>
      <c r="B1456" s="2">
        <v>3114.48</v>
      </c>
    </row>
    <row r="1457" spans="1:2" x14ac:dyDescent="0.3">
      <c r="A1457" s="5" t="s">
        <v>381</v>
      </c>
      <c r="B1457" s="2">
        <v>1476.15</v>
      </c>
    </row>
    <row r="1458" spans="1:2" x14ac:dyDescent="0.3">
      <c r="A1458" s="5" t="s">
        <v>2625</v>
      </c>
      <c r="B1458" s="2">
        <v>4663.47</v>
      </c>
    </row>
    <row r="1459" spans="1:2" x14ac:dyDescent="0.3">
      <c r="A1459" s="5" t="s">
        <v>125</v>
      </c>
      <c r="B1459" s="2">
        <v>592.24</v>
      </c>
    </row>
    <row r="1460" spans="1:2" x14ac:dyDescent="0.3">
      <c r="A1460" s="5" t="s">
        <v>1953</v>
      </c>
      <c r="B1460" s="2">
        <v>3854.95</v>
      </c>
    </row>
    <row r="1461" spans="1:2" x14ac:dyDescent="0.3">
      <c r="A1461" s="5" t="s">
        <v>3043</v>
      </c>
      <c r="B1461" s="2">
        <v>470.23</v>
      </c>
    </row>
    <row r="1462" spans="1:2" x14ac:dyDescent="0.3">
      <c r="A1462" s="5" t="s">
        <v>761</v>
      </c>
      <c r="B1462" s="2">
        <v>1524.25</v>
      </c>
    </row>
    <row r="1463" spans="1:2" x14ac:dyDescent="0.3">
      <c r="A1463" s="5" t="s">
        <v>1413</v>
      </c>
      <c r="B1463" s="2">
        <v>2795.2</v>
      </c>
    </row>
    <row r="1464" spans="1:2" x14ac:dyDescent="0.3">
      <c r="A1464" s="5" t="s">
        <v>2023</v>
      </c>
      <c r="B1464" s="2">
        <v>107.67</v>
      </c>
    </row>
    <row r="1465" spans="1:2" x14ac:dyDescent="0.3">
      <c r="A1465" s="5" t="s">
        <v>2411</v>
      </c>
      <c r="B1465" s="2">
        <v>154.32</v>
      </c>
    </row>
    <row r="1466" spans="1:2" x14ac:dyDescent="0.3">
      <c r="A1466" s="5" t="s">
        <v>3047</v>
      </c>
      <c r="B1466" s="2">
        <v>4465.62</v>
      </c>
    </row>
    <row r="1467" spans="1:2" x14ac:dyDescent="0.3">
      <c r="A1467" s="5" t="s">
        <v>1749</v>
      </c>
      <c r="B1467" s="2">
        <v>926.85</v>
      </c>
    </row>
    <row r="1468" spans="1:2" x14ac:dyDescent="0.3">
      <c r="A1468" s="5" t="s">
        <v>855</v>
      </c>
      <c r="B1468" s="2">
        <v>195.44</v>
      </c>
    </row>
    <row r="1469" spans="1:2" x14ac:dyDescent="0.3">
      <c r="A1469" s="5" t="s">
        <v>1207</v>
      </c>
      <c r="B1469" s="2">
        <v>4907.91</v>
      </c>
    </row>
    <row r="1470" spans="1:2" x14ac:dyDescent="0.3">
      <c r="A1470" s="5" t="s">
        <v>1323</v>
      </c>
      <c r="B1470" s="2">
        <v>586.55999999999995</v>
      </c>
    </row>
    <row r="1471" spans="1:2" x14ac:dyDescent="0.3">
      <c r="A1471" s="5" t="s">
        <v>1987</v>
      </c>
      <c r="B1471" s="2">
        <v>84.3</v>
      </c>
    </row>
    <row r="1472" spans="1:2" x14ac:dyDescent="0.3">
      <c r="A1472" s="5" t="s">
        <v>1397</v>
      </c>
      <c r="B1472" s="2">
        <v>385.9</v>
      </c>
    </row>
    <row r="1473" spans="1:2" x14ac:dyDescent="0.3">
      <c r="A1473" s="5" t="s">
        <v>763</v>
      </c>
      <c r="B1473" s="2">
        <v>1614.13</v>
      </c>
    </row>
    <row r="1474" spans="1:2" x14ac:dyDescent="0.3">
      <c r="A1474" s="5" t="s">
        <v>1187</v>
      </c>
      <c r="B1474" s="2">
        <v>4078.4</v>
      </c>
    </row>
    <row r="1475" spans="1:2" x14ac:dyDescent="0.3">
      <c r="A1475" s="5" t="s">
        <v>243</v>
      </c>
      <c r="B1475" s="2">
        <v>2052.33</v>
      </c>
    </row>
    <row r="1476" spans="1:2" x14ac:dyDescent="0.3">
      <c r="A1476" s="5" t="s">
        <v>839</v>
      </c>
      <c r="B1476" s="2">
        <v>1215</v>
      </c>
    </row>
    <row r="1477" spans="1:2" x14ac:dyDescent="0.3">
      <c r="A1477" s="5" t="s">
        <v>1683</v>
      </c>
      <c r="B1477" s="2">
        <v>2108.48</v>
      </c>
    </row>
    <row r="1478" spans="1:2" x14ac:dyDescent="0.3">
      <c r="A1478" s="5" t="s">
        <v>3021</v>
      </c>
      <c r="B1478" s="2">
        <v>888.65</v>
      </c>
    </row>
    <row r="1479" spans="1:2" x14ac:dyDescent="0.3">
      <c r="A1479" s="5" t="s">
        <v>1291</v>
      </c>
      <c r="B1479" s="2">
        <v>798.02</v>
      </c>
    </row>
    <row r="1480" spans="1:2" x14ac:dyDescent="0.3">
      <c r="A1480" s="5" t="s">
        <v>783</v>
      </c>
      <c r="B1480" s="2">
        <v>4158.96</v>
      </c>
    </row>
    <row r="1481" spans="1:2" x14ac:dyDescent="0.3">
      <c r="A1481" s="5" t="s">
        <v>2417</v>
      </c>
      <c r="B1481" s="2">
        <v>4573.4399999999996</v>
      </c>
    </row>
    <row r="1482" spans="1:2" x14ac:dyDescent="0.3">
      <c r="A1482" s="5" t="s">
        <v>401</v>
      </c>
      <c r="B1482" s="2">
        <v>789.77</v>
      </c>
    </row>
    <row r="1483" spans="1:2" x14ac:dyDescent="0.3">
      <c r="A1483" s="5" t="s">
        <v>259</v>
      </c>
      <c r="B1483" s="2">
        <v>2925.79</v>
      </c>
    </row>
    <row r="1484" spans="1:2" x14ac:dyDescent="0.3">
      <c r="A1484" s="5" t="s">
        <v>1735</v>
      </c>
      <c r="B1484" s="2">
        <v>509.06</v>
      </c>
    </row>
    <row r="1485" spans="1:2" x14ac:dyDescent="0.3">
      <c r="A1485" s="5" t="s">
        <v>711</v>
      </c>
      <c r="B1485" s="2">
        <v>3091.6</v>
      </c>
    </row>
    <row r="1486" spans="1:2" x14ac:dyDescent="0.3">
      <c r="A1486" s="5" t="s">
        <v>651</v>
      </c>
      <c r="B1486" s="2">
        <v>1031.94</v>
      </c>
    </row>
    <row r="1487" spans="1:2" x14ac:dyDescent="0.3">
      <c r="A1487" s="5" t="s">
        <v>2861</v>
      </c>
      <c r="B1487" s="2">
        <v>3574.97</v>
      </c>
    </row>
    <row r="1488" spans="1:2" x14ac:dyDescent="0.3">
      <c r="A1488" s="5" t="s">
        <v>1573</v>
      </c>
      <c r="B1488" s="2">
        <v>4662.3500000000004</v>
      </c>
    </row>
    <row r="1489" spans="1:2" x14ac:dyDescent="0.3">
      <c r="A1489" s="5" t="s">
        <v>2161</v>
      </c>
      <c r="B1489" s="2">
        <v>3341.4</v>
      </c>
    </row>
    <row r="1490" spans="1:2" x14ac:dyDescent="0.3">
      <c r="A1490" s="5" t="s">
        <v>689</v>
      </c>
      <c r="B1490" s="2">
        <v>120.35</v>
      </c>
    </row>
    <row r="1491" spans="1:2" x14ac:dyDescent="0.3">
      <c r="A1491" s="5" t="s">
        <v>1637</v>
      </c>
      <c r="B1491" s="2">
        <v>4051.44</v>
      </c>
    </row>
    <row r="1492" spans="1:2" x14ac:dyDescent="0.3">
      <c r="A1492" s="5" t="s">
        <v>1829</v>
      </c>
      <c r="B1492" s="2">
        <v>167.38</v>
      </c>
    </row>
    <row r="1493" spans="1:2" x14ac:dyDescent="0.3">
      <c r="A1493" s="5" t="s">
        <v>2473</v>
      </c>
      <c r="B1493" s="2">
        <v>77.78</v>
      </c>
    </row>
    <row r="1494" spans="1:2" x14ac:dyDescent="0.3">
      <c r="A1494" s="5" t="s">
        <v>2121</v>
      </c>
      <c r="B1494" s="2">
        <v>2033.75</v>
      </c>
    </row>
    <row r="1495" spans="1:2" x14ac:dyDescent="0.3">
      <c r="A1495" s="5" t="s">
        <v>2605</v>
      </c>
      <c r="B1495" s="2">
        <v>6283.92</v>
      </c>
    </row>
    <row r="1496" spans="1:2" x14ac:dyDescent="0.3">
      <c r="A1496" s="5" t="s">
        <v>1361</v>
      </c>
      <c r="B1496" s="2">
        <v>2337.3000000000002</v>
      </c>
    </row>
    <row r="1497" spans="1:2" x14ac:dyDescent="0.3">
      <c r="A1497" s="5" t="s">
        <v>1439</v>
      </c>
      <c r="B1497" s="2">
        <v>114.84</v>
      </c>
    </row>
    <row r="1498" spans="1:2" x14ac:dyDescent="0.3">
      <c r="A1498" s="5" t="s">
        <v>1235</v>
      </c>
      <c r="B1498" s="2">
        <v>3925.74</v>
      </c>
    </row>
    <row r="1499" spans="1:2" x14ac:dyDescent="0.3">
      <c r="A1499" s="5" t="s">
        <v>1857</v>
      </c>
      <c r="B1499" s="2">
        <v>949.38</v>
      </c>
    </row>
    <row r="1500" spans="1:2" x14ac:dyDescent="0.3">
      <c r="A1500" s="5" t="s">
        <v>2555</v>
      </c>
      <c r="B1500" s="2">
        <v>4799.46</v>
      </c>
    </row>
    <row r="1501" spans="1:2" x14ac:dyDescent="0.3">
      <c r="A1501" s="5" t="s">
        <v>1533</v>
      </c>
      <c r="B1501" s="2">
        <v>3117.12</v>
      </c>
    </row>
    <row r="1502" spans="1:2" x14ac:dyDescent="0.3">
      <c r="A1502" s="5" t="s">
        <v>1633</v>
      </c>
      <c r="B1502" s="2">
        <v>2736.02</v>
      </c>
    </row>
    <row r="1503" spans="1:2" x14ac:dyDescent="0.3">
      <c r="A1503" s="5" t="s">
        <v>1625</v>
      </c>
      <c r="B1503" s="2">
        <v>2164.25</v>
      </c>
    </row>
    <row r="1504" spans="1:2" x14ac:dyDescent="0.3">
      <c r="A1504" s="5" t="s">
        <v>393</v>
      </c>
      <c r="B1504" s="2">
        <v>1343.4</v>
      </c>
    </row>
    <row r="1505" spans="1:2" x14ac:dyDescent="0.3">
      <c r="A1505" s="5" t="s">
        <v>1177</v>
      </c>
      <c r="B1505" s="2">
        <v>767.69</v>
      </c>
    </row>
    <row r="1506" spans="1:2" x14ac:dyDescent="0.3">
      <c r="A1506" s="5" t="s">
        <v>2913</v>
      </c>
      <c r="B1506" s="2">
        <v>1173.03</v>
      </c>
    </row>
    <row r="1507" spans="1:2" x14ac:dyDescent="0.3">
      <c r="A1507" s="5" t="s">
        <v>1871</v>
      </c>
      <c r="B1507" s="2">
        <v>3727.76</v>
      </c>
    </row>
    <row r="1508" spans="1:2" x14ac:dyDescent="0.3">
      <c r="A1508" s="5" t="s">
        <v>3197</v>
      </c>
      <c r="B1508" s="2">
        <v>2262.6</v>
      </c>
    </row>
    <row r="1509" spans="1:2" x14ac:dyDescent="0.3">
      <c r="A1509" s="5" t="s">
        <v>795</v>
      </c>
      <c r="B1509" s="2">
        <v>1692.81</v>
      </c>
    </row>
    <row r="1510" spans="1:2" x14ac:dyDescent="0.3">
      <c r="A1510" s="5" t="s">
        <v>385</v>
      </c>
      <c r="B1510" s="2">
        <v>2257.29</v>
      </c>
    </row>
    <row r="1511" spans="1:2" x14ac:dyDescent="0.3">
      <c r="A1511" s="5" t="s">
        <v>2047</v>
      </c>
      <c r="B1511" s="2">
        <v>1231.8399999999999</v>
      </c>
    </row>
    <row r="1512" spans="1:2" x14ac:dyDescent="0.3">
      <c r="A1512" s="5" t="s">
        <v>1623</v>
      </c>
      <c r="B1512" s="2">
        <v>4243.1899999999996</v>
      </c>
    </row>
    <row r="1513" spans="1:2" x14ac:dyDescent="0.3">
      <c r="A1513" s="4" t="s">
        <v>42</v>
      </c>
      <c r="B1513" s="2">
        <v>533091.00000000012</v>
      </c>
    </row>
    <row r="1514" spans="1:2" x14ac:dyDescent="0.3">
      <c r="A1514" s="5" t="s">
        <v>1649</v>
      </c>
      <c r="B1514" s="2">
        <v>2369.36</v>
      </c>
    </row>
    <row r="1515" spans="1:2" x14ac:dyDescent="0.3">
      <c r="A1515" s="5" t="s">
        <v>2755</v>
      </c>
      <c r="B1515" s="2">
        <v>526.48</v>
      </c>
    </row>
    <row r="1516" spans="1:2" x14ac:dyDescent="0.3">
      <c r="A1516" s="5" t="s">
        <v>1151</v>
      </c>
      <c r="B1516" s="2">
        <v>1574.28</v>
      </c>
    </row>
    <row r="1517" spans="1:2" x14ac:dyDescent="0.3">
      <c r="A1517" s="5" t="s">
        <v>3039</v>
      </c>
      <c r="B1517" s="2">
        <v>1683.52</v>
      </c>
    </row>
    <row r="1518" spans="1:2" x14ac:dyDescent="0.3">
      <c r="A1518" s="5" t="s">
        <v>2849</v>
      </c>
      <c r="B1518" s="2">
        <v>5229.28</v>
      </c>
    </row>
    <row r="1519" spans="1:2" x14ac:dyDescent="0.3">
      <c r="A1519" s="5" t="s">
        <v>389</v>
      </c>
      <c r="B1519" s="2">
        <v>3941.16</v>
      </c>
    </row>
    <row r="1520" spans="1:2" x14ac:dyDescent="0.3">
      <c r="A1520" s="5" t="s">
        <v>1145</v>
      </c>
      <c r="B1520" s="2">
        <v>2356.96</v>
      </c>
    </row>
    <row r="1521" spans="1:2" x14ac:dyDescent="0.3">
      <c r="A1521" s="5" t="s">
        <v>1101</v>
      </c>
      <c r="B1521" s="2">
        <v>4344.4799999999996</v>
      </c>
    </row>
    <row r="1522" spans="1:2" x14ac:dyDescent="0.3">
      <c r="A1522" s="5" t="s">
        <v>1483</v>
      </c>
      <c r="B1522" s="2">
        <v>1443.78</v>
      </c>
    </row>
    <row r="1523" spans="1:2" x14ac:dyDescent="0.3">
      <c r="A1523" s="5" t="s">
        <v>2579</v>
      </c>
      <c r="B1523" s="2">
        <v>676.64</v>
      </c>
    </row>
    <row r="1524" spans="1:2" x14ac:dyDescent="0.3">
      <c r="A1524" s="5" t="s">
        <v>175</v>
      </c>
      <c r="B1524" s="2">
        <v>470.22</v>
      </c>
    </row>
    <row r="1525" spans="1:2" x14ac:dyDescent="0.3">
      <c r="A1525" s="5" t="s">
        <v>145</v>
      </c>
      <c r="B1525" s="2">
        <v>2485.52</v>
      </c>
    </row>
    <row r="1526" spans="1:2" x14ac:dyDescent="0.3">
      <c r="A1526" s="5" t="s">
        <v>329</v>
      </c>
      <c r="B1526" s="2">
        <v>2680.65</v>
      </c>
    </row>
    <row r="1527" spans="1:2" x14ac:dyDescent="0.3">
      <c r="A1527" s="5" t="s">
        <v>1071</v>
      </c>
      <c r="B1527" s="2">
        <v>4549.68</v>
      </c>
    </row>
    <row r="1528" spans="1:2" x14ac:dyDescent="0.3">
      <c r="A1528" s="5" t="s">
        <v>2475</v>
      </c>
      <c r="B1528" s="2">
        <v>502.04</v>
      </c>
    </row>
    <row r="1529" spans="1:2" x14ac:dyDescent="0.3">
      <c r="A1529" s="5" t="s">
        <v>1883</v>
      </c>
      <c r="B1529" s="2">
        <v>533.82000000000005</v>
      </c>
    </row>
    <row r="1530" spans="1:2" x14ac:dyDescent="0.3">
      <c r="A1530" s="5" t="s">
        <v>239</v>
      </c>
      <c r="B1530" s="2">
        <v>1547.36</v>
      </c>
    </row>
    <row r="1531" spans="1:2" x14ac:dyDescent="0.3">
      <c r="A1531" s="5" t="s">
        <v>449</v>
      </c>
      <c r="B1531" s="2">
        <v>2471.2800000000002</v>
      </c>
    </row>
    <row r="1532" spans="1:2" x14ac:dyDescent="0.3">
      <c r="A1532" s="5" t="s">
        <v>1963</v>
      </c>
      <c r="B1532" s="2">
        <v>3878.4</v>
      </c>
    </row>
    <row r="1533" spans="1:2" x14ac:dyDescent="0.3">
      <c r="A1533" s="5" t="s">
        <v>77</v>
      </c>
      <c r="B1533" s="2">
        <v>157.44999999999999</v>
      </c>
    </row>
    <row r="1534" spans="1:2" x14ac:dyDescent="0.3">
      <c r="A1534" s="5" t="s">
        <v>2321</v>
      </c>
      <c r="B1534" s="2">
        <v>665.94</v>
      </c>
    </row>
    <row r="1535" spans="1:2" x14ac:dyDescent="0.3">
      <c r="A1535" s="5" t="s">
        <v>2895</v>
      </c>
      <c r="B1535" s="2">
        <v>1739.16</v>
      </c>
    </row>
    <row r="1536" spans="1:2" x14ac:dyDescent="0.3">
      <c r="A1536" s="5" t="s">
        <v>2757</v>
      </c>
      <c r="B1536" s="2">
        <v>2697.32</v>
      </c>
    </row>
    <row r="1537" spans="1:2" x14ac:dyDescent="0.3">
      <c r="A1537" s="5" t="s">
        <v>365</v>
      </c>
      <c r="B1537" s="2">
        <v>655.26</v>
      </c>
    </row>
    <row r="1538" spans="1:2" x14ac:dyDescent="0.3">
      <c r="A1538" s="5" t="s">
        <v>595</v>
      </c>
      <c r="B1538" s="2">
        <v>1775.48</v>
      </c>
    </row>
    <row r="1539" spans="1:2" x14ac:dyDescent="0.3">
      <c r="A1539" s="5" t="s">
        <v>2077</v>
      </c>
      <c r="B1539" s="2">
        <v>431.2</v>
      </c>
    </row>
    <row r="1540" spans="1:2" x14ac:dyDescent="0.3">
      <c r="A1540" s="5" t="s">
        <v>1481</v>
      </c>
      <c r="B1540" s="2">
        <v>5258.4</v>
      </c>
    </row>
    <row r="1541" spans="1:2" x14ac:dyDescent="0.3">
      <c r="A1541" s="5" t="s">
        <v>2517</v>
      </c>
      <c r="B1541" s="2">
        <v>609.6</v>
      </c>
    </row>
    <row r="1542" spans="1:2" x14ac:dyDescent="0.3">
      <c r="A1542" s="5" t="s">
        <v>2157</v>
      </c>
      <c r="B1542" s="2">
        <v>3100.4</v>
      </c>
    </row>
    <row r="1543" spans="1:2" x14ac:dyDescent="0.3">
      <c r="A1543" s="5" t="s">
        <v>191</v>
      </c>
      <c r="B1543" s="2">
        <v>3085.53</v>
      </c>
    </row>
    <row r="1544" spans="1:2" x14ac:dyDescent="0.3">
      <c r="A1544" s="5" t="s">
        <v>1293</v>
      </c>
      <c r="B1544" s="2">
        <v>2173.5500000000002</v>
      </c>
    </row>
    <row r="1545" spans="1:2" x14ac:dyDescent="0.3">
      <c r="A1545" s="5" t="s">
        <v>2923</v>
      </c>
      <c r="B1545" s="2">
        <v>3659.44</v>
      </c>
    </row>
    <row r="1546" spans="1:2" x14ac:dyDescent="0.3">
      <c r="A1546" s="5" t="s">
        <v>3169</v>
      </c>
      <c r="B1546" s="2">
        <v>4513.28</v>
      </c>
    </row>
    <row r="1547" spans="1:2" x14ac:dyDescent="0.3">
      <c r="A1547" s="5" t="s">
        <v>1017</v>
      </c>
      <c r="B1547" s="2">
        <v>226.86</v>
      </c>
    </row>
    <row r="1548" spans="1:2" x14ac:dyDescent="0.3">
      <c r="A1548" s="5" t="s">
        <v>3291</v>
      </c>
      <c r="B1548" s="2">
        <v>5199.67</v>
      </c>
    </row>
    <row r="1549" spans="1:2" x14ac:dyDescent="0.3">
      <c r="A1549" s="5" t="s">
        <v>3235</v>
      </c>
      <c r="B1549" s="2">
        <v>640.98</v>
      </c>
    </row>
    <row r="1550" spans="1:2" x14ac:dyDescent="0.3">
      <c r="A1550" s="5" t="s">
        <v>2719</v>
      </c>
      <c r="B1550" s="2">
        <v>167.49</v>
      </c>
    </row>
    <row r="1551" spans="1:2" x14ac:dyDescent="0.3">
      <c r="A1551" s="5" t="s">
        <v>3083</v>
      </c>
      <c r="B1551" s="2">
        <v>3466.5</v>
      </c>
    </row>
    <row r="1552" spans="1:2" x14ac:dyDescent="0.3">
      <c r="A1552" s="5" t="s">
        <v>2997</v>
      </c>
      <c r="B1552" s="2">
        <v>2052.66</v>
      </c>
    </row>
    <row r="1553" spans="1:2" x14ac:dyDescent="0.3">
      <c r="A1553" s="5" t="s">
        <v>403</v>
      </c>
      <c r="B1553" s="2">
        <v>142.85</v>
      </c>
    </row>
    <row r="1554" spans="1:2" x14ac:dyDescent="0.3">
      <c r="A1554" s="5" t="s">
        <v>1137</v>
      </c>
      <c r="B1554" s="2">
        <v>3110.64</v>
      </c>
    </row>
    <row r="1555" spans="1:2" x14ac:dyDescent="0.3">
      <c r="A1555" s="5" t="s">
        <v>641</v>
      </c>
      <c r="B1555" s="2">
        <v>2344.48</v>
      </c>
    </row>
    <row r="1556" spans="1:2" x14ac:dyDescent="0.3">
      <c r="A1556" s="5" t="s">
        <v>2149</v>
      </c>
      <c r="B1556" s="2">
        <v>4299.96</v>
      </c>
    </row>
    <row r="1557" spans="1:2" x14ac:dyDescent="0.3">
      <c r="A1557" s="5" t="s">
        <v>2079</v>
      </c>
      <c r="B1557" s="2">
        <v>3235.92</v>
      </c>
    </row>
    <row r="1558" spans="1:2" x14ac:dyDescent="0.3">
      <c r="A1558" s="5" t="s">
        <v>1033</v>
      </c>
      <c r="B1558" s="2">
        <v>1887.18</v>
      </c>
    </row>
    <row r="1559" spans="1:2" x14ac:dyDescent="0.3">
      <c r="A1559" s="5" t="s">
        <v>1203</v>
      </c>
      <c r="B1559" s="2">
        <v>6017.68</v>
      </c>
    </row>
    <row r="1560" spans="1:2" x14ac:dyDescent="0.3">
      <c r="A1560" s="5" t="s">
        <v>3285</v>
      </c>
      <c r="B1560" s="2">
        <v>2625</v>
      </c>
    </row>
    <row r="1561" spans="1:2" x14ac:dyDescent="0.3">
      <c r="A1561" s="5" t="s">
        <v>2303</v>
      </c>
      <c r="B1561" s="2">
        <v>2311.5500000000002</v>
      </c>
    </row>
    <row r="1562" spans="1:2" x14ac:dyDescent="0.3">
      <c r="A1562" s="5" t="s">
        <v>2359</v>
      </c>
      <c r="B1562" s="2">
        <v>4112.3999999999996</v>
      </c>
    </row>
    <row r="1563" spans="1:2" x14ac:dyDescent="0.3">
      <c r="A1563" s="5" t="s">
        <v>373</v>
      </c>
      <c r="B1563" s="2">
        <v>575.1</v>
      </c>
    </row>
    <row r="1564" spans="1:2" x14ac:dyDescent="0.3">
      <c r="A1564" s="5" t="s">
        <v>1819</v>
      </c>
      <c r="B1564" s="2">
        <v>4106.5200000000004</v>
      </c>
    </row>
    <row r="1565" spans="1:2" x14ac:dyDescent="0.3">
      <c r="A1565" s="5" t="s">
        <v>2669</v>
      </c>
      <c r="B1565" s="2">
        <v>1102.95</v>
      </c>
    </row>
    <row r="1566" spans="1:2" x14ac:dyDescent="0.3">
      <c r="A1566" s="5" t="s">
        <v>1961</v>
      </c>
      <c r="B1566" s="2">
        <v>261.17</v>
      </c>
    </row>
    <row r="1567" spans="1:2" x14ac:dyDescent="0.3">
      <c r="A1567" s="5" t="s">
        <v>503</v>
      </c>
      <c r="B1567" s="2">
        <v>1409.04</v>
      </c>
    </row>
    <row r="1568" spans="1:2" x14ac:dyDescent="0.3">
      <c r="A1568" s="5" t="s">
        <v>2927</v>
      </c>
      <c r="B1568" s="2">
        <v>2640.05</v>
      </c>
    </row>
    <row r="1569" spans="1:2" x14ac:dyDescent="0.3">
      <c r="A1569" s="5" t="s">
        <v>775</v>
      </c>
      <c r="B1569" s="2">
        <v>1978.92</v>
      </c>
    </row>
    <row r="1570" spans="1:2" x14ac:dyDescent="0.3">
      <c r="A1570" s="5" t="s">
        <v>2025</v>
      </c>
      <c r="B1570" s="2">
        <v>192.81</v>
      </c>
    </row>
    <row r="1571" spans="1:2" x14ac:dyDescent="0.3">
      <c r="A1571" s="5" t="s">
        <v>1327</v>
      </c>
      <c r="B1571" s="2">
        <v>817.24</v>
      </c>
    </row>
    <row r="1572" spans="1:2" x14ac:dyDescent="0.3">
      <c r="A1572" s="5" t="s">
        <v>2431</v>
      </c>
      <c r="B1572" s="2">
        <v>4148.16</v>
      </c>
    </row>
    <row r="1573" spans="1:2" x14ac:dyDescent="0.3">
      <c r="A1573" s="5" t="s">
        <v>2563</v>
      </c>
      <c r="B1573" s="2">
        <v>4093.46</v>
      </c>
    </row>
    <row r="1574" spans="1:2" x14ac:dyDescent="0.3">
      <c r="A1574" s="5" t="s">
        <v>2865</v>
      </c>
      <c r="B1574" s="2">
        <v>401.32</v>
      </c>
    </row>
    <row r="1575" spans="1:2" x14ac:dyDescent="0.3">
      <c r="A1575" s="5" t="s">
        <v>2307</v>
      </c>
      <c r="B1575" s="2">
        <v>1498.2</v>
      </c>
    </row>
    <row r="1576" spans="1:2" x14ac:dyDescent="0.3">
      <c r="A1576" s="5" t="s">
        <v>1173</v>
      </c>
      <c r="B1576" s="2">
        <v>3015.88</v>
      </c>
    </row>
    <row r="1577" spans="1:2" x14ac:dyDescent="0.3">
      <c r="A1577" s="5" t="s">
        <v>1313</v>
      </c>
      <c r="B1577" s="2">
        <v>4842.16</v>
      </c>
    </row>
    <row r="1578" spans="1:2" x14ac:dyDescent="0.3">
      <c r="A1578" s="5" t="s">
        <v>531</v>
      </c>
      <c r="B1578" s="2">
        <v>700.38</v>
      </c>
    </row>
    <row r="1579" spans="1:2" x14ac:dyDescent="0.3">
      <c r="A1579" s="5" t="s">
        <v>2615</v>
      </c>
      <c r="B1579" s="2">
        <v>1469.09</v>
      </c>
    </row>
    <row r="1580" spans="1:2" x14ac:dyDescent="0.3">
      <c r="A1580" s="5" t="s">
        <v>1605</v>
      </c>
      <c r="B1580" s="2">
        <v>1121.54</v>
      </c>
    </row>
    <row r="1581" spans="1:2" x14ac:dyDescent="0.3">
      <c r="A1581" s="5" t="s">
        <v>1975</v>
      </c>
      <c r="B1581" s="2">
        <v>3871.32</v>
      </c>
    </row>
    <row r="1582" spans="1:2" x14ac:dyDescent="0.3">
      <c r="A1582" s="5" t="s">
        <v>195</v>
      </c>
      <c r="B1582" s="2">
        <v>645.88</v>
      </c>
    </row>
    <row r="1583" spans="1:2" x14ac:dyDescent="0.3">
      <c r="A1583" s="5" t="s">
        <v>1337</v>
      </c>
      <c r="B1583" s="2">
        <v>1947.0900000000001</v>
      </c>
    </row>
    <row r="1584" spans="1:2" x14ac:dyDescent="0.3">
      <c r="A1584" s="5" t="s">
        <v>46</v>
      </c>
      <c r="B1584" s="2">
        <v>8475.26</v>
      </c>
    </row>
    <row r="1585" spans="1:2" x14ac:dyDescent="0.3">
      <c r="A1585" s="5" t="s">
        <v>115</v>
      </c>
      <c r="B1585" s="2">
        <v>434.52</v>
      </c>
    </row>
    <row r="1586" spans="1:2" x14ac:dyDescent="0.3">
      <c r="A1586" s="5" t="s">
        <v>1205</v>
      </c>
      <c r="B1586" s="2">
        <v>5205.76</v>
      </c>
    </row>
    <row r="1587" spans="1:2" x14ac:dyDescent="0.3">
      <c r="A1587" s="5" t="s">
        <v>2217</v>
      </c>
      <c r="B1587" s="2">
        <v>5134.3599999999997</v>
      </c>
    </row>
    <row r="1588" spans="1:2" x14ac:dyDescent="0.3">
      <c r="A1588" s="5" t="s">
        <v>2367</v>
      </c>
      <c r="B1588" s="2">
        <v>4593.47</v>
      </c>
    </row>
    <row r="1589" spans="1:2" x14ac:dyDescent="0.3">
      <c r="A1589" s="5" t="s">
        <v>2239</v>
      </c>
      <c r="B1589" s="2">
        <v>3013.58</v>
      </c>
    </row>
    <row r="1590" spans="1:2" x14ac:dyDescent="0.3">
      <c r="A1590" s="5" t="s">
        <v>597</v>
      </c>
      <c r="B1590" s="2">
        <v>626.91999999999996</v>
      </c>
    </row>
    <row r="1591" spans="1:2" x14ac:dyDescent="0.3">
      <c r="A1591" s="5" t="s">
        <v>1471</v>
      </c>
      <c r="B1591" s="2">
        <v>1472.4</v>
      </c>
    </row>
    <row r="1592" spans="1:2" x14ac:dyDescent="0.3">
      <c r="A1592" s="5" t="s">
        <v>589</v>
      </c>
      <c r="B1592" s="2">
        <v>2990.75</v>
      </c>
    </row>
    <row r="1593" spans="1:2" x14ac:dyDescent="0.3">
      <c r="A1593" s="5" t="s">
        <v>2805</v>
      </c>
      <c r="B1593" s="2">
        <v>2876.46</v>
      </c>
    </row>
    <row r="1594" spans="1:2" x14ac:dyDescent="0.3">
      <c r="A1594" s="5" t="s">
        <v>2097</v>
      </c>
      <c r="B1594" s="2">
        <v>362.89</v>
      </c>
    </row>
    <row r="1595" spans="1:2" x14ac:dyDescent="0.3">
      <c r="A1595" s="5" t="s">
        <v>1059</v>
      </c>
      <c r="B1595" s="2">
        <v>50.03</v>
      </c>
    </row>
    <row r="1596" spans="1:2" x14ac:dyDescent="0.3">
      <c r="A1596" s="5" t="s">
        <v>3125</v>
      </c>
      <c r="B1596" s="2">
        <v>1066.4000000000001</v>
      </c>
    </row>
    <row r="1597" spans="1:2" x14ac:dyDescent="0.3">
      <c r="A1597" s="5" t="s">
        <v>3263</v>
      </c>
      <c r="B1597" s="2">
        <v>2959.26</v>
      </c>
    </row>
    <row r="1598" spans="1:2" x14ac:dyDescent="0.3">
      <c r="A1598" s="5" t="s">
        <v>985</v>
      </c>
      <c r="B1598" s="2">
        <v>3071.6</v>
      </c>
    </row>
    <row r="1599" spans="1:2" x14ac:dyDescent="0.3">
      <c r="A1599" s="5" t="s">
        <v>61</v>
      </c>
      <c r="B1599" s="2">
        <v>48.44</v>
      </c>
    </row>
    <row r="1600" spans="1:2" x14ac:dyDescent="0.3">
      <c r="A1600" s="5" t="s">
        <v>1727</v>
      </c>
      <c r="B1600" s="2">
        <v>5260.85</v>
      </c>
    </row>
    <row r="1601" spans="1:2" x14ac:dyDescent="0.3">
      <c r="A1601" s="5" t="s">
        <v>391</v>
      </c>
      <c r="B1601" s="2">
        <v>656.85</v>
      </c>
    </row>
    <row r="1602" spans="1:2" x14ac:dyDescent="0.3">
      <c r="A1602" s="5" t="s">
        <v>1889</v>
      </c>
      <c r="B1602" s="2">
        <v>635.41999999999996</v>
      </c>
    </row>
    <row r="1603" spans="1:2" x14ac:dyDescent="0.3">
      <c r="A1603" s="5" t="s">
        <v>2617</v>
      </c>
      <c r="B1603" s="2">
        <v>1350.54</v>
      </c>
    </row>
    <row r="1604" spans="1:2" x14ac:dyDescent="0.3">
      <c r="A1604" s="5" t="s">
        <v>3253</v>
      </c>
      <c r="B1604" s="2">
        <v>719.55</v>
      </c>
    </row>
    <row r="1605" spans="1:2" x14ac:dyDescent="0.3">
      <c r="A1605" s="5" t="s">
        <v>2213</v>
      </c>
      <c r="B1605" s="2">
        <v>99.63</v>
      </c>
    </row>
    <row r="1606" spans="1:2" x14ac:dyDescent="0.3">
      <c r="A1606" s="5" t="s">
        <v>2633</v>
      </c>
      <c r="B1606" s="2">
        <v>1489.88</v>
      </c>
    </row>
    <row r="1607" spans="1:2" x14ac:dyDescent="0.3">
      <c r="A1607" s="5" t="s">
        <v>2905</v>
      </c>
      <c r="B1607" s="2">
        <v>154.22999999999999</v>
      </c>
    </row>
    <row r="1608" spans="1:2" x14ac:dyDescent="0.3">
      <c r="A1608" s="5" t="s">
        <v>3133</v>
      </c>
      <c r="B1608" s="2">
        <v>2164.44</v>
      </c>
    </row>
    <row r="1609" spans="1:2" x14ac:dyDescent="0.3">
      <c r="A1609" s="5" t="s">
        <v>399</v>
      </c>
      <c r="B1609" s="2">
        <v>1008.28</v>
      </c>
    </row>
    <row r="1610" spans="1:2" x14ac:dyDescent="0.3">
      <c r="A1610" s="5" t="s">
        <v>203</v>
      </c>
      <c r="B1610" s="2">
        <v>1313.72</v>
      </c>
    </row>
    <row r="1611" spans="1:2" x14ac:dyDescent="0.3">
      <c r="A1611" s="5" t="s">
        <v>1297</v>
      </c>
      <c r="B1611" s="2">
        <v>4930.88</v>
      </c>
    </row>
    <row r="1612" spans="1:2" x14ac:dyDescent="0.3">
      <c r="A1612" s="5" t="s">
        <v>205</v>
      </c>
      <c r="B1612" s="2">
        <v>137.62</v>
      </c>
    </row>
    <row r="1613" spans="1:2" x14ac:dyDescent="0.3">
      <c r="A1613" s="5" t="s">
        <v>1317</v>
      </c>
      <c r="B1613" s="2">
        <v>3650.56</v>
      </c>
    </row>
    <row r="1614" spans="1:2" x14ac:dyDescent="0.3">
      <c r="A1614" s="5" t="s">
        <v>2397</v>
      </c>
      <c r="B1614" s="2">
        <v>534.12</v>
      </c>
    </row>
    <row r="1615" spans="1:2" x14ac:dyDescent="0.3">
      <c r="A1615" s="5" t="s">
        <v>2073</v>
      </c>
      <c r="B1615" s="2">
        <v>795.36</v>
      </c>
    </row>
    <row r="1616" spans="1:2" x14ac:dyDescent="0.3">
      <c r="A1616" s="5" t="s">
        <v>2281</v>
      </c>
      <c r="B1616" s="2">
        <v>1510.5</v>
      </c>
    </row>
    <row r="1617" spans="1:2" x14ac:dyDescent="0.3">
      <c r="A1617" s="5" t="s">
        <v>1281</v>
      </c>
      <c r="B1617" s="2">
        <v>1008.26</v>
      </c>
    </row>
    <row r="1618" spans="1:2" x14ac:dyDescent="0.3">
      <c r="A1618" s="5" t="s">
        <v>179</v>
      </c>
      <c r="B1618" s="2">
        <v>189.76</v>
      </c>
    </row>
    <row r="1619" spans="1:2" x14ac:dyDescent="0.3">
      <c r="A1619" s="5" t="s">
        <v>1135</v>
      </c>
      <c r="B1619" s="2">
        <v>3146.24</v>
      </c>
    </row>
    <row r="1620" spans="1:2" x14ac:dyDescent="0.3">
      <c r="A1620" s="5" t="s">
        <v>1461</v>
      </c>
      <c r="B1620" s="2">
        <v>963.48</v>
      </c>
    </row>
    <row r="1621" spans="1:2" x14ac:dyDescent="0.3">
      <c r="A1621" s="5" t="s">
        <v>2387</v>
      </c>
      <c r="B1621" s="2">
        <v>902.46</v>
      </c>
    </row>
    <row r="1622" spans="1:2" x14ac:dyDescent="0.3">
      <c r="A1622" s="5" t="s">
        <v>1079</v>
      </c>
      <c r="B1622" s="2">
        <v>4112.3599999999997</v>
      </c>
    </row>
    <row r="1623" spans="1:2" x14ac:dyDescent="0.3">
      <c r="A1623" s="5" t="s">
        <v>2349</v>
      </c>
      <c r="B1623" s="2">
        <v>2085.54</v>
      </c>
    </row>
    <row r="1624" spans="1:2" x14ac:dyDescent="0.3">
      <c r="A1624" s="5" t="s">
        <v>1607</v>
      </c>
      <c r="B1624" s="2">
        <v>45.3</v>
      </c>
    </row>
    <row r="1625" spans="1:2" x14ac:dyDescent="0.3">
      <c r="A1625" s="5" t="s">
        <v>543</v>
      </c>
      <c r="B1625" s="2">
        <v>2018.28</v>
      </c>
    </row>
    <row r="1626" spans="1:2" x14ac:dyDescent="0.3">
      <c r="A1626" s="5" t="s">
        <v>1259</v>
      </c>
      <c r="B1626" s="2">
        <v>621.28</v>
      </c>
    </row>
    <row r="1627" spans="1:2" x14ac:dyDescent="0.3">
      <c r="A1627" s="5" t="s">
        <v>2141</v>
      </c>
      <c r="B1627" s="2">
        <v>582.02</v>
      </c>
    </row>
    <row r="1628" spans="1:2" x14ac:dyDescent="0.3">
      <c r="A1628" s="5" t="s">
        <v>2569</v>
      </c>
      <c r="B1628" s="2">
        <v>860.85</v>
      </c>
    </row>
    <row r="1629" spans="1:2" x14ac:dyDescent="0.3">
      <c r="A1629" s="5" t="s">
        <v>957</v>
      </c>
      <c r="B1629" s="2">
        <v>1169.04</v>
      </c>
    </row>
    <row r="1630" spans="1:2" x14ac:dyDescent="0.3">
      <c r="A1630" s="5" t="s">
        <v>3175</v>
      </c>
      <c r="B1630" s="2">
        <v>605.94000000000005</v>
      </c>
    </row>
    <row r="1631" spans="1:2" x14ac:dyDescent="0.3">
      <c r="A1631" s="5" t="s">
        <v>2099</v>
      </c>
      <c r="B1631" s="2">
        <v>50.18</v>
      </c>
    </row>
    <row r="1632" spans="1:2" x14ac:dyDescent="0.3">
      <c r="A1632" s="5" t="s">
        <v>3219</v>
      </c>
      <c r="B1632" s="2">
        <v>413.19</v>
      </c>
    </row>
    <row r="1633" spans="1:2" x14ac:dyDescent="0.3">
      <c r="A1633" s="5" t="s">
        <v>2089</v>
      </c>
      <c r="B1633" s="2">
        <v>506.82</v>
      </c>
    </row>
    <row r="1634" spans="1:2" x14ac:dyDescent="0.3">
      <c r="A1634" s="5" t="s">
        <v>1087</v>
      </c>
      <c r="B1634" s="2">
        <v>2688.6</v>
      </c>
    </row>
    <row r="1635" spans="1:2" x14ac:dyDescent="0.3">
      <c r="A1635" s="5" t="s">
        <v>869</v>
      </c>
      <c r="B1635" s="2">
        <v>1666.11</v>
      </c>
    </row>
    <row r="1636" spans="1:2" x14ac:dyDescent="0.3">
      <c r="A1636" s="5" t="s">
        <v>699</v>
      </c>
      <c r="B1636" s="2">
        <v>1108.78</v>
      </c>
    </row>
    <row r="1637" spans="1:2" x14ac:dyDescent="0.3">
      <c r="A1637" s="5" t="s">
        <v>1183</v>
      </c>
      <c r="B1637" s="2">
        <v>3055.2</v>
      </c>
    </row>
    <row r="1638" spans="1:2" x14ac:dyDescent="0.3">
      <c r="A1638" s="5" t="s">
        <v>2945</v>
      </c>
      <c r="B1638" s="2">
        <v>3331.26</v>
      </c>
    </row>
    <row r="1639" spans="1:2" x14ac:dyDescent="0.3">
      <c r="A1639" s="5" t="s">
        <v>1535</v>
      </c>
      <c r="B1639" s="2">
        <v>3812.9</v>
      </c>
    </row>
    <row r="1640" spans="1:2" x14ac:dyDescent="0.3">
      <c r="A1640" s="5" t="s">
        <v>2197</v>
      </c>
      <c r="B1640" s="2">
        <v>388.83</v>
      </c>
    </row>
    <row r="1641" spans="1:2" x14ac:dyDescent="0.3">
      <c r="A1641" s="5" t="s">
        <v>2335</v>
      </c>
      <c r="B1641" s="2">
        <v>2686.48</v>
      </c>
    </row>
    <row r="1642" spans="1:2" x14ac:dyDescent="0.3">
      <c r="A1642" s="5" t="s">
        <v>1179</v>
      </c>
      <c r="B1642" s="2">
        <v>228.78</v>
      </c>
    </row>
    <row r="1643" spans="1:2" x14ac:dyDescent="0.3">
      <c r="A1643" s="5" t="s">
        <v>1301</v>
      </c>
      <c r="B1643" s="2">
        <v>2987.2</v>
      </c>
    </row>
    <row r="1644" spans="1:2" x14ac:dyDescent="0.3">
      <c r="A1644" s="5" t="s">
        <v>3149</v>
      </c>
      <c r="B1644" s="2">
        <v>1509.36</v>
      </c>
    </row>
    <row r="1645" spans="1:2" x14ac:dyDescent="0.3">
      <c r="A1645" s="5" t="s">
        <v>2459</v>
      </c>
      <c r="B1645" s="2">
        <v>2269.98</v>
      </c>
    </row>
    <row r="1646" spans="1:2" x14ac:dyDescent="0.3">
      <c r="A1646" s="5" t="s">
        <v>663</v>
      </c>
      <c r="B1646" s="2">
        <v>643.28</v>
      </c>
    </row>
    <row r="1647" spans="1:2" x14ac:dyDescent="0.3">
      <c r="A1647" s="5" t="s">
        <v>1915</v>
      </c>
      <c r="B1647" s="2">
        <v>2673.06</v>
      </c>
    </row>
    <row r="1648" spans="1:2" x14ac:dyDescent="0.3">
      <c r="A1648" s="5" t="s">
        <v>2509</v>
      </c>
      <c r="B1648" s="2">
        <v>4382.49</v>
      </c>
    </row>
    <row r="1649" spans="1:2" x14ac:dyDescent="0.3">
      <c r="A1649" s="5" t="s">
        <v>3299</v>
      </c>
      <c r="B1649" s="2">
        <v>502.03</v>
      </c>
    </row>
    <row r="1650" spans="1:2" x14ac:dyDescent="0.3">
      <c r="A1650" s="5" t="s">
        <v>2401</v>
      </c>
      <c r="B1650" s="2">
        <v>374.42</v>
      </c>
    </row>
    <row r="1651" spans="1:2" x14ac:dyDescent="0.3">
      <c r="A1651" s="5" t="s">
        <v>983</v>
      </c>
      <c r="B1651" s="2">
        <v>2290.88</v>
      </c>
    </row>
    <row r="1652" spans="1:2" x14ac:dyDescent="0.3">
      <c r="A1652" s="5" t="s">
        <v>1417</v>
      </c>
      <c r="B1652" s="2">
        <v>256.92</v>
      </c>
    </row>
    <row r="1653" spans="1:2" x14ac:dyDescent="0.3">
      <c r="A1653" s="5" t="s">
        <v>1545</v>
      </c>
      <c r="B1653" s="2">
        <v>4923.76</v>
      </c>
    </row>
    <row r="1654" spans="1:2" x14ac:dyDescent="0.3">
      <c r="A1654" s="5" t="s">
        <v>475</v>
      </c>
      <c r="B1654" s="2">
        <v>5623.12</v>
      </c>
    </row>
    <row r="1655" spans="1:2" x14ac:dyDescent="0.3">
      <c r="A1655" s="5" t="s">
        <v>1991</v>
      </c>
      <c r="B1655" s="2">
        <v>2970.87</v>
      </c>
    </row>
    <row r="1656" spans="1:2" x14ac:dyDescent="0.3">
      <c r="A1656" s="5" t="s">
        <v>3233</v>
      </c>
      <c r="B1656" s="2">
        <v>112.22</v>
      </c>
    </row>
    <row r="1657" spans="1:2" x14ac:dyDescent="0.3">
      <c r="A1657" s="5" t="s">
        <v>2751</v>
      </c>
      <c r="B1657" s="2">
        <v>1910.96</v>
      </c>
    </row>
    <row r="1658" spans="1:2" x14ac:dyDescent="0.3">
      <c r="A1658" s="5" t="s">
        <v>515</v>
      </c>
      <c r="B1658" s="2">
        <v>1430.28</v>
      </c>
    </row>
    <row r="1659" spans="1:2" x14ac:dyDescent="0.3">
      <c r="A1659" s="5" t="s">
        <v>513</v>
      </c>
      <c r="B1659" s="2">
        <v>1684.69</v>
      </c>
    </row>
    <row r="1660" spans="1:2" x14ac:dyDescent="0.3">
      <c r="A1660" s="5" t="s">
        <v>1923</v>
      </c>
      <c r="B1660" s="2">
        <v>4319.1400000000003</v>
      </c>
    </row>
    <row r="1661" spans="1:2" x14ac:dyDescent="0.3">
      <c r="A1661" s="5" t="s">
        <v>1495</v>
      </c>
      <c r="B1661" s="2">
        <v>2829.4</v>
      </c>
    </row>
    <row r="1662" spans="1:2" x14ac:dyDescent="0.3">
      <c r="A1662" s="5" t="s">
        <v>743</v>
      </c>
      <c r="B1662" s="2">
        <v>584.28</v>
      </c>
    </row>
    <row r="1663" spans="1:2" x14ac:dyDescent="0.3">
      <c r="A1663" s="5" t="s">
        <v>2095</v>
      </c>
      <c r="B1663" s="2">
        <v>351.9</v>
      </c>
    </row>
    <row r="1664" spans="1:2" x14ac:dyDescent="0.3">
      <c r="A1664" s="5" t="s">
        <v>1685</v>
      </c>
      <c r="B1664" s="2">
        <v>1464.8</v>
      </c>
    </row>
    <row r="1665" spans="1:2" x14ac:dyDescent="0.3">
      <c r="A1665" s="5" t="s">
        <v>2235</v>
      </c>
      <c r="B1665" s="2">
        <v>2613.64</v>
      </c>
    </row>
    <row r="1666" spans="1:2" x14ac:dyDescent="0.3">
      <c r="A1666" s="5" t="s">
        <v>1211</v>
      </c>
      <c r="B1666" s="2">
        <v>2144.64</v>
      </c>
    </row>
    <row r="1667" spans="1:2" x14ac:dyDescent="0.3">
      <c r="A1667" s="5" t="s">
        <v>2421</v>
      </c>
      <c r="B1667" s="2">
        <v>2954.64</v>
      </c>
    </row>
    <row r="1668" spans="1:2" x14ac:dyDescent="0.3">
      <c r="A1668" s="5" t="s">
        <v>1463</v>
      </c>
      <c r="B1668" s="2">
        <v>729.15</v>
      </c>
    </row>
    <row r="1669" spans="1:2" x14ac:dyDescent="0.3">
      <c r="A1669" s="5" t="s">
        <v>999</v>
      </c>
      <c r="B1669" s="2">
        <v>703.26</v>
      </c>
    </row>
    <row r="1670" spans="1:2" x14ac:dyDescent="0.3">
      <c r="A1670" s="5" t="s">
        <v>1949</v>
      </c>
      <c r="B1670" s="2">
        <v>735.73</v>
      </c>
    </row>
    <row r="1671" spans="1:2" x14ac:dyDescent="0.3">
      <c r="A1671" s="5" t="s">
        <v>909</v>
      </c>
      <c r="B1671" s="2">
        <v>2320.08</v>
      </c>
    </row>
    <row r="1672" spans="1:2" x14ac:dyDescent="0.3">
      <c r="A1672" s="5" t="s">
        <v>107</v>
      </c>
      <c r="B1672" s="2">
        <v>1211.3499999999999</v>
      </c>
    </row>
    <row r="1673" spans="1:2" x14ac:dyDescent="0.3">
      <c r="A1673" s="5" t="s">
        <v>929</v>
      </c>
      <c r="B1673" s="2">
        <v>3207.2</v>
      </c>
    </row>
    <row r="1674" spans="1:2" x14ac:dyDescent="0.3">
      <c r="A1674" s="5" t="s">
        <v>1289</v>
      </c>
      <c r="B1674" s="2">
        <v>2497.1999999999998</v>
      </c>
    </row>
    <row r="1675" spans="1:2" x14ac:dyDescent="0.3">
      <c r="A1675" s="5" t="s">
        <v>2155</v>
      </c>
      <c r="B1675" s="2">
        <v>554.09</v>
      </c>
    </row>
    <row r="1676" spans="1:2" x14ac:dyDescent="0.3">
      <c r="A1676" s="5" t="s">
        <v>2721</v>
      </c>
      <c r="B1676" s="2">
        <v>6015.52</v>
      </c>
    </row>
    <row r="1677" spans="1:2" x14ac:dyDescent="0.3">
      <c r="A1677" s="5" t="s">
        <v>1377</v>
      </c>
      <c r="B1677" s="2">
        <v>1923.28</v>
      </c>
    </row>
    <row r="1678" spans="1:2" x14ac:dyDescent="0.3">
      <c r="A1678" s="5" t="s">
        <v>305</v>
      </c>
      <c r="B1678" s="2">
        <v>3445.15</v>
      </c>
    </row>
    <row r="1679" spans="1:2" x14ac:dyDescent="0.3">
      <c r="A1679" s="5" t="s">
        <v>1015</v>
      </c>
      <c r="B1679" s="2">
        <v>4061.84</v>
      </c>
    </row>
    <row r="1680" spans="1:2" x14ac:dyDescent="0.3">
      <c r="A1680" s="5" t="s">
        <v>269</v>
      </c>
      <c r="B1680" s="2">
        <v>1113.45</v>
      </c>
    </row>
    <row r="1681" spans="1:2" x14ac:dyDescent="0.3">
      <c r="A1681" s="5" t="s">
        <v>2003</v>
      </c>
      <c r="B1681" s="2">
        <v>535.4</v>
      </c>
    </row>
    <row r="1682" spans="1:2" x14ac:dyDescent="0.3">
      <c r="A1682" s="5" t="s">
        <v>723</v>
      </c>
      <c r="B1682" s="2">
        <v>545.04</v>
      </c>
    </row>
    <row r="1683" spans="1:2" x14ac:dyDescent="0.3">
      <c r="A1683" s="5" t="s">
        <v>3129</v>
      </c>
      <c r="B1683" s="2">
        <v>358.32</v>
      </c>
    </row>
    <row r="1684" spans="1:2" x14ac:dyDescent="0.3">
      <c r="A1684" s="5" t="s">
        <v>2987</v>
      </c>
      <c r="B1684" s="2">
        <v>2061.92</v>
      </c>
    </row>
    <row r="1685" spans="1:2" x14ac:dyDescent="0.3">
      <c r="A1685" s="5" t="s">
        <v>955</v>
      </c>
      <c r="B1685" s="2">
        <v>1257.05</v>
      </c>
    </row>
    <row r="1686" spans="1:2" x14ac:dyDescent="0.3">
      <c r="A1686" s="5" t="s">
        <v>1859</v>
      </c>
      <c r="B1686" s="2">
        <v>450.66</v>
      </c>
    </row>
    <row r="1687" spans="1:2" x14ac:dyDescent="0.3">
      <c r="A1687" s="5" t="s">
        <v>2055</v>
      </c>
      <c r="B1687" s="2">
        <v>77.7</v>
      </c>
    </row>
    <row r="1688" spans="1:2" x14ac:dyDescent="0.3">
      <c r="A1688" s="5" t="s">
        <v>2859</v>
      </c>
      <c r="B1688" s="2">
        <v>770.68</v>
      </c>
    </row>
    <row r="1689" spans="1:2" x14ac:dyDescent="0.3">
      <c r="A1689" s="5" t="s">
        <v>2313</v>
      </c>
      <c r="B1689" s="2">
        <v>2414</v>
      </c>
    </row>
    <row r="1690" spans="1:2" x14ac:dyDescent="0.3">
      <c r="A1690" s="5" t="s">
        <v>1389</v>
      </c>
      <c r="B1690" s="2">
        <v>2701.8</v>
      </c>
    </row>
    <row r="1691" spans="1:2" x14ac:dyDescent="0.3">
      <c r="A1691" s="5" t="s">
        <v>3073</v>
      </c>
      <c r="B1691" s="2">
        <v>2625</v>
      </c>
    </row>
    <row r="1692" spans="1:2" x14ac:dyDescent="0.3">
      <c r="A1692" s="5" t="s">
        <v>1583</v>
      </c>
      <c r="B1692" s="2">
        <v>90.48</v>
      </c>
    </row>
    <row r="1693" spans="1:2" x14ac:dyDescent="0.3">
      <c r="A1693" s="5" t="s">
        <v>271</v>
      </c>
      <c r="B1693" s="2">
        <v>841.2</v>
      </c>
    </row>
    <row r="1694" spans="1:2" x14ac:dyDescent="0.3">
      <c r="A1694" s="5" t="s">
        <v>2433</v>
      </c>
      <c r="B1694" s="2">
        <v>5192.67</v>
      </c>
    </row>
    <row r="1695" spans="1:2" x14ac:dyDescent="0.3">
      <c r="A1695" s="5" t="s">
        <v>3011</v>
      </c>
      <c r="B1695" s="2">
        <v>2301.16</v>
      </c>
    </row>
    <row r="1696" spans="1:2" x14ac:dyDescent="0.3">
      <c r="A1696" s="5" t="s">
        <v>209</v>
      </c>
      <c r="B1696" s="2">
        <v>2850.54</v>
      </c>
    </row>
    <row r="1697" spans="1:2" x14ac:dyDescent="0.3">
      <c r="A1697" s="5" t="s">
        <v>2507</v>
      </c>
      <c r="B1697" s="2">
        <v>1940.72</v>
      </c>
    </row>
    <row r="1698" spans="1:2" x14ac:dyDescent="0.3">
      <c r="A1698" s="5" t="s">
        <v>2443</v>
      </c>
      <c r="B1698" s="2">
        <v>2163.75</v>
      </c>
    </row>
    <row r="1699" spans="1:2" x14ac:dyDescent="0.3">
      <c r="A1699" s="5" t="s">
        <v>1193</v>
      </c>
      <c r="B1699" s="2">
        <v>464.38</v>
      </c>
    </row>
    <row r="1700" spans="1:2" x14ac:dyDescent="0.3">
      <c r="A1700" s="5" t="s">
        <v>1487</v>
      </c>
      <c r="B1700" s="2">
        <v>776.79</v>
      </c>
    </row>
    <row r="1701" spans="1:2" x14ac:dyDescent="0.3">
      <c r="A1701" s="5" t="s">
        <v>1077</v>
      </c>
      <c r="B1701" s="2">
        <v>724.65</v>
      </c>
    </row>
    <row r="1702" spans="1:2" x14ac:dyDescent="0.3">
      <c r="A1702" s="5" t="s">
        <v>2583</v>
      </c>
      <c r="B1702" s="2">
        <v>2070.7199999999998</v>
      </c>
    </row>
    <row r="1703" spans="1:2" x14ac:dyDescent="0.3">
      <c r="A1703" s="5" t="s">
        <v>1711</v>
      </c>
      <c r="B1703" s="2">
        <v>645.24</v>
      </c>
    </row>
    <row r="1704" spans="1:2" x14ac:dyDescent="0.3">
      <c r="A1704" s="5" t="s">
        <v>91</v>
      </c>
      <c r="B1704" s="2">
        <v>2186.58</v>
      </c>
    </row>
    <row r="1705" spans="1:2" x14ac:dyDescent="0.3">
      <c r="A1705" s="5" t="s">
        <v>645</v>
      </c>
      <c r="B1705" s="2">
        <v>13.02</v>
      </c>
    </row>
    <row r="1706" spans="1:2" x14ac:dyDescent="0.3">
      <c r="A1706" s="5" t="s">
        <v>1613</v>
      </c>
      <c r="B1706" s="2">
        <v>1331.22</v>
      </c>
    </row>
    <row r="1707" spans="1:2" x14ac:dyDescent="0.3">
      <c r="A1707" s="5" t="s">
        <v>41</v>
      </c>
      <c r="B1707" s="2">
        <v>702.59</v>
      </c>
    </row>
    <row r="1708" spans="1:2" x14ac:dyDescent="0.3">
      <c r="A1708" s="5" t="s">
        <v>1047</v>
      </c>
      <c r="B1708" s="2">
        <v>85.22</v>
      </c>
    </row>
    <row r="1709" spans="1:2" x14ac:dyDescent="0.3">
      <c r="A1709" s="5" t="s">
        <v>1499</v>
      </c>
      <c r="B1709" s="2">
        <v>5210.72</v>
      </c>
    </row>
    <row r="1710" spans="1:2" x14ac:dyDescent="0.3">
      <c r="A1710" s="5" t="s">
        <v>2039</v>
      </c>
      <c r="B1710" s="2">
        <v>2673.75</v>
      </c>
    </row>
    <row r="1711" spans="1:2" x14ac:dyDescent="0.3">
      <c r="A1711" s="5" t="s">
        <v>1681</v>
      </c>
      <c r="B1711" s="2">
        <v>522.08000000000004</v>
      </c>
    </row>
    <row r="1712" spans="1:2" x14ac:dyDescent="0.3">
      <c r="A1712" s="5" t="s">
        <v>1299</v>
      </c>
      <c r="B1712" s="2">
        <v>1717.15</v>
      </c>
    </row>
    <row r="1713" spans="1:2" x14ac:dyDescent="0.3">
      <c r="A1713" s="5" t="s">
        <v>1717</v>
      </c>
      <c r="B1713" s="2">
        <v>302.33999999999997</v>
      </c>
    </row>
    <row r="1714" spans="1:2" x14ac:dyDescent="0.3">
      <c r="A1714" s="5" t="s">
        <v>1723</v>
      </c>
      <c r="B1714" s="2">
        <v>3401.25</v>
      </c>
    </row>
    <row r="1715" spans="1:2" x14ac:dyDescent="0.3">
      <c r="A1715" s="5" t="s">
        <v>1809</v>
      </c>
      <c r="B1715" s="2">
        <v>290.55</v>
      </c>
    </row>
    <row r="1716" spans="1:2" x14ac:dyDescent="0.3">
      <c r="A1716" s="5" t="s">
        <v>3155</v>
      </c>
      <c r="B1716" s="2">
        <v>2749.76</v>
      </c>
    </row>
    <row r="1717" spans="1:2" x14ac:dyDescent="0.3">
      <c r="A1717" s="5" t="s">
        <v>2009</v>
      </c>
      <c r="B1717" s="2">
        <v>573.74</v>
      </c>
    </row>
    <row r="1718" spans="1:2" x14ac:dyDescent="0.3">
      <c r="A1718" s="5" t="s">
        <v>1243</v>
      </c>
      <c r="B1718" s="2">
        <v>1329.42</v>
      </c>
    </row>
    <row r="1719" spans="1:2" x14ac:dyDescent="0.3">
      <c r="A1719" s="5" t="s">
        <v>411</v>
      </c>
      <c r="B1719" s="2">
        <v>1304.6099999999999</v>
      </c>
    </row>
    <row r="1720" spans="1:2" x14ac:dyDescent="0.3">
      <c r="A1720" s="5" t="s">
        <v>1105</v>
      </c>
      <c r="B1720" s="2">
        <v>1492.32</v>
      </c>
    </row>
    <row r="1721" spans="1:2" x14ac:dyDescent="0.3">
      <c r="A1721" s="5" t="s">
        <v>2029</v>
      </c>
      <c r="B1721" s="2">
        <v>289.72000000000003</v>
      </c>
    </row>
    <row r="1722" spans="1:2" x14ac:dyDescent="0.3">
      <c r="A1722" s="5" t="s">
        <v>2837</v>
      </c>
      <c r="B1722" s="2">
        <v>172.22</v>
      </c>
    </row>
    <row r="1723" spans="1:2" x14ac:dyDescent="0.3">
      <c r="A1723" s="5" t="s">
        <v>2699</v>
      </c>
      <c r="B1723" s="2">
        <v>3022.32</v>
      </c>
    </row>
    <row r="1724" spans="1:2" x14ac:dyDescent="0.3">
      <c r="A1724" s="5" t="s">
        <v>1875</v>
      </c>
      <c r="B1724" s="2">
        <v>5327.28</v>
      </c>
    </row>
    <row r="1725" spans="1:2" x14ac:dyDescent="0.3">
      <c r="A1725" s="5" t="s">
        <v>3141</v>
      </c>
      <c r="B1725" s="2">
        <v>2628.72</v>
      </c>
    </row>
    <row r="1726" spans="1:2" x14ac:dyDescent="0.3">
      <c r="A1726" s="5" t="s">
        <v>133</v>
      </c>
      <c r="B1726" s="2">
        <v>410.04</v>
      </c>
    </row>
    <row r="1727" spans="1:2" x14ac:dyDescent="0.3">
      <c r="A1727" s="5" t="s">
        <v>1747</v>
      </c>
      <c r="B1727" s="2">
        <v>22.9</v>
      </c>
    </row>
    <row r="1728" spans="1:2" x14ac:dyDescent="0.3">
      <c r="A1728" s="5" t="s">
        <v>2965</v>
      </c>
      <c r="B1728" s="2">
        <v>728.52</v>
      </c>
    </row>
    <row r="1729" spans="1:2" x14ac:dyDescent="0.3">
      <c r="A1729" s="5" t="s">
        <v>147</v>
      </c>
      <c r="B1729" s="2">
        <v>4530.8999999999996</v>
      </c>
    </row>
    <row r="1730" spans="1:2" x14ac:dyDescent="0.3">
      <c r="A1730" s="5" t="s">
        <v>809</v>
      </c>
      <c r="B1730" s="2">
        <v>759.54</v>
      </c>
    </row>
    <row r="1731" spans="1:2" x14ac:dyDescent="0.3">
      <c r="A1731" s="5" t="s">
        <v>1749</v>
      </c>
      <c r="B1731" s="2">
        <v>2097.5700000000002</v>
      </c>
    </row>
    <row r="1732" spans="1:2" x14ac:dyDescent="0.3">
      <c r="A1732" s="5" t="s">
        <v>1283</v>
      </c>
      <c r="B1732" s="2">
        <v>3447.6</v>
      </c>
    </row>
    <row r="1733" spans="1:2" x14ac:dyDescent="0.3">
      <c r="A1733" s="5" t="s">
        <v>731</v>
      </c>
      <c r="B1733" s="2">
        <v>1300.3499999999999</v>
      </c>
    </row>
    <row r="1734" spans="1:2" x14ac:dyDescent="0.3">
      <c r="A1734" s="5" t="s">
        <v>471</v>
      </c>
      <c r="B1734" s="2">
        <v>1791.28</v>
      </c>
    </row>
    <row r="1735" spans="1:2" x14ac:dyDescent="0.3">
      <c r="A1735" s="5" t="s">
        <v>2019</v>
      </c>
      <c r="B1735" s="2">
        <v>3484.6</v>
      </c>
    </row>
    <row r="1736" spans="1:2" x14ac:dyDescent="0.3">
      <c r="A1736" s="5" t="s">
        <v>1401</v>
      </c>
      <c r="B1736" s="2">
        <v>755.42</v>
      </c>
    </row>
    <row r="1737" spans="1:2" x14ac:dyDescent="0.3">
      <c r="A1737" s="5" t="s">
        <v>1943</v>
      </c>
      <c r="B1737" s="2">
        <v>2405.12</v>
      </c>
    </row>
    <row r="1738" spans="1:2" x14ac:dyDescent="0.3">
      <c r="A1738" s="5" t="s">
        <v>1143</v>
      </c>
      <c r="B1738" s="2">
        <v>373.32</v>
      </c>
    </row>
    <row r="1739" spans="1:2" x14ac:dyDescent="0.3">
      <c r="A1739" s="5" t="s">
        <v>2485</v>
      </c>
      <c r="B1739" s="2">
        <v>1704.9</v>
      </c>
    </row>
    <row r="1740" spans="1:2" x14ac:dyDescent="0.3">
      <c r="A1740" s="5" t="s">
        <v>895</v>
      </c>
      <c r="B1740" s="2">
        <v>600.4</v>
      </c>
    </row>
    <row r="1741" spans="1:2" x14ac:dyDescent="0.3">
      <c r="A1741" s="5" t="s">
        <v>2581</v>
      </c>
      <c r="B1741" s="2">
        <v>578.04</v>
      </c>
    </row>
    <row r="1742" spans="1:2" x14ac:dyDescent="0.3">
      <c r="A1742" s="5" t="s">
        <v>2147</v>
      </c>
      <c r="B1742" s="2">
        <v>970.55</v>
      </c>
    </row>
    <row r="1743" spans="1:2" x14ac:dyDescent="0.3">
      <c r="A1743" s="5" t="s">
        <v>3289</v>
      </c>
      <c r="B1743" s="2">
        <v>74.97</v>
      </c>
    </row>
    <row r="1744" spans="1:2" x14ac:dyDescent="0.3">
      <c r="A1744" s="5" t="s">
        <v>2821</v>
      </c>
      <c r="B1744" s="2">
        <v>2194.36</v>
      </c>
    </row>
    <row r="1745" spans="1:2" x14ac:dyDescent="0.3">
      <c r="A1745" s="5" t="s">
        <v>1187</v>
      </c>
      <c r="B1745" s="2">
        <v>1461.48</v>
      </c>
    </row>
    <row r="1746" spans="1:2" x14ac:dyDescent="0.3">
      <c r="A1746" s="5" t="s">
        <v>243</v>
      </c>
      <c r="B1746" s="2">
        <v>47.53</v>
      </c>
    </row>
    <row r="1747" spans="1:2" x14ac:dyDescent="0.3">
      <c r="A1747" s="5" t="s">
        <v>2229</v>
      </c>
      <c r="B1747" s="2">
        <v>2368.98</v>
      </c>
    </row>
    <row r="1748" spans="1:2" x14ac:dyDescent="0.3">
      <c r="A1748" s="5" t="s">
        <v>2995</v>
      </c>
      <c r="B1748" s="2">
        <v>1971.84</v>
      </c>
    </row>
    <row r="1749" spans="1:2" x14ac:dyDescent="0.3">
      <c r="A1749" s="5" t="s">
        <v>2783</v>
      </c>
      <c r="B1749" s="2">
        <v>812.46</v>
      </c>
    </row>
    <row r="1750" spans="1:2" x14ac:dyDescent="0.3">
      <c r="A1750" s="5" t="s">
        <v>111</v>
      </c>
      <c r="B1750" s="2">
        <v>2145.7600000000002</v>
      </c>
    </row>
    <row r="1751" spans="1:2" x14ac:dyDescent="0.3">
      <c r="A1751" s="5" t="s">
        <v>1367</v>
      </c>
      <c r="B1751" s="2">
        <v>3629.5</v>
      </c>
    </row>
    <row r="1752" spans="1:2" x14ac:dyDescent="0.3">
      <c r="A1752" s="5" t="s">
        <v>2355</v>
      </c>
      <c r="B1752" s="2">
        <v>3580.92</v>
      </c>
    </row>
    <row r="1753" spans="1:2" x14ac:dyDescent="0.3">
      <c r="A1753" s="5" t="s">
        <v>2391</v>
      </c>
      <c r="B1753" s="2">
        <v>877.26</v>
      </c>
    </row>
    <row r="1754" spans="1:2" x14ac:dyDescent="0.3">
      <c r="A1754" s="5" t="s">
        <v>3095</v>
      </c>
      <c r="B1754" s="2">
        <v>418.04</v>
      </c>
    </row>
    <row r="1755" spans="1:2" x14ac:dyDescent="0.3">
      <c r="A1755" s="5" t="s">
        <v>677</v>
      </c>
      <c r="B1755" s="2">
        <v>2882.68</v>
      </c>
    </row>
    <row r="1756" spans="1:2" x14ac:dyDescent="0.3">
      <c r="A1756" s="5" t="s">
        <v>3075</v>
      </c>
      <c r="B1756" s="2">
        <v>1979.04</v>
      </c>
    </row>
    <row r="1757" spans="1:2" x14ac:dyDescent="0.3">
      <c r="A1757" s="5" t="s">
        <v>575</v>
      </c>
      <c r="B1757" s="2">
        <v>1573.45</v>
      </c>
    </row>
    <row r="1758" spans="1:2" x14ac:dyDescent="0.3">
      <c r="A1758" s="5" t="s">
        <v>1977</v>
      </c>
      <c r="B1758" s="2">
        <v>79.45</v>
      </c>
    </row>
    <row r="1759" spans="1:2" x14ac:dyDescent="0.3">
      <c r="A1759" s="5" t="s">
        <v>3061</v>
      </c>
      <c r="B1759" s="2">
        <v>6062.48</v>
      </c>
    </row>
    <row r="1760" spans="1:2" x14ac:dyDescent="0.3">
      <c r="A1760" s="5" t="s">
        <v>1851</v>
      </c>
      <c r="B1760" s="2">
        <v>122.52</v>
      </c>
    </row>
    <row r="1761" spans="1:2" x14ac:dyDescent="0.3">
      <c r="A1761" s="5" t="s">
        <v>507</v>
      </c>
      <c r="B1761" s="2">
        <v>2158.89</v>
      </c>
    </row>
    <row r="1762" spans="1:2" x14ac:dyDescent="0.3">
      <c r="A1762" s="5" t="s">
        <v>2743</v>
      </c>
      <c r="B1762" s="2">
        <v>694.85</v>
      </c>
    </row>
    <row r="1763" spans="1:2" x14ac:dyDescent="0.3">
      <c r="A1763" s="5" t="s">
        <v>1393</v>
      </c>
      <c r="B1763" s="2">
        <v>4532.5600000000004</v>
      </c>
    </row>
    <row r="1764" spans="1:2" x14ac:dyDescent="0.3">
      <c r="A1764" s="5" t="s">
        <v>703</v>
      </c>
      <c r="B1764" s="2">
        <v>1867.6</v>
      </c>
    </row>
    <row r="1765" spans="1:2" x14ac:dyDescent="0.3">
      <c r="A1765" s="5" t="s">
        <v>387</v>
      </c>
      <c r="B1765" s="2">
        <v>4699.45</v>
      </c>
    </row>
    <row r="1766" spans="1:2" x14ac:dyDescent="0.3">
      <c r="A1766" s="5" t="s">
        <v>417</v>
      </c>
      <c r="B1766" s="2">
        <v>517.91999999999996</v>
      </c>
    </row>
    <row r="1767" spans="1:2" x14ac:dyDescent="0.3">
      <c r="A1767" s="5" t="s">
        <v>1035</v>
      </c>
      <c r="B1767" s="2">
        <v>3471.06</v>
      </c>
    </row>
    <row r="1768" spans="1:2" x14ac:dyDescent="0.3">
      <c r="A1768" s="5" t="s">
        <v>2221</v>
      </c>
      <c r="B1768" s="2">
        <v>3962.63</v>
      </c>
    </row>
    <row r="1769" spans="1:2" x14ac:dyDescent="0.3">
      <c r="A1769" s="5" t="s">
        <v>2701</v>
      </c>
      <c r="B1769" s="2">
        <v>980.88</v>
      </c>
    </row>
    <row r="1770" spans="1:2" x14ac:dyDescent="0.3">
      <c r="A1770" s="5" t="s">
        <v>1829</v>
      </c>
      <c r="B1770" s="2">
        <v>1681.89</v>
      </c>
    </row>
    <row r="1771" spans="1:2" x14ac:dyDescent="0.3">
      <c r="A1771" s="5" t="s">
        <v>629</v>
      </c>
      <c r="B1771" s="2">
        <v>1104.6400000000001</v>
      </c>
    </row>
    <row r="1772" spans="1:2" x14ac:dyDescent="0.3">
      <c r="A1772" s="5" t="s">
        <v>1801</v>
      </c>
      <c r="B1772" s="2">
        <v>2564.94</v>
      </c>
    </row>
    <row r="1773" spans="1:2" x14ac:dyDescent="0.3">
      <c r="A1773" s="5" t="s">
        <v>229</v>
      </c>
      <c r="B1773" s="2">
        <v>825.24</v>
      </c>
    </row>
    <row r="1774" spans="1:2" x14ac:dyDescent="0.3">
      <c r="A1774" s="5" t="s">
        <v>1693</v>
      </c>
      <c r="B1774" s="2">
        <v>231.08</v>
      </c>
    </row>
    <row r="1775" spans="1:2" x14ac:dyDescent="0.3">
      <c r="A1775" s="5" t="s">
        <v>1361</v>
      </c>
      <c r="B1775" s="2">
        <v>1858.96</v>
      </c>
    </row>
    <row r="1776" spans="1:2" x14ac:dyDescent="0.3">
      <c r="A1776" s="5" t="s">
        <v>3137</v>
      </c>
      <c r="B1776" s="2">
        <v>2381.16</v>
      </c>
    </row>
    <row r="1777" spans="1:2" x14ac:dyDescent="0.3">
      <c r="A1777" s="5" t="s">
        <v>3165</v>
      </c>
      <c r="B1777" s="2">
        <v>1618.95</v>
      </c>
    </row>
    <row r="1778" spans="1:2" x14ac:dyDescent="0.3">
      <c r="A1778" s="5" t="s">
        <v>1955</v>
      </c>
      <c r="B1778" s="2">
        <v>2906.58</v>
      </c>
    </row>
    <row r="1779" spans="1:2" x14ac:dyDescent="0.3">
      <c r="A1779" s="5" t="s">
        <v>3229</v>
      </c>
      <c r="B1779" s="2">
        <v>2151.52</v>
      </c>
    </row>
    <row r="1780" spans="1:2" x14ac:dyDescent="0.3">
      <c r="A1780" s="5" t="s">
        <v>345</v>
      </c>
      <c r="B1780" s="2">
        <v>2439.85</v>
      </c>
    </row>
    <row r="1781" spans="1:2" x14ac:dyDescent="0.3">
      <c r="A1781" s="5" t="s">
        <v>2191</v>
      </c>
      <c r="B1781" s="2">
        <v>1440.56</v>
      </c>
    </row>
    <row r="1782" spans="1:2" x14ac:dyDescent="0.3">
      <c r="A1782" s="5" t="s">
        <v>1557</v>
      </c>
      <c r="B1782" s="2">
        <v>740.42</v>
      </c>
    </row>
    <row r="1783" spans="1:2" x14ac:dyDescent="0.3">
      <c r="A1783" s="5" t="s">
        <v>2641</v>
      </c>
      <c r="B1783" s="2">
        <v>922.32</v>
      </c>
    </row>
    <row r="1784" spans="1:2" x14ac:dyDescent="0.3">
      <c r="A1784" s="5" t="s">
        <v>1765</v>
      </c>
      <c r="B1784" s="2">
        <v>4172.72</v>
      </c>
    </row>
    <row r="1785" spans="1:2" x14ac:dyDescent="0.3">
      <c r="A1785" s="5" t="s">
        <v>2205</v>
      </c>
      <c r="B1785" s="2">
        <v>2843.64</v>
      </c>
    </row>
    <row r="1786" spans="1:2" x14ac:dyDescent="0.3">
      <c r="A1786" s="5" t="s">
        <v>745</v>
      </c>
      <c r="B1786" s="2">
        <v>3147.04</v>
      </c>
    </row>
    <row r="1787" spans="1:2" x14ac:dyDescent="0.3">
      <c r="A1787" s="5" t="s">
        <v>457</v>
      </c>
      <c r="B1787" s="2">
        <v>1126.5999999999999</v>
      </c>
    </row>
    <row r="1788" spans="1:2" x14ac:dyDescent="0.3">
      <c r="A1788" s="5" t="s">
        <v>1515</v>
      </c>
      <c r="B1788" s="2">
        <v>782.08</v>
      </c>
    </row>
    <row r="1789" spans="1:2" x14ac:dyDescent="0.3">
      <c r="A1789" s="4" t="s">
        <v>3314</v>
      </c>
      <c r="B1789" s="6">
        <v>3266656.7999999947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95B0-9AF4-4751-8966-E384CB6C0CB8}">
  <sheetPr>
    <tabColor rgb="FF00B0F0"/>
  </sheetPr>
  <dimension ref="A1:AB51"/>
  <sheetViews>
    <sheetView showGridLines="0" tabSelected="1" zoomScale="75" zoomScaleNormal="75" workbookViewId="0">
      <selection activeCell="K10" sqref="K10"/>
    </sheetView>
  </sheetViews>
  <sheetFormatPr defaultRowHeight="14.4" x14ac:dyDescent="0.3"/>
  <sheetData>
    <row r="1" spans="1:28" x14ac:dyDescent="0.3">
      <c r="A1" s="9"/>
      <c r="B1" s="9"/>
      <c r="C1" s="9"/>
      <c r="D1" s="9"/>
      <c r="E1" s="9"/>
      <c r="F1" s="9"/>
      <c r="G1" s="9"/>
      <c r="H1" s="9"/>
      <c r="I1" s="9"/>
      <c r="J1" s="9"/>
      <c r="K1" s="9"/>
      <c r="L1" s="9"/>
      <c r="M1" s="9"/>
      <c r="N1" s="9"/>
      <c r="O1" s="9"/>
      <c r="P1" s="9"/>
      <c r="Q1" s="9"/>
      <c r="R1" s="9"/>
      <c r="S1" s="9"/>
      <c r="T1" s="9"/>
      <c r="U1" s="9"/>
      <c r="V1" s="9"/>
      <c r="W1" s="9"/>
      <c r="X1" s="9"/>
      <c r="Y1" s="9"/>
      <c r="Z1" s="9"/>
      <c r="AA1" s="9"/>
      <c r="AB1" s="9"/>
    </row>
    <row r="2" spans="1:28" x14ac:dyDescent="0.3">
      <c r="A2" s="9"/>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
      <c r="A3" s="9"/>
      <c r="B3" s="9"/>
      <c r="C3" s="9"/>
      <c r="D3" s="9"/>
      <c r="E3" s="9"/>
      <c r="F3" s="9"/>
      <c r="G3" s="9"/>
      <c r="H3" s="9"/>
      <c r="I3" s="9"/>
      <c r="J3" s="9"/>
      <c r="K3" s="9"/>
      <c r="L3" s="9"/>
      <c r="M3" s="9"/>
      <c r="N3" s="9"/>
      <c r="O3" s="9"/>
      <c r="P3" s="9"/>
      <c r="Q3" s="9"/>
      <c r="R3" s="9"/>
      <c r="S3" s="9"/>
      <c r="T3" s="9"/>
      <c r="U3" s="9"/>
      <c r="V3" s="9"/>
      <c r="W3" s="9"/>
      <c r="X3" s="9"/>
      <c r="Y3" s="9"/>
      <c r="Z3" s="9"/>
      <c r="AA3" s="9"/>
      <c r="AB3" s="9"/>
    </row>
    <row r="4" spans="1:28" x14ac:dyDescent="0.3">
      <c r="A4" s="9"/>
      <c r="B4" s="9"/>
      <c r="C4" s="9"/>
      <c r="D4" s="9"/>
      <c r="E4" s="9"/>
      <c r="F4" s="9"/>
      <c r="G4" s="9"/>
      <c r="H4" s="9"/>
      <c r="I4" s="9"/>
      <c r="J4" s="9"/>
      <c r="K4" s="9"/>
      <c r="L4" s="9"/>
      <c r="M4" s="9"/>
      <c r="N4" s="9"/>
      <c r="O4" s="9"/>
      <c r="P4" s="9"/>
      <c r="Q4" s="9"/>
      <c r="R4" s="9"/>
      <c r="S4" s="9"/>
      <c r="T4" s="9"/>
      <c r="U4" s="9"/>
      <c r="V4" s="9"/>
      <c r="W4" s="9"/>
      <c r="X4" s="9"/>
      <c r="Y4" s="9"/>
      <c r="Z4" s="9"/>
      <c r="AA4" s="9"/>
      <c r="AB4" s="9"/>
    </row>
    <row r="5" spans="1:28" x14ac:dyDescent="0.3">
      <c r="A5" s="9"/>
      <c r="B5" s="9"/>
      <c r="C5" s="9"/>
      <c r="D5" s="9"/>
      <c r="E5" s="9"/>
      <c r="F5" s="9"/>
      <c r="G5" s="9"/>
      <c r="H5" s="9"/>
      <c r="I5" s="9"/>
      <c r="J5" s="9"/>
      <c r="K5" s="9"/>
      <c r="L5" s="9"/>
      <c r="M5" s="9"/>
      <c r="N5" s="9"/>
      <c r="O5" s="9"/>
      <c r="P5" s="9"/>
      <c r="Q5" s="9"/>
      <c r="R5" s="9"/>
      <c r="S5" s="9"/>
      <c r="T5" s="9"/>
      <c r="U5" s="9"/>
      <c r="V5" s="9"/>
      <c r="W5" s="9"/>
      <c r="X5" s="9"/>
      <c r="Y5" s="9"/>
      <c r="Z5" s="9"/>
      <c r="AA5" s="9"/>
      <c r="AB5" s="9"/>
    </row>
    <row r="6" spans="1:28" x14ac:dyDescent="0.3">
      <c r="A6" s="9"/>
      <c r="B6" s="9"/>
      <c r="C6" s="9"/>
      <c r="D6" s="9"/>
      <c r="E6" s="9"/>
      <c r="F6" s="9"/>
      <c r="G6" s="9"/>
      <c r="H6" s="9"/>
      <c r="I6" s="9"/>
      <c r="J6" s="9"/>
      <c r="K6" s="9"/>
      <c r="L6" s="9"/>
      <c r="M6" s="9"/>
      <c r="N6" s="9"/>
      <c r="O6" s="9"/>
      <c r="P6" s="9"/>
      <c r="Q6" s="9"/>
      <c r="R6" s="9"/>
      <c r="S6" s="9"/>
      <c r="T6" s="9"/>
      <c r="U6" s="9"/>
      <c r="V6" s="9"/>
      <c r="W6" s="9"/>
      <c r="X6" s="9"/>
      <c r="Y6" s="9"/>
      <c r="Z6" s="9"/>
      <c r="AA6" s="9"/>
      <c r="AB6" s="9"/>
    </row>
    <row r="7" spans="1:28" x14ac:dyDescent="0.3">
      <c r="A7" s="9"/>
      <c r="B7" s="9"/>
      <c r="C7" s="9"/>
      <c r="D7" s="9"/>
      <c r="E7" s="9"/>
      <c r="F7" s="9"/>
      <c r="G7" s="9"/>
      <c r="H7" s="9"/>
      <c r="I7" s="9"/>
      <c r="J7" s="9"/>
      <c r="K7" s="9"/>
      <c r="L7" s="9"/>
      <c r="M7" s="9"/>
      <c r="N7" s="9"/>
      <c r="O7" s="9"/>
      <c r="P7" s="9"/>
      <c r="Q7" s="9"/>
      <c r="R7" s="9"/>
      <c r="S7" s="9"/>
      <c r="T7" s="9"/>
      <c r="U7" s="9"/>
      <c r="V7" s="9"/>
      <c r="W7" s="9"/>
      <c r="X7" s="9"/>
      <c r="Y7" s="9"/>
      <c r="Z7" s="9"/>
      <c r="AA7" s="9"/>
      <c r="AB7" s="9"/>
    </row>
    <row r="8" spans="1:28" x14ac:dyDescent="0.3">
      <c r="A8" s="9"/>
      <c r="B8" s="9"/>
      <c r="C8" s="9"/>
      <c r="D8" s="9"/>
      <c r="E8" s="9"/>
      <c r="F8" s="9"/>
      <c r="G8" s="9"/>
      <c r="H8" s="9"/>
      <c r="I8" s="9"/>
      <c r="J8" s="9"/>
      <c r="K8" s="9"/>
      <c r="L8" s="9"/>
      <c r="M8" s="9"/>
      <c r="N8" s="9"/>
      <c r="O8" s="9"/>
      <c r="P8" s="9"/>
      <c r="Q8" s="9"/>
      <c r="R8" s="9"/>
      <c r="S8" s="9"/>
      <c r="T8" s="9"/>
      <c r="U8" s="9"/>
      <c r="V8" s="9"/>
      <c r="W8" s="9"/>
      <c r="X8" s="9"/>
      <c r="Y8" s="9"/>
      <c r="Z8" s="9"/>
      <c r="AA8" s="9"/>
      <c r="AB8" s="9"/>
    </row>
    <row r="9" spans="1:28" x14ac:dyDescent="0.3">
      <c r="A9" s="9"/>
      <c r="B9" s="9"/>
      <c r="C9" s="9"/>
      <c r="D9" s="9"/>
      <c r="E9" s="9"/>
      <c r="F9" s="9"/>
      <c r="G9" s="9"/>
      <c r="H9" s="9"/>
      <c r="I9" s="9"/>
      <c r="J9" s="9"/>
      <c r="K9" s="9"/>
      <c r="L9" s="9"/>
      <c r="M9" s="9"/>
      <c r="N9" s="9"/>
      <c r="O9" s="9"/>
      <c r="P9" s="9"/>
      <c r="Q9" s="9"/>
      <c r="R9" s="9"/>
      <c r="S9" s="9"/>
      <c r="T9" s="9"/>
      <c r="U9" s="9"/>
      <c r="V9" s="9"/>
      <c r="W9" s="9"/>
      <c r="X9" s="9"/>
      <c r="Y9" s="9"/>
      <c r="Z9" s="9"/>
      <c r="AA9" s="9"/>
      <c r="AB9" s="9"/>
    </row>
    <row r="10" spans="1:28"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spans="1:28"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28"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28"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spans="1:28"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spans="1:28"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spans="1:28"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spans="1:28"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spans="1:28"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spans="1:28"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spans="1:28"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spans="1:28"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spans="1:28"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spans="1:28"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1:28"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1:28"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1:28"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1:28"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1:28"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1:28"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1:28"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1:28"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1:28"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1:28"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spans="1:28"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spans="1:28"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spans="1:28"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spans="1:28"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spans="1:28"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spans="1:28"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spans="1:28"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spans="1:28"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spans="1:28"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spans="1:28"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spans="1:28"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spans="1:28"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row>
    <row r="48" spans="1:28"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spans="1:28"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spans="1:28"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spans="1:28"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dc:creator>
  <cp:lastModifiedBy>aryan</cp:lastModifiedBy>
  <dcterms:created xsi:type="dcterms:W3CDTF">2026-10-04T12:35:32Z</dcterms:created>
  <dcterms:modified xsi:type="dcterms:W3CDTF">2026-10-11T18:21:05Z</dcterms:modified>
</cp:coreProperties>
</file>